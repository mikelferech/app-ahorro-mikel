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.docs.live.net/DF4313C429A20BF7/"/>
    </mc:Choice>
  </mc:AlternateContent>
  <xr:revisionPtr revIDLastSave="4610" documentId="14_{6A3CC341-9D15-4F89-ABE2-5227624CEDE1}" xr6:coauthVersionLast="47" xr6:coauthVersionMax="47" xr10:uidLastSave="{BEB5B687-14B3-AD48-86DC-BD3148EC0A7A}"/>
  <bookViews>
    <workbookView xWindow="-120" yWindow="-120" windowWidth="29040" windowHeight="15720" xr2:uid="{00000000-000D-0000-FFFF-FFFF00000000}"/>
  </bookViews>
  <sheets>
    <sheet name="Ahorro BBVA" sheetId="31" r:id="rId1"/>
    <sheet name="25 26 Vadillo" sheetId="32" r:id="rId2"/>
    <sheet name="Intereses cuentas" sheetId="28" r:id="rId3"/>
    <sheet name="IRPF" sheetId="25" r:id="rId4"/>
    <sheet name="25 Eurocybcar" sheetId="30" r:id="rId5"/>
    <sheet name="22 25 FarmaConsulting" sheetId="27" r:id="rId6"/>
    <sheet name="feb mar 25 baja" sheetId="29" r:id="rId7"/>
    <sheet name="Ahorro BBVA antiguo" sheetId="6" r:id="rId8"/>
    <sheet name="Sueldo CRN" sheetId="5" state="hidden" r:id="rId9"/>
    <sheet name="Sueldo MB" sheetId="1" state="hidden" r:id="rId10"/>
    <sheet name="Nómina" sheetId="4" state="hidden" r:id="rId1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31" l="1"/>
  <c r="B64" i="28"/>
  <c r="B65" i="28"/>
  <c r="B66" i="28"/>
  <c r="B67" i="28"/>
  <c r="B68" i="28"/>
  <c r="B69" i="28"/>
  <c r="C69" i="28"/>
  <c r="C68" i="28"/>
  <c r="C67" i="28"/>
  <c r="C66" i="28"/>
  <c r="C65" i="28"/>
  <c r="C64" i="28"/>
  <c r="C63" i="28"/>
  <c r="C47" i="28"/>
  <c r="F47" i="28"/>
  <c r="D63" i="28"/>
  <c r="C48" i="28"/>
  <c r="D64" i="28"/>
  <c r="C49" i="28"/>
  <c r="D65" i="28"/>
  <c r="C50" i="28"/>
  <c r="D66" i="28"/>
  <c r="C51" i="28"/>
  <c r="D67" i="28"/>
  <c r="C52" i="28"/>
  <c r="C53" i="28"/>
  <c r="C54" i="28"/>
  <c r="E63" i="28"/>
  <c r="F63" i="28"/>
  <c r="E64" i="28"/>
  <c r="F64" i="28"/>
  <c r="E65" i="28"/>
  <c r="F65" i="28"/>
  <c r="E66" i="28"/>
  <c r="F66" i="28"/>
  <c r="E67" i="28"/>
  <c r="F67" i="28"/>
  <c r="E68" i="28"/>
  <c r="F68" i="28"/>
  <c r="E69" i="28"/>
  <c r="F69" i="28"/>
  <c r="H16" i="31"/>
  <c r="C46" i="28"/>
  <c r="E38" i="25"/>
  <c r="E39" i="25"/>
  <c r="E42" i="25"/>
  <c r="E44" i="25"/>
  <c r="J32" i="25"/>
  <c r="AB30" i="28"/>
  <c r="H33" i="28"/>
  <c r="AB31" i="28"/>
  <c r="AB32" i="28"/>
  <c r="E9" i="32"/>
  <c r="E10" i="32"/>
  <c r="E11" i="32"/>
  <c r="E12" i="32"/>
  <c r="E13" i="32"/>
  <c r="E14" i="32"/>
  <c r="E15" i="32"/>
  <c r="E16" i="32"/>
  <c r="E17" i="32"/>
  <c r="E18" i="32"/>
  <c r="E19" i="32"/>
  <c r="E8" i="32"/>
  <c r="E8" i="25"/>
  <c r="E9" i="25"/>
  <c r="E12" i="25"/>
  <c r="E14" i="25"/>
  <c r="J2" i="25"/>
  <c r="J4" i="25"/>
  <c r="J7" i="25"/>
  <c r="J13" i="25"/>
  <c r="J19" i="25"/>
  <c r="J21" i="25"/>
  <c r="J22" i="25"/>
  <c r="F22" i="25"/>
  <c r="P8" i="25"/>
  <c r="P9" i="25"/>
  <c r="P12" i="25"/>
  <c r="P14" i="25"/>
  <c r="U2" i="25"/>
  <c r="U4" i="25"/>
  <c r="U7" i="25"/>
  <c r="U13" i="25"/>
  <c r="U21" i="25"/>
  <c r="U22" i="25"/>
  <c r="Q22" i="25"/>
  <c r="O12" i="32"/>
  <c r="P37" i="25"/>
  <c r="P39" i="25"/>
  <c r="P42" i="25"/>
  <c r="P44" i="25"/>
  <c r="U32" i="25"/>
  <c r="U34" i="25"/>
  <c r="D44" i="28"/>
  <c r="D45" i="28"/>
  <c r="E45" i="28"/>
  <c r="S44" i="28"/>
  <c r="J82" i="25"/>
  <c r="J83" i="25"/>
  <c r="F83" i="25"/>
  <c r="U114" i="25"/>
  <c r="U115" i="25"/>
  <c r="Q115" i="25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I8" i="31"/>
  <c r="I9" i="31"/>
  <c r="J8" i="31"/>
  <c r="I10" i="31"/>
  <c r="J9" i="31"/>
  <c r="I11" i="31"/>
  <c r="J10" i="31"/>
  <c r="I12" i="31"/>
  <c r="J11" i="31"/>
  <c r="I13" i="31"/>
  <c r="J12" i="31"/>
  <c r="I14" i="31"/>
  <c r="J13" i="31"/>
  <c r="I15" i="31"/>
  <c r="J14" i="31"/>
  <c r="I16" i="31"/>
  <c r="J15" i="31"/>
  <c r="I17" i="31"/>
  <c r="J16" i="31"/>
  <c r="I18" i="31"/>
  <c r="J17" i="31"/>
  <c r="I19" i="31"/>
  <c r="J19" i="31"/>
  <c r="J18" i="31"/>
  <c r="I20" i="31"/>
  <c r="C43" i="28"/>
  <c r="H9" i="32"/>
  <c r="H10" i="32"/>
  <c r="H11" i="32"/>
  <c r="H12" i="32"/>
  <c r="H13" i="32"/>
  <c r="H14" i="32"/>
  <c r="H15" i="32"/>
  <c r="H16" i="32"/>
  <c r="H17" i="32"/>
  <c r="H18" i="32"/>
  <c r="H19" i="32"/>
  <c r="H8" i="32"/>
  <c r="R43" i="28"/>
  <c r="O13" i="32"/>
  <c r="J5" i="25"/>
  <c r="M28" i="28"/>
  <c r="N28" i="28"/>
  <c r="C30" i="28"/>
  <c r="D30" i="28"/>
  <c r="E30" i="28"/>
  <c r="I30" i="28"/>
  <c r="J30" i="28"/>
  <c r="S30" i="28"/>
  <c r="C36" i="28"/>
  <c r="D36" i="28"/>
  <c r="E36" i="28"/>
  <c r="S36" i="28"/>
  <c r="U3" i="25"/>
  <c r="J3" i="25"/>
  <c r="D43" i="28"/>
  <c r="E43" i="28"/>
  <c r="S42" i="28"/>
  <c r="O20" i="32"/>
  <c r="D42" i="28"/>
  <c r="AC30" i="28"/>
  <c r="I27" i="28"/>
  <c r="I28" i="28"/>
  <c r="I29" i="28"/>
  <c r="I33" i="28"/>
  <c r="AC31" i="28"/>
  <c r="AC32" i="28"/>
  <c r="N27" i="28"/>
  <c r="J27" i="28"/>
  <c r="D38" i="28"/>
  <c r="D37" i="28"/>
  <c r="D35" i="28"/>
  <c r="D34" i="28"/>
  <c r="E34" i="28"/>
  <c r="S34" i="28"/>
  <c r="D33" i="28"/>
  <c r="E33" i="28"/>
  <c r="S33" i="28"/>
  <c r="D32" i="28"/>
  <c r="D31" i="28"/>
  <c r="D29" i="28"/>
  <c r="J29" i="28"/>
  <c r="E29" i="28"/>
  <c r="O29" i="28"/>
  <c r="S29" i="28"/>
  <c r="U46" i="25"/>
  <c r="P36" i="25"/>
  <c r="R28" i="25"/>
  <c r="S28" i="25"/>
  <c r="S27" i="25"/>
  <c r="H27" i="25"/>
  <c r="U19" i="25"/>
  <c r="E22" i="25"/>
  <c r="G28" i="25"/>
  <c r="H28" i="25"/>
  <c r="U12" i="25"/>
  <c r="J12" i="25"/>
  <c r="U5" i="25"/>
  <c r="N21" i="32"/>
  <c r="J45" i="32"/>
  <c r="J20" i="32"/>
  <c r="D5" i="32"/>
  <c r="E40" i="32"/>
  <c r="F40" i="32"/>
  <c r="E41" i="32"/>
  <c r="F41" i="32"/>
  <c r="E42" i="32"/>
  <c r="F42" i="32"/>
  <c r="F39" i="32"/>
  <c r="E39" i="32"/>
  <c r="F9" i="32"/>
  <c r="F10" i="32"/>
  <c r="F11" i="32"/>
  <c r="F12" i="32"/>
  <c r="F13" i="32"/>
  <c r="F14" i="32"/>
  <c r="F15" i="32"/>
  <c r="D16" i="32"/>
  <c r="F16" i="32"/>
  <c r="F17" i="32"/>
  <c r="F18" i="32"/>
  <c r="F19" i="32"/>
  <c r="F8" i="32"/>
  <c r="I8" i="32"/>
  <c r="K8" i="32"/>
  <c r="L8" i="32"/>
  <c r="I9" i="32"/>
  <c r="K9" i="32"/>
  <c r="L9" i="32"/>
  <c r="I10" i="32"/>
  <c r="K10" i="32"/>
  <c r="L10" i="32"/>
  <c r="K11" i="32"/>
  <c r="L11" i="32"/>
  <c r="K12" i="32"/>
  <c r="L12" i="32"/>
  <c r="K13" i="32"/>
  <c r="L13" i="32"/>
  <c r="K14" i="32"/>
  <c r="L14" i="32"/>
  <c r="K15" i="32"/>
  <c r="L15" i="32"/>
  <c r="D20" i="32"/>
  <c r="E20" i="32"/>
  <c r="H20" i="32"/>
  <c r="F20" i="32"/>
  <c r="G20" i="32"/>
  <c r="D21" i="32"/>
  <c r="I11" i="32"/>
  <c r="I19" i="32"/>
  <c r="I18" i="32"/>
  <c r="I17" i="32"/>
  <c r="I16" i="32"/>
  <c r="I15" i="32"/>
  <c r="I14" i="32"/>
  <c r="I13" i="32"/>
  <c r="I12" i="32"/>
  <c r="I20" i="32"/>
  <c r="L19" i="32"/>
  <c r="K19" i="32"/>
  <c r="L18" i="32"/>
  <c r="K18" i="32"/>
  <c r="L17" i="32"/>
  <c r="K17" i="32"/>
  <c r="L16" i="32"/>
  <c r="K16" i="32"/>
  <c r="O11" i="32"/>
  <c r="R38" i="28"/>
  <c r="U38" i="28"/>
  <c r="U37" i="28"/>
  <c r="E44" i="28"/>
  <c r="S43" i="28"/>
  <c r="U53" i="28"/>
  <c r="E38" i="28"/>
  <c r="E42" i="28"/>
  <c r="S38" i="28"/>
  <c r="D4" i="28"/>
  <c r="E4" i="28"/>
  <c r="S4" i="28"/>
  <c r="D5" i="28"/>
  <c r="E5" i="28"/>
  <c r="S5" i="28"/>
  <c r="D6" i="28"/>
  <c r="E6" i="28"/>
  <c r="I6" i="28"/>
  <c r="J6" i="28"/>
  <c r="N6" i="28"/>
  <c r="O6" i="28"/>
  <c r="S6" i="28"/>
  <c r="M7" i="28"/>
  <c r="N7" i="28"/>
  <c r="N8" i="28"/>
  <c r="N12" i="28"/>
  <c r="N13" i="28"/>
  <c r="N14" i="28"/>
  <c r="N15" i="28"/>
  <c r="N16" i="28"/>
  <c r="N17" i="28"/>
  <c r="N18" i="28"/>
  <c r="N19" i="28"/>
  <c r="N20" i="28"/>
  <c r="N21" i="28"/>
  <c r="M22" i="28"/>
  <c r="N22" i="28"/>
  <c r="N23" i="28"/>
  <c r="N56" i="28"/>
  <c r="D7" i="28"/>
  <c r="E7" i="28"/>
  <c r="I7" i="28"/>
  <c r="J7" i="28"/>
  <c r="D8" i="28"/>
  <c r="E8" i="28"/>
  <c r="I8" i="28"/>
  <c r="J8" i="28"/>
  <c r="O8" i="28"/>
  <c r="D12" i="28"/>
  <c r="E12" i="28"/>
  <c r="I12" i="28"/>
  <c r="J12" i="28"/>
  <c r="O12" i="28"/>
  <c r="S12" i="28"/>
  <c r="D13" i="28"/>
  <c r="E13" i="28"/>
  <c r="I13" i="28"/>
  <c r="J13" i="28"/>
  <c r="O13" i="28"/>
  <c r="D14" i="28"/>
  <c r="E14" i="28"/>
  <c r="I14" i="28"/>
  <c r="J14" i="28"/>
  <c r="O14" i="28"/>
  <c r="S14" i="28"/>
  <c r="D15" i="28"/>
  <c r="E15" i="28"/>
  <c r="I15" i="28"/>
  <c r="J15" i="28"/>
  <c r="O15" i="28"/>
  <c r="D16" i="28"/>
  <c r="E16" i="28"/>
  <c r="I16" i="28"/>
  <c r="J16" i="28"/>
  <c r="O16" i="28"/>
  <c r="D17" i="28"/>
  <c r="E17" i="28"/>
  <c r="I17" i="28"/>
  <c r="J17" i="28"/>
  <c r="O17" i="28"/>
  <c r="S17" i="28"/>
  <c r="I18" i="28"/>
  <c r="J18" i="28"/>
  <c r="O18" i="28"/>
  <c r="S18" i="28"/>
  <c r="O19" i="28"/>
  <c r="S19" i="28"/>
  <c r="O20" i="28"/>
  <c r="S20" i="28"/>
  <c r="O21" i="28"/>
  <c r="S21" i="28"/>
  <c r="O22" i="28"/>
  <c r="S22" i="28"/>
  <c r="O23" i="28"/>
  <c r="S23" i="28"/>
  <c r="O27" i="28"/>
  <c r="J28" i="28"/>
  <c r="E31" i="28"/>
  <c r="S31" i="28"/>
  <c r="E32" i="28"/>
  <c r="S32" i="28"/>
  <c r="E35" i="28"/>
  <c r="S35" i="28"/>
  <c r="E37" i="28"/>
  <c r="S37" i="28"/>
  <c r="F29" i="28"/>
  <c r="F56" i="28"/>
  <c r="U30" i="28"/>
  <c r="U31" i="28"/>
  <c r="U32" i="28"/>
  <c r="U33" i="28"/>
  <c r="K33" i="28"/>
  <c r="U43" i="28"/>
  <c r="U44" i="28"/>
  <c r="U45" i="28"/>
  <c r="U46" i="28"/>
  <c r="U47" i="28"/>
  <c r="U48" i="28"/>
  <c r="U49" i="28"/>
  <c r="U50" i="28"/>
  <c r="U51" i="28"/>
  <c r="U52" i="28"/>
  <c r="U42" i="28"/>
  <c r="D39" i="32"/>
  <c r="O33" i="32"/>
  <c r="O34" i="32"/>
  <c r="R37" i="28"/>
  <c r="E16" i="27"/>
  <c r="F16" i="27"/>
  <c r="I15" i="30"/>
  <c r="D15" i="30"/>
  <c r="H15" i="30"/>
  <c r="E15" i="30"/>
  <c r="G18" i="30"/>
  <c r="E18" i="30"/>
  <c r="H18" i="30"/>
  <c r="P19" i="30"/>
  <c r="BD24" i="30"/>
  <c r="K44" i="32"/>
  <c r="K43" i="32"/>
  <c r="K42" i="32"/>
  <c r="H41" i="32"/>
  <c r="I41" i="32"/>
  <c r="K41" i="32"/>
  <c r="H40" i="32"/>
  <c r="I40" i="32"/>
  <c r="K40" i="32"/>
  <c r="K38" i="32"/>
  <c r="K37" i="32"/>
  <c r="K36" i="32"/>
  <c r="K35" i="32"/>
  <c r="K34" i="32"/>
  <c r="K33" i="32"/>
  <c r="K32" i="32"/>
  <c r="K31" i="32"/>
  <c r="K30" i="32"/>
  <c r="K24" i="30"/>
  <c r="K23" i="30"/>
  <c r="K22" i="30"/>
  <c r="K21" i="30"/>
  <c r="K20" i="30"/>
  <c r="K19" i="30"/>
  <c r="K18" i="30"/>
  <c r="K17" i="30"/>
  <c r="K16" i="30"/>
  <c r="K15" i="30"/>
  <c r="O39" i="32"/>
  <c r="O44" i="32"/>
  <c r="L44" i="32"/>
  <c r="L43" i="32"/>
  <c r="L42" i="32"/>
  <c r="L41" i="32"/>
  <c r="L40" i="32"/>
  <c r="H39" i="32"/>
  <c r="L38" i="32"/>
  <c r="L37" i="32"/>
  <c r="L36" i="32"/>
  <c r="L35" i="32"/>
  <c r="L33" i="32"/>
  <c r="I33" i="32"/>
  <c r="L32" i="32"/>
  <c r="I32" i="32"/>
  <c r="L31" i="32"/>
  <c r="I31" i="32"/>
  <c r="L30" i="32"/>
  <c r="I30" i="32"/>
  <c r="F14" i="30"/>
  <c r="E14" i="30"/>
  <c r="D14" i="30"/>
  <c r="G14" i="30"/>
  <c r="P25" i="30"/>
  <c r="P24" i="30"/>
  <c r="U27" i="28"/>
  <c r="J15" i="27"/>
  <c r="J14" i="27"/>
  <c r="J13" i="27"/>
  <c r="J12" i="27"/>
  <c r="J11" i="27"/>
  <c r="J10" i="27"/>
  <c r="K13" i="30"/>
  <c r="K12" i="30"/>
  <c r="K11" i="30"/>
  <c r="K10" i="30"/>
  <c r="BD23" i="30"/>
  <c r="BD22" i="30"/>
  <c r="O9" i="27"/>
  <c r="I21" i="31"/>
  <c r="J155" i="6"/>
  <c r="I169" i="31"/>
  <c r="I163" i="31"/>
  <c r="J163" i="31"/>
  <c r="I145" i="31"/>
  <c r="I133" i="31"/>
  <c r="I109" i="31"/>
  <c r="I79" i="31"/>
  <c r="J79" i="31"/>
  <c r="I73" i="31"/>
  <c r="J73" i="31"/>
  <c r="I43" i="31"/>
  <c r="J43" i="31"/>
  <c r="D23" i="31"/>
  <c r="I23" i="31"/>
  <c r="J22" i="31"/>
  <c r="J23" i="31"/>
  <c r="D24" i="31"/>
  <c r="I24" i="31"/>
  <c r="D25" i="31"/>
  <c r="I25" i="31"/>
  <c r="D26" i="31"/>
  <c r="I26" i="31"/>
  <c r="J25" i="31"/>
  <c r="D27" i="31"/>
  <c r="I27" i="31"/>
  <c r="J27" i="31"/>
  <c r="D28" i="31"/>
  <c r="I28" i="31"/>
  <c r="J28" i="31"/>
  <c r="D29" i="31"/>
  <c r="I29" i="31"/>
  <c r="J29" i="31"/>
  <c r="D30" i="31"/>
  <c r="I30" i="31"/>
  <c r="D31" i="31"/>
  <c r="I31" i="31"/>
  <c r="D32" i="31"/>
  <c r="I32" i="31"/>
  <c r="J32" i="31"/>
  <c r="D33" i="31"/>
  <c r="I33" i="31"/>
  <c r="D34" i="31"/>
  <c r="I34" i="31"/>
  <c r="J34" i="31"/>
  <c r="D35" i="31"/>
  <c r="I35" i="31"/>
  <c r="D36" i="31"/>
  <c r="I36" i="31"/>
  <c r="J35" i="31"/>
  <c r="D37" i="31"/>
  <c r="I37" i="31"/>
  <c r="J37" i="31"/>
  <c r="D38" i="31"/>
  <c r="I38" i="31"/>
  <c r="D39" i="31"/>
  <c r="I39" i="31"/>
  <c r="D40" i="31"/>
  <c r="I40" i="31"/>
  <c r="J40" i="31"/>
  <c r="D41" i="31"/>
  <c r="I41" i="31"/>
  <c r="D42" i="31"/>
  <c r="I42" i="31"/>
  <c r="D43" i="31"/>
  <c r="D44" i="31"/>
  <c r="I44" i="31"/>
  <c r="J44" i="31"/>
  <c r="D45" i="31"/>
  <c r="I45" i="31"/>
  <c r="D46" i="31"/>
  <c r="I46" i="31"/>
  <c r="J46" i="31"/>
  <c r="D47" i="31"/>
  <c r="I47" i="31"/>
  <c r="D48" i="31"/>
  <c r="I48" i="31"/>
  <c r="D49" i="31"/>
  <c r="I49" i="31"/>
  <c r="J48" i="31"/>
  <c r="D50" i="31"/>
  <c r="I50" i="31"/>
  <c r="J50" i="31"/>
  <c r="D51" i="31"/>
  <c r="I51" i="31"/>
  <c r="D52" i="31"/>
  <c r="I52" i="31"/>
  <c r="J52" i="31"/>
  <c r="D53" i="31"/>
  <c r="I53" i="31"/>
  <c r="D54" i="31"/>
  <c r="I54" i="31"/>
  <c r="J54" i="31"/>
  <c r="D55" i="31"/>
  <c r="I55" i="31"/>
  <c r="D56" i="31"/>
  <c r="I56" i="31"/>
  <c r="D57" i="31"/>
  <c r="I57" i="31"/>
  <c r="D58" i="31"/>
  <c r="I58" i="31"/>
  <c r="J58" i="31"/>
  <c r="D59" i="31"/>
  <c r="I59" i="31"/>
  <c r="D60" i="31"/>
  <c r="I60" i="31"/>
  <c r="J60" i="31"/>
  <c r="D61" i="31"/>
  <c r="I61" i="31"/>
  <c r="D62" i="31"/>
  <c r="I62" i="31"/>
  <c r="J62" i="31"/>
  <c r="D63" i="31"/>
  <c r="I63" i="31"/>
  <c r="J63" i="31"/>
  <c r="D64" i="31"/>
  <c r="I64" i="31"/>
  <c r="D65" i="31"/>
  <c r="I65" i="31"/>
  <c r="J65" i="31"/>
  <c r="D66" i="31"/>
  <c r="I66" i="31"/>
  <c r="D67" i="31"/>
  <c r="I67" i="31"/>
  <c r="D68" i="31"/>
  <c r="I68" i="31"/>
  <c r="J68" i="31"/>
  <c r="D69" i="31"/>
  <c r="I69" i="31"/>
  <c r="D70" i="31"/>
  <c r="I70" i="31"/>
  <c r="J70" i="31"/>
  <c r="D71" i="31"/>
  <c r="I71" i="31"/>
  <c r="D72" i="31"/>
  <c r="I72" i="31"/>
  <c r="J71" i="31"/>
  <c r="D73" i="31"/>
  <c r="D74" i="31"/>
  <c r="I74" i="31"/>
  <c r="D75" i="31"/>
  <c r="I75" i="31"/>
  <c r="J74" i="31"/>
  <c r="D76" i="31"/>
  <c r="I76" i="31"/>
  <c r="D77" i="31"/>
  <c r="I77" i="31"/>
  <c r="D78" i="31"/>
  <c r="I78" i="31"/>
  <c r="J78" i="31"/>
  <c r="D79" i="31"/>
  <c r="D80" i="31"/>
  <c r="I80" i="31"/>
  <c r="D81" i="31"/>
  <c r="I81" i="31"/>
  <c r="J80" i="31"/>
  <c r="D82" i="31"/>
  <c r="I82" i="31"/>
  <c r="J82" i="31"/>
  <c r="D83" i="31"/>
  <c r="I83" i="31"/>
  <c r="D84" i="31"/>
  <c r="I84" i="31"/>
  <c r="D85" i="31"/>
  <c r="I85" i="31"/>
  <c r="D86" i="31"/>
  <c r="I86" i="31"/>
  <c r="J86" i="31"/>
  <c r="D87" i="31"/>
  <c r="I87" i="31"/>
  <c r="D88" i="31"/>
  <c r="I88" i="31"/>
  <c r="J88" i="31"/>
  <c r="D89" i="31"/>
  <c r="I89" i="31"/>
  <c r="D90" i="31"/>
  <c r="I90" i="31"/>
  <c r="D91" i="31"/>
  <c r="I91" i="31"/>
  <c r="J90" i="31"/>
  <c r="D92" i="31"/>
  <c r="I92" i="31"/>
  <c r="D93" i="31"/>
  <c r="I93" i="31"/>
  <c r="D94" i="31"/>
  <c r="I94" i="31"/>
  <c r="D95" i="31"/>
  <c r="I95" i="31"/>
  <c r="J95" i="31"/>
  <c r="D96" i="31"/>
  <c r="I96" i="31"/>
  <c r="D97" i="31"/>
  <c r="I97" i="31"/>
  <c r="J97" i="31"/>
  <c r="D98" i="31"/>
  <c r="I98" i="31"/>
  <c r="D99" i="31"/>
  <c r="I99" i="31"/>
  <c r="J99" i="31"/>
  <c r="D100" i="31"/>
  <c r="I100" i="31"/>
  <c r="D101" i="31"/>
  <c r="I101" i="31"/>
  <c r="J101" i="31"/>
  <c r="D102" i="31"/>
  <c r="I102" i="31"/>
  <c r="D103" i="31"/>
  <c r="I103" i="31"/>
  <c r="D104" i="31"/>
  <c r="I104" i="31"/>
  <c r="J104" i="31"/>
  <c r="D105" i="31"/>
  <c r="I105" i="31"/>
  <c r="D106" i="31"/>
  <c r="I106" i="31"/>
  <c r="J106" i="31"/>
  <c r="D107" i="31"/>
  <c r="I107" i="31"/>
  <c r="J107" i="31"/>
  <c r="D108" i="31"/>
  <c r="I108" i="31"/>
  <c r="J108" i="31"/>
  <c r="D109" i="31"/>
  <c r="D110" i="31"/>
  <c r="I110" i="31"/>
  <c r="D111" i="31"/>
  <c r="I111" i="31"/>
  <c r="D112" i="31"/>
  <c r="I112" i="31"/>
  <c r="D113" i="31"/>
  <c r="I113" i="31"/>
  <c r="D114" i="31"/>
  <c r="I114" i="31"/>
  <c r="D115" i="31"/>
  <c r="I115" i="31"/>
  <c r="D116" i="31"/>
  <c r="I116" i="31"/>
  <c r="J116" i="31"/>
  <c r="D117" i="31"/>
  <c r="I117" i="31"/>
  <c r="D118" i="31"/>
  <c r="I118" i="31"/>
  <c r="D119" i="31"/>
  <c r="I119" i="31"/>
  <c r="J119" i="31"/>
  <c r="D120" i="31"/>
  <c r="I120" i="31"/>
  <c r="D121" i="31"/>
  <c r="I121" i="31"/>
  <c r="D122" i="31"/>
  <c r="I122" i="31"/>
  <c r="J122" i="31"/>
  <c r="D123" i="31"/>
  <c r="I123" i="31"/>
  <c r="J123" i="31"/>
  <c r="D124" i="31"/>
  <c r="I124" i="31"/>
  <c r="J124" i="31"/>
  <c r="D125" i="31"/>
  <c r="I125" i="31"/>
  <c r="D126" i="31"/>
  <c r="I126" i="31"/>
  <c r="J126" i="31"/>
  <c r="D127" i="31"/>
  <c r="I127" i="31"/>
  <c r="J127" i="31"/>
  <c r="D128" i="31"/>
  <c r="I128" i="31"/>
  <c r="D129" i="31"/>
  <c r="I129" i="31"/>
  <c r="J129" i="31"/>
  <c r="D130" i="31"/>
  <c r="I130" i="31"/>
  <c r="D131" i="31"/>
  <c r="I131" i="31"/>
  <c r="D132" i="31"/>
  <c r="I132" i="31"/>
  <c r="D133" i="31"/>
  <c r="D134" i="31"/>
  <c r="I134" i="31"/>
  <c r="J134" i="31"/>
  <c r="D135" i="31"/>
  <c r="I135" i="31"/>
  <c r="D136" i="31"/>
  <c r="I136" i="31"/>
  <c r="J136" i="31"/>
  <c r="D137" i="31"/>
  <c r="I137" i="31"/>
  <c r="J137" i="31"/>
  <c r="D138" i="31"/>
  <c r="I138" i="31"/>
  <c r="D139" i="31"/>
  <c r="I139" i="31"/>
  <c r="D140" i="31"/>
  <c r="I140" i="31"/>
  <c r="J140" i="31"/>
  <c r="D141" i="31"/>
  <c r="I141" i="31"/>
  <c r="J141" i="31"/>
  <c r="D142" i="31"/>
  <c r="I142" i="31"/>
  <c r="J142" i="31"/>
  <c r="D143" i="31"/>
  <c r="I143" i="31"/>
  <c r="D144" i="31"/>
  <c r="I144" i="31"/>
  <c r="J144" i="31"/>
  <c r="D145" i="31"/>
  <c r="D146" i="31"/>
  <c r="I146" i="31"/>
  <c r="D147" i="31"/>
  <c r="I147" i="31"/>
  <c r="J147" i="31"/>
  <c r="D148" i="31"/>
  <c r="I148" i="31"/>
  <c r="D149" i="31"/>
  <c r="I149" i="31"/>
  <c r="D150" i="31"/>
  <c r="I150" i="31"/>
  <c r="D151" i="31"/>
  <c r="I151" i="31"/>
  <c r="J151" i="31"/>
  <c r="D152" i="31"/>
  <c r="I152" i="31"/>
  <c r="J152" i="31"/>
  <c r="D153" i="31"/>
  <c r="I153" i="31"/>
  <c r="D154" i="31"/>
  <c r="I154" i="31"/>
  <c r="J154" i="31"/>
  <c r="D155" i="31"/>
  <c r="I155" i="31"/>
  <c r="D156" i="31"/>
  <c r="I156" i="31"/>
  <c r="D157" i="31"/>
  <c r="I157" i="31"/>
  <c r="J157" i="31"/>
  <c r="D158" i="31"/>
  <c r="I158" i="31"/>
  <c r="J158" i="31"/>
  <c r="D159" i="31"/>
  <c r="I159" i="31"/>
  <c r="D160" i="31"/>
  <c r="I160" i="31"/>
  <c r="J160" i="31"/>
  <c r="D161" i="31"/>
  <c r="I161" i="31"/>
  <c r="D162" i="31"/>
  <c r="I162" i="31"/>
  <c r="J162" i="31"/>
  <c r="D163" i="31"/>
  <c r="D164" i="31"/>
  <c r="I164" i="31"/>
  <c r="J164" i="31"/>
  <c r="D165" i="31"/>
  <c r="I165" i="31"/>
  <c r="J165" i="31"/>
  <c r="D166" i="31"/>
  <c r="I166" i="31"/>
  <c r="D167" i="31"/>
  <c r="I167" i="31"/>
  <c r="D168" i="31"/>
  <c r="I168" i="31"/>
  <c r="J168" i="31"/>
  <c r="D169" i="31"/>
  <c r="D170" i="31"/>
  <c r="I170" i="31"/>
  <c r="J170" i="31"/>
  <c r="D171" i="31"/>
  <c r="I171" i="31"/>
  <c r="J171" i="31"/>
  <c r="D172" i="31"/>
  <c r="I172" i="31"/>
  <c r="J172" i="31"/>
  <c r="D173" i="31"/>
  <c r="I173" i="31"/>
  <c r="J173" i="31"/>
  <c r="D174" i="31"/>
  <c r="I174" i="31"/>
  <c r="J174" i="31"/>
  <c r="D175" i="31"/>
  <c r="I175" i="31"/>
  <c r="D176" i="31"/>
  <c r="I176" i="31"/>
  <c r="J176" i="31"/>
  <c r="D177" i="31"/>
  <c r="I177" i="31"/>
  <c r="D178" i="31"/>
  <c r="I178" i="31"/>
  <c r="D22" i="31"/>
  <c r="I22" i="31"/>
  <c r="P5" i="31" a="1"/>
  <c r="P5" i="31"/>
  <c r="H24" i="30"/>
  <c r="H16" i="30"/>
  <c r="I16" i="30"/>
  <c r="L24" i="30"/>
  <c r="I11" i="30"/>
  <c r="I10" i="30"/>
  <c r="G21" i="30"/>
  <c r="F21" i="30"/>
  <c r="G22" i="30"/>
  <c r="F22" i="30"/>
  <c r="H14" i="30"/>
  <c r="H20" i="30"/>
  <c r="H19" i="30"/>
  <c r="G17" i="30"/>
  <c r="E17" i="30"/>
  <c r="S57" i="25"/>
  <c r="H57" i="25"/>
  <c r="O10" i="27"/>
  <c r="D15" i="27"/>
  <c r="G15" i="27"/>
  <c r="F15" i="27"/>
  <c r="F25" i="27"/>
  <c r="E15" i="27"/>
  <c r="D14" i="27"/>
  <c r="O8" i="27"/>
  <c r="N108" i="27"/>
  <c r="N109" i="27"/>
  <c r="G14" i="27"/>
  <c r="H17" i="30"/>
  <c r="H22" i="30"/>
  <c r="O13" i="27"/>
  <c r="D38" i="27"/>
  <c r="F14" i="27"/>
  <c r="E14" i="27"/>
  <c r="J25" i="30"/>
  <c r="D5" i="30"/>
  <c r="L23" i="30"/>
  <c r="L22" i="30"/>
  <c r="L21" i="30"/>
  <c r="L20" i="30"/>
  <c r="L19" i="30"/>
  <c r="L18" i="30"/>
  <c r="L17" i="30"/>
  <c r="L16" i="30"/>
  <c r="L15" i="30"/>
  <c r="L13" i="30"/>
  <c r="K20" i="27"/>
  <c r="J20" i="27"/>
  <c r="H22" i="27"/>
  <c r="I14" i="29"/>
  <c r="I13" i="29"/>
  <c r="D13" i="27"/>
  <c r="G38" i="27"/>
  <c r="O40" i="27"/>
  <c r="J64" i="25"/>
  <c r="R33" i="28"/>
  <c r="R35" i="28"/>
  <c r="R36" i="28"/>
  <c r="R32" i="28"/>
  <c r="R31" i="28"/>
  <c r="R5" i="28"/>
  <c r="R6" i="28"/>
  <c r="R8" i="28"/>
  <c r="R12" i="28"/>
  <c r="R13" i="28"/>
  <c r="R14" i="28"/>
  <c r="R15" i="28"/>
  <c r="R16" i="28"/>
  <c r="R17" i="28"/>
  <c r="R18" i="28"/>
  <c r="R19" i="28"/>
  <c r="R20" i="28"/>
  <c r="R21" i="28"/>
  <c r="R23" i="28"/>
  <c r="R27" i="28"/>
  <c r="R29" i="28"/>
  <c r="R4" i="28"/>
  <c r="G11" i="27"/>
  <c r="H11" i="27"/>
  <c r="K11" i="27"/>
  <c r="E13" i="27"/>
  <c r="F13" i="27"/>
  <c r="F12" i="27"/>
  <c r="E12" i="27"/>
  <c r="H19" i="27"/>
  <c r="E11" i="27"/>
  <c r="E10" i="27"/>
  <c r="F17" i="29"/>
  <c r="E17" i="29"/>
  <c r="K22" i="28"/>
  <c r="H22" i="28"/>
  <c r="H56" i="28"/>
  <c r="U34" i="28"/>
  <c r="U35" i="28"/>
  <c r="U36" i="28"/>
  <c r="U28" i="28"/>
  <c r="U29" i="28"/>
  <c r="U4" i="28"/>
  <c r="U5" i="28"/>
  <c r="U6" i="28"/>
  <c r="U7" i="28"/>
  <c r="U8" i="28"/>
  <c r="U12" i="28"/>
  <c r="U13" i="28"/>
  <c r="P14" i="28"/>
  <c r="U14" i="28"/>
  <c r="U15" i="28"/>
  <c r="U16" i="28"/>
  <c r="U17" i="28"/>
  <c r="U18" i="28"/>
  <c r="U19" i="28"/>
  <c r="U20" i="28"/>
  <c r="U21" i="28"/>
  <c r="U22" i="28"/>
  <c r="U23" i="28"/>
  <c r="U56" i="28"/>
  <c r="G12" i="27"/>
  <c r="F3" i="29"/>
  <c r="E3" i="29"/>
  <c r="E7" i="29"/>
  <c r="H6" i="29"/>
  <c r="H7" i="29"/>
  <c r="H8" i="29"/>
  <c r="F13" i="29"/>
  <c r="F8" i="29"/>
  <c r="F6" i="29"/>
  <c r="F7" i="29"/>
  <c r="F10" i="29"/>
  <c r="L12" i="27"/>
  <c r="E8" i="29"/>
  <c r="AA6" i="6"/>
  <c r="F10" i="27"/>
  <c r="L10" i="27"/>
  <c r="G10" i="27"/>
  <c r="R28" i="28"/>
  <c r="I50" i="27"/>
  <c r="I25" i="27"/>
  <c r="D5" i="27"/>
  <c r="L30" i="27"/>
  <c r="L28" i="27"/>
  <c r="L29" i="27"/>
  <c r="L31" i="27"/>
  <c r="K24" i="27"/>
  <c r="J24" i="27"/>
  <c r="H24" i="27"/>
  <c r="K23" i="27"/>
  <c r="J23" i="27"/>
  <c r="H21" i="27"/>
  <c r="F11" i="27"/>
  <c r="D152" i="6"/>
  <c r="I152" i="6"/>
  <c r="D151" i="6"/>
  <c r="I151" i="6"/>
  <c r="D153" i="6"/>
  <c r="D154" i="6"/>
  <c r="D155" i="6"/>
  <c r="I155" i="6"/>
  <c r="D156" i="6"/>
  <c r="I156" i="6"/>
  <c r="D157" i="6"/>
  <c r="I157" i="6"/>
  <c r="D158" i="6"/>
  <c r="I158" i="6"/>
  <c r="J158" i="6"/>
  <c r="D159" i="6"/>
  <c r="I159" i="6"/>
  <c r="J159" i="6"/>
  <c r="D160" i="6"/>
  <c r="I160" i="6"/>
  <c r="J160" i="6"/>
  <c r="D161" i="6"/>
  <c r="I161" i="6"/>
  <c r="J161" i="6"/>
  <c r="D162" i="6"/>
  <c r="I162" i="6"/>
  <c r="J162" i="6"/>
  <c r="V6" i="6"/>
  <c r="D163" i="6"/>
  <c r="I163" i="6"/>
  <c r="J163" i="6"/>
  <c r="Q55" i="27"/>
  <c r="D37" i="27"/>
  <c r="O38" i="27"/>
  <c r="D35" i="27"/>
  <c r="G43" i="27"/>
  <c r="G47" i="27"/>
  <c r="G48" i="27"/>
  <c r="U42" i="25"/>
  <c r="R56" i="25"/>
  <c r="S56" i="25"/>
  <c r="R22" i="28"/>
  <c r="B148" i="6"/>
  <c r="Q53" i="27"/>
  <c r="Q54" i="27"/>
  <c r="D150" i="6"/>
  <c r="I150" i="6"/>
  <c r="D149" i="6"/>
  <c r="I149" i="6"/>
  <c r="D148" i="6"/>
  <c r="I148" i="6"/>
  <c r="D147" i="6"/>
  <c r="H147" i="6"/>
  <c r="I147" i="6"/>
  <c r="P56" i="28"/>
  <c r="D44" i="27"/>
  <c r="G44" i="27"/>
  <c r="D45" i="27"/>
  <c r="E45" i="27"/>
  <c r="D46" i="27"/>
  <c r="G46" i="27"/>
  <c r="E46" i="27"/>
  <c r="H46" i="27"/>
  <c r="D47" i="27"/>
  <c r="E47" i="27"/>
  <c r="D48" i="27"/>
  <c r="D43" i="27"/>
  <c r="H43" i="27"/>
  <c r="E43" i="27"/>
  <c r="E36" i="27"/>
  <c r="H36" i="27"/>
  <c r="E38" i="27"/>
  <c r="D39" i="27"/>
  <c r="G39" i="27"/>
  <c r="D40" i="27"/>
  <c r="E40" i="27"/>
  <c r="D41" i="27"/>
  <c r="G41" i="27"/>
  <c r="H41" i="27"/>
  <c r="E41" i="27"/>
  <c r="L35" i="27"/>
  <c r="E35" i="27"/>
  <c r="B143" i="6"/>
  <c r="D42" i="27"/>
  <c r="G42" i="27"/>
  <c r="D49" i="27"/>
  <c r="G49" i="27"/>
  <c r="H49" i="27"/>
  <c r="F36" i="27"/>
  <c r="F38" i="27"/>
  <c r="F39" i="27"/>
  <c r="F41" i="27"/>
  <c r="F43" i="27"/>
  <c r="F44" i="27"/>
  <c r="F45" i="27"/>
  <c r="F46" i="27"/>
  <c r="F47" i="27"/>
  <c r="F48" i="27"/>
  <c r="G36" i="27"/>
  <c r="G35" i="27"/>
  <c r="O44" i="27"/>
  <c r="O48" i="27"/>
  <c r="E100" i="25"/>
  <c r="D64" i="27"/>
  <c r="L69" i="27"/>
  <c r="E69" i="27"/>
  <c r="L70" i="27"/>
  <c r="L71" i="27"/>
  <c r="L72" i="27"/>
  <c r="E72" i="27"/>
  <c r="L73" i="27"/>
  <c r="F73" i="27"/>
  <c r="L74" i="27"/>
  <c r="J96" i="25"/>
  <c r="E115" i="25"/>
  <c r="J98" i="25"/>
  <c r="B141" i="6"/>
  <c r="K48" i="27"/>
  <c r="J48" i="27"/>
  <c r="J49" i="27"/>
  <c r="J73" i="25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D140" i="6"/>
  <c r="I140" i="6"/>
  <c r="D141" i="6"/>
  <c r="I141" i="6"/>
  <c r="J141" i="6"/>
  <c r="D142" i="6"/>
  <c r="I142" i="6"/>
  <c r="D144" i="6"/>
  <c r="I144" i="6"/>
  <c r="D145" i="6"/>
  <c r="I145" i="6"/>
  <c r="J145" i="6"/>
  <c r="D146" i="6"/>
  <c r="I146" i="6"/>
  <c r="I100" i="27"/>
  <c r="I76" i="27"/>
  <c r="L54" i="27"/>
  <c r="L53" i="27"/>
  <c r="L57" i="27"/>
  <c r="L55" i="27"/>
  <c r="L56" i="27"/>
  <c r="K49" i="27"/>
  <c r="L61" i="27"/>
  <c r="E61" i="27"/>
  <c r="F61" i="27"/>
  <c r="E62" i="27"/>
  <c r="F62" i="27"/>
  <c r="H62" i="27"/>
  <c r="J62" i="27"/>
  <c r="L63" i="27"/>
  <c r="E63" i="27"/>
  <c r="L64" i="27"/>
  <c r="E64" i="27"/>
  <c r="L65" i="27"/>
  <c r="E65" i="27"/>
  <c r="H65" i="27"/>
  <c r="F65" i="27"/>
  <c r="L66" i="27"/>
  <c r="E66" i="27"/>
  <c r="H66" i="27"/>
  <c r="F66" i="27"/>
  <c r="L67" i="27"/>
  <c r="E67" i="27"/>
  <c r="H67" i="27"/>
  <c r="F67" i="27"/>
  <c r="E70" i="27"/>
  <c r="H70" i="27"/>
  <c r="F70" i="27"/>
  <c r="E71" i="27"/>
  <c r="F71" i="27"/>
  <c r="H71" i="27"/>
  <c r="E73" i="27"/>
  <c r="H73" i="27"/>
  <c r="E74" i="27"/>
  <c r="F74" i="27"/>
  <c r="H74" i="27"/>
  <c r="H68" i="27"/>
  <c r="J68" i="27"/>
  <c r="K68" i="27"/>
  <c r="O74" i="27"/>
  <c r="L79" i="27"/>
  <c r="L80" i="27"/>
  <c r="L83" i="27"/>
  <c r="L81" i="27"/>
  <c r="L82" i="27"/>
  <c r="D139" i="6"/>
  <c r="I139" i="6"/>
  <c r="D138" i="6"/>
  <c r="I138" i="6"/>
  <c r="J139" i="6"/>
  <c r="D128" i="6"/>
  <c r="I128" i="6"/>
  <c r="B127" i="6"/>
  <c r="D127" i="6"/>
  <c r="I127" i="6"/>
  <c r="J128" i="6"/>
  <c r="D129" i="6"/>
  <c r="I129" i="6"/>
  <c r="J129" i="6"/>
  <c r="D130" i="6"/>
  <c r="I130" i="6"/>
  <c r="J130" i="6"/>
  <c r="B131" i="6"/>
  <c r="D131" i="6"/>
  <c r="I131" i="6"/>
  <c r="J131" i="6"/>
  <c r="D132" i="6"/>
  <c r="I132" i="6"/>
  <c r="J132" i="6"/>
  <c r="B133" i="6"/>
  <c r="D133" i="6"/>
  <c r="I133" i="6"/>
  <c r="J133" i="6"/>
  <c r="D134" i="6"/>
  <c r="I134" i="6"/>
  <c r="J134" i="6"/>
  <c r="D135" i="6"/>
  <c r="I135" i="6"/>
  <c r="J135" i="6"/>
  <c r="D136" i="6"/>
  <c r="I136" i="6"/>
  <c r="J136" i="6"/>
  <c r="D137" i="6"/>
  <c r="I137" i="6"/>
  <c r="J137" i="6"/>
  <c r="J138" i="6"/>
  <c r="K139" i="6"/>
  <c r="D143" i="6"/>
  <c r="I143" i="6"/>
  <c r="J143" i="6"/>
  <c r="J147" i="6"/>
  <c r="D88" i="27"/>
  <c r="G88" i="27"/>
  <c r="L88" i="27"/>
  <c r="D92" i="27"/>
  <c r="L89" i="27"/>
  <c r="L90" i="27"/>
  <c r="E90" i="27"/>
  <c r="H90" i="27"/>
  <c r="L91" i="27"/>
  <c r="L93" i="27"/>
  <c r="E93" i="27"/>
  <c r="H93" i="27"/>
  <c r="L94" i="27"/>
  <c r="F94" i="27"/>
  <c r="H94" i="27"/>
  <c r="L95" i="27"/>
  <c r="L96" i="27"/>
  <c r="F96" i="27"/>
  <c r="L97" i="27"/>
  <c r="L98" i="27"/>
  <c r="J105" i="25"/>
  <c r="D126" i="6"/>
  <c r="I126" i="6"/>
  <c r="J127" i="6"/>
  <c r="G89" i="27"/>
  <c r="G90" i="27"/>
  <c r="G91" i="27"/>
  <c r="G93" i="27"/>
  <c r="G94" i="27"/>
  <c r="G95" i="27"/>
  <c r="G96" i="27"/>
  <c r="G97" i="27"/>
  <c r="G98" i="27"/>
  <c r="U96" i="25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C37" i="6"/>
  <c r="D37" i="6"/>
  <c r="C38" i="6"/>
  <c r="D38" i="6"/>
  <c r="C39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B75" i="6"/>
  <c r="D75" i="6"/>
  <c r="D76" i="6"/>
  <c r="B77" i="6"/>
  <c r="D77" i="6"/>
  <c r="D78" i="6"/>
  <c r="D79" i="6"/>
  <c r="D80" i="6"/>
  <c r="D81" i="6"/>
  <c r="D82" i="6"/>
  <c r="D83" i="6"/>
  <c r="D84" i="6"/>
  <c r="B85" i="6"/>
  <c r="D85" i="6"/>
  <c r="D86" i="6"/>
  <c r="D87" i="6"/>
  <c r="B88" i="6"/>
  <c r="I88" i="6"/>
  <c r="D89" i="6"/>
  <c r="D90" i="6"/>
  <c r="D91" i="6"/>
  <c r="D92" i="6"/>
  <c r="D93" i="6"/>
  <c r="D94" i="6"/>
  <c r="B95" i="6"/>
  <c r="I95" i="6"/>
  <c r="I94" i="6"/>
  <c r="J95" i="6"/>
  <c r="D95" i="6"/>
  <c r="D96" i="6"/>
  <c r="D97" i="6"/>
  <c r="B98" i="6"/>
  <c r="D98" i="6"/>
  <c r="B99" i="6"/>
  <c r="D99" i="6"/>
  <c r="D100" i="6"/>
  <c r="B101" i="6"/>
  <c r="D101" i="6"/>
  <c r="D102" i="6"/>
  <c r="D103" i="6"/>
  <c r="D104" i="6"/>
  <c r="D105" i="6"/>
  <c r="B106" i="6"/>
  <c r="D106" i="6"/>
  <c r="B107" i="6"/>
  <c r="D107" i="6"/>
  <c r="B108" i="6"/>
  <c r="I108" i="6"/>
  <c r="I107" i="6"/>
  <c r="J108" i="6"/>
  <c r="D108" i="6"/>
  <c r="D109" i="6"/>
  <c r="B110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I125" i="6"/>
  <c r="I124" i="6"/>
  <c r="J125" i="6"/>
  <c r="E89" i="27"/>
  <c r="F95" i="27"/>
  <c r="E91" i="27"/>
  <c r="F91" i="27"/>
  <c r="F93" i="27"/>
  <c r="E94" i="27"/>
  <c r="E95" i="27"/>
  <c r="H95" i="27"/>
  <c r="E97" i="27"/>
  <c r="H97" i="27"/>
  <c r="F97" i="27"/>
  <c r="E98" i="27"/>
  <c r="H98" i="27"/>
  <c r="F98" i="27"/>
  <c r="H91" i="27"/>
  <c r="J91" i="27"/>
  <c r="O97" i="27"/>
  <c r="O98" i="27"/>
  <c r="O99" i="27"/>
  <c r="I123" i="6"/>
  <c r="I122" i="6"/>
  <c r="J123" i="6"/>
  <c r="J124" i="6"/>
  <c r="I121" i="6"/>
  <c r="J122" i="6"/>
  <c r="U105" i="25"/>
  <c r="U98" i="25"/>
  <c r="I116" i="6"/>
  <c r="I115" i="6"/>
  <c r="I114" i="6"/>
  <c r="I113" i="6"/>
  <c r="J114" i="6"/>
  <c r="J115" i="6"/>
  <c r="I117" i="6"/>
  <c r="I118" i="6"/>
  <c r="I119" i="6"/>
  <c r="I120" i="6"/>
  <c r="I104" i="6"/>
  <c r="I103" i="6"/>
  <c r="J104" i="6"/>
  <c r="I102" i="6"/>
  <c r="J103" i="6"/>
  <c r="I105" i="6"/>
  <c r="I106" i="6"/>
  <c r="J106" i="6"/>
  <c r="I109" i="6"/>
  <c r="J109" i="6"/>
  <c r="I110" i="6"/>
  <c r="J110" i="6"/>
  <c r="I111" i="6"/>
  <c r="I112" i="6"/>
  <c r="J113" i="6"/>
  <c r="I101" i="6"/>
  <c r="I98" i="6"/>
  <c r="I97" i="6"/>
  <c r="J98" i="6"/>
  <c r="I96" i="6"/>
  <c r="J97" i="6"/>
  <c r="I67" i="6"/>
  <c r="I66" i="6"/>
  <c r="J67" i="6"/>
  <c r="I68" i="6"/>
  <c r="I69" i="6"/>
  <c r="J69" i="6"/>
  <c r="I70" i="6"/>
  <c r="I71" i="6"/>
  <c r="J71" i="6"/>
  <c r="I72" i="6"/>
  <c r="J72" i="6"/>
  <c r="I73" i="6"/>
  <c r="J73" i="6"/>
  <c r="I74" i="6"/>
  <c r="I75" i="6"/>
  <c r="I76" i="6"/>
  <c r="I77" i="6"/>
  <c r="I78" i="6"/>
  <c r="J78" i="6"/>
  <c r="I79" i="6"/>
  <c r="J79" i="6"/>
  <c r="I81" i="6"/>
  <c r="I84" i="6"/>
  <c r="I85" i="6"/>
  <c r="J85" i="6"/>
  <c r="I86" i="6"/>
  <c r="I87" i="6"/>
  <c r="J87" i="6"/>
  <c r="I90" i="6"/>
  <c r="I89" i="6"/>
  <c r="J90" i="6"/>
  <c r="I91" i="6"/>
  <c r="J96" i="6"/>
  <c r="I99" i="6"/>
  <c r="I100" i="6"/>
  <c r="J100" i="6"/>
  <c r="I29" i="6"/>
  <c r="I28" i="6"/>
  <c r="I27" i="6"/>
  <c r="J28" i="6"/>
  <c r="I26" i="6"/>
  <c r="J27" i="6"/>
  <c r="I25" i="6"/>
  <c r="I30" i="6"/>
  <c r="I31" i="6"/>
  <c r="J31" i="6"/>
  <c r="I32" i="6"/>
  <c r="J32" i="6"/>
  <c r="I33" i="6"/>
  <c r="I34" i="6"/>
  <c r="J34" i="6"/>
  <c r="I35" i="6"/>
  <c r="I36" i="6"/>
  <c r="I40" i="6"/>
  <c r="I39" i="6"/>
  <c r="J40" i="6"/>
  <c r="I41" i="6"/>
  <c r="I42" i="6"/>
  <c r="J42" i="6"/>
  <c r="I43" i="6"/>
  <c r="I44" i="6"/>
  <c r="J44" i="6"/>
  <c r="I45" i="6"/>
  <c r="J45" i="6"/>
  <c r="I46" i="6"/>
  <c r="I47" i="6"/>
  <c r="J47" i="6"/>
  <c r="I48" i="6"/>
  <c r="J48" i="6"/>
  <c r="I49" i="6"/>
  <c r="I50" i="6"/>
  <c r="J50" i="6"/>
  <c r="I51" i="6"/>
  <c r="I52" i="6"/>
  <c r="J52" i="6"/>
  <c r="I53" i="6"/>
  <c r="I54" i="6"/>
  <c r="I55" i="6"/>
  <c r="J55" i="6"/>
  <c r="I56" i="6"/>
  <c r="I57" i="6"/>
  <c r="I58" i="6"/>
  <c r="J58" i="6"/>
  <c r="I59" i="6"/>
  <c r="I60" i="6"/>
  <c r="J60" i="6"/>
  <c r="I61" i="6"/>
  <c r="I62" i="6"/>
  <c r="J62" i="6"/>
  <c r="J61" i="6"/>
  <c r="I63" i="6"/>
  <c r="I64" i="6"/>
  <c r="I65" i="6"/>
  <c r="I6" i="6"/>
  <c r="I5" i="6"/>
  <c r="I7" i="6"/>
  <c r="I8" i="6"/>
  <c r="J8" i="6"/>
  <c r="I9" i="6"/>
  <c r="I10" i="6"/>
  <c r="I11" i="6"/>
  <c r="J11" i="6"/>
  <c r="I12" i="6"/>
  <c r="J12" i="6"/>
  <c r="I13" i="6"/>
  <c r="J13" i="6"/>
  <c r="I14" i="6"/>
  <c r="I15" i="6"/>
  <c r="I16" i="6"/>
  <c r="I17" i="6"/>
  <c r="J17" i="6"/>
  <c r="J16" i="6"/>
  <c r="I18" i="6"/>
  <c r="I19" i="6"/>
  <c r="J19" i="6"/>
  <c r="I20" i="6"/>
  <c r="J20" i="6"/>
  <c r="I21" i="6"/>
  <c r="J21" i="6"/>
  <c r="I22" i="6"/>
  <c r="I23" i="6"/>
  <c r="J23" i="6"/>
  <c r="I24" i="6"/>
  <c r="J24" i="6"/>
  <c r="I38" i="6"/>
  <c r="I37" i="6"/>
  <c r="J38" i="6"/>
  <c r="J37" i="6"/>
  <c r="H11" i="5"/>
  <c r="I11" i="5"/>
  <c r="H10" i="5"/>
  <c r="I10" i="5"/>
  <c r="H12" i="5"/>
  <c r="I12" i="5"/>
  <c r="K12" i="5"/>
  <c r="F13" i="5"/>
  <c r="G13" i="5"/>
  <c r="J13" i="5"/>
  <c r="L16" i="1"/>
  <c r="O11" i="4"/>
  <c r="O12" i="4"/>
  <c r="O13" i="4"/>
  <c r="O14" i="4"/>
  <c r="O15" i="4"/>
  <c r="O16" i="4"/>
  <c r="O17" i="4"/>
  <c r="O18" i="4"/>
  <c r="O19" i="4"/>
  <c r="O20" i="4"/>
  <c r="O21" i="4"/>
  <c r="M13" i="4"/>
  <c r="M14" i="4"/>
  <c r="M15" i="4"/>
  <c r="M16" i="4"/>
  <c r="M17" i="4"/>
  <c r="M18" i="4"/>
  <c r="M19" i="4"/>
  <c r="M20" i="4"/>
  <c r="M21" i="4"/>
  <c r="M11" i="4"/>
  <c r="M12" i="4"/>
  <c r="P10" i="4"/>
  <c r="I16" i="4"/>
  <c r="J16" i="4"/>
  <c r="I17" i="4"/>
  <c r="J17" i="4"/>
  <c r="I18" i="4"/>
  <c r="J18" i="4"/>
  <c r="I19" i="4"/>
  <c r="J19" i="4"/>
  <c r="I20" i="4"/>
  <c r="J20" i="4"/>
  <c r="I21" i="4"/>
  <c r="J21" i="4"/>
  <c r="I12" i="4"/>
  <c r="J12" i="4"/>
  <c r="I13" i="4"/>
  <c r="J13" i="4"/>
  <c r="I14" i="4"/>
  <c r="J14" i="4"/>
  <c r="I10" i="4"/>
  <c r="J10" i="4"/>
  <c r="I11" i="4"/>
  <c r="J11" i="4"/>
  <c r="I15" i="4"/>
  <c r="J15" i="4"/>
  <c r="P11" i="4"/>
  <c r="P12" i="4"/>
  <c r="P13" i="4"/>
  <c r="P14" i="4"/>
  <c r="P15" i="4"/>
  <c r="P16" i="4"/>
  <c r="P17" i="4"/>
  <c r="P18" i="4"/>
  <c r="P19" i="4"/>
  <c r="P20" i="4"/>
  <c r="P21" i="4"/>
  <c r="N12" i="4"/>
  <c r="N13" i="4"/>
  <c r="N14" i="4"/>
  <c r="N15" i="4"/>
  <c r="N16" i="4"/>
  <c r="N17" i="4"/>
  <c r="N18" i="4"/>
  <c r="N19" i="4"/>
  <c r="N20" i="4"/>
  <c r="N21" i="4"/>
  <c r="L22" i="4"/>
  <c r="K22" i="4"/>
  <c r="P22" i="4"/>
  <c r="O22" i="4"/>
  <c r="H22" i="4"/>
  <c r="G22" i="4"/>
  <c r="N11" i="4"/>
  <c r="O10" i="4"/>
  <c r="N10" i="4"/>
  <c r="M10" i="4"/>
  <c r="J14" i="1"/>
  <c r="N14" i="1"/>
  <c r="J15" i="1"/>
  <c r="M15" i="1"/>
  <c r="O12" i="1"/>
  <c r="O15" i="1"/>
  <c r="O14" i="1"/>
  <c r="O13" i="1"/>
  <c r="O11" i="1"/>
  <c r="O10" i="1"/>
  <c r="K17" i="1"/>
  <c r="J11" i="1"/>
  <c r="I12" i="1"/>
  <c r="J12" i="1"/>
  <c r="I13" i="1"/>
  <c r="J13" i="1"/>
  <c r="I16" i="1"/>
  <c r="J16" i="1"/>
  <c r="N16" i="1"/>
  <c r="P11" i="1"/>
  <c r="P12" i="1"/>
  <c r="P13" i="1"/>
  <c r="P14" i="1"/>
  <c r="P15" i="1"/>
  <c r="P10" i="1"/>
  <c r="H17" i="1"/>
  <c r="G17" i="1"/>
  <c r="I10" i="1"/>
  <c r="I11" i="1"/>
  <c r="I14" i="1"/>
  <c r="I15" i="1"/>
  <c r="I17" i="1"/>
  <c r="G18" i="1"/>
  <c r="M12" i="1"/>
  <c r="F10" i="1"/>
  <c r="M10" i="1"/>
  <c r="N10" i="1"/>
  <c r="P16" i="1"/>
  <c r="N15" i="1"/>
  <c r="N12" i="1"/>
  <c r="H13" i="5"/>
  <c r="F14" i="5"/>
  <c r="L11" i="5"/>
  <c r="I13" i="5"/>
  <c r="L13" i="5"/>
  <c r="K11" i="5"/>
  <c r="M16" i="1"/>
  <c r="M14" i="1"/>
  <c r="N11" i="1"/>
  <c r="O16" i="1"/>
  <c r="L17" i="1"/>
  <c r="O17" i="1"/>
  <c r="P17" i="1"/>
  <c r="N13" i="1"/>
  <c r="M13" i="1"/>
  <c r="J22" i="4"/>
  <c r="I22" i="4"/>
  <c r="G23" i="4"/>
  <c r="L12" i="5"/>
  <c r="K10" i="5"/>
  <c r="L10" i="5"/>
  <c r="J17" i="1"/>
  <c r="M11" i="1"/>
  <c r="K13" i="5"/>
  <c r="N17" i="1"/>
  <c r="M17" i="1"/>
  <c r="M22" i="4"/>
  <c r="N22" i="4"/>
  <c r="I92" i="6"/>
  <c r="J92" i="6"/>
  <c r="I93" i="6"/>
  <c r="J94" i="6"/>
  <c r="I83" i="6"/>
  <c r="I82" i="6"/>
  <c r="J83" i="6"/>
  <c r="J82" i="6"/>
  <c r="I80" i="6"/>
  <c r="J117" i="6"/>
  <c r="J112" i="6"/>
  <c r="J26" i="6"/>
  <c r="J101" i="6"/>
  <c r="J119" i="6"/>
  <c r="J65" i="6"/>
  <c r="J121" i="6"/>
  <c r="J64" i="6"/>
  <c r="J36" i="6"/>
  <c r="J51" i="6"/>
  <c r="J54" i="6"/>
  <c r="J107" i="6"/>
  <c r="J118" i="6"/>
  <c r="J7" i="6"/>
  <c r="J75" i="6"/>
  <c r="J63" i="6"/>
  <c r="J6" i="6"/>
  <c r="J59" i="6"/>
  <c r="J81" i="6"/>
  <c r="J10" i="6"/>
  <c r="J56" i="6"/>
  <c r="J102" i="6"/>
  <c r="J116" i="6"/>
  <c r="J25" i="6"/>
  <c r="J84" i="6"/>
  <c r="J120" i="6"/>
  <c r="J43" i="6"/>
  <c r="J15" i="6"/>
  <c r="J49" i="6"/>
  <c r="J99" i="6"/>
  <c r="J30" i="6"/>
  <c r="J76" i="6"/>
  <c r="J70" i="6"/>
  <c r="J53" i="6"/>
  <c r="J41" i="6"/>
  <c r="J39" i="6"/>
  <c r="J86" i="6"/>
  <c r="J77" i="6"/>
  <c r="J18" i="6"/>
  <c r="J66" i="6"/>
  <c r="J126" i="6"/>
  <c r="K91" i="27"/>
  <c r="F89" i="27"/>
  <c r="F90" i="27"/>
  <c r="H89" i="27"/>
  <c r="K89" i="27"/>
  <c r="K127" i="6"/>
  <c r="J88" i="6"/>
  <c r="J89" i="6"/>
  <c r="J29" i="6"/>
  <c r="J111" i="6"/>
  <c r="J46" i="6"/>
  <c r="J9" i="6"/>
  <c r="J33" i="6"/>
  <c r="J91" i="6"/>
  <c r="J22" i="6"/>
  <c r="J93" i="6"/>
  <c r="K103" i="6"/>
  <c r="J14" i="6"/>
  <c r="J35" i="6"/>
  <c r="D88" i="6"/>
  <c r="J68" i="6"/>
  <c r="J74" i="6"/>
  <c r="K79" i="6"/>
  <c r="J57" i="6"/>
  <c r="J105" i="6"/>
  <c r="K115" i="6"/>
  <c r="J80" i="6"/>
  <c r="K91" i="6"/>
  <c r="J140" i="6"/>
  <c r="J142" i="6"/>
  <c r="J144" i="6"/>
  <c r="J146" i="6"/>
  <c r="J148" i="6"/>
  <c r="J149" i="6"/>
  <c r="D50" i="27"/>
  <c r="E37" i="27"/>
  <c r="H37" i="27"/>
  <c r="F37" i="27"/>
  <c r="G37" i="27"/>
  <c r="F35" i="27"/>
  <c r="E83" i="25"/>
  <c r="J151" i="6"/>
  <c r="J150" i="6"/>
  <c r="Q56" i="27"/>
  <c r="K14" i="27"/>
  <c r="K15" i="27"/>
  <c r="K21" i="27"/>
  <c r="J21" i="27"/>
  <c r="G13" i="27"/>
  <c r="J37" i="27"/>
  <c r="K37" i="27"/>
  <c r="J93" i="27"/>
  <c r="K93" i="27"/>
  <c r="K90" i="27"/>
  <c r="J90" i="27"/>
  <c r="H61" i="27"/>
  <c r="E76" i="27"/>
  <c r="J46" i="27"/>
  <c r="K46" i="27"/>
  <c r="F50" i="27"/>
  <c r="J98" i="27"/>
  <c r="K98" i="27"/>
  <c r="K66" i="27"/>
  <c r="J66" i="27"/>
  <c r="J97" i="27"/>
  <c r="K97" i="27"/>
  <c r="K74" i="27"/>
  <c r="J74" i="27"/>
  <c r="K70" i="27"/>
  <c r="J70" i="27"/>
  <c r="K65" i="27"/>
  <c r="J65" i="27"/>
  <c r="H35" i="27"/>
  <c r="J73" i="27"/>
  <c r="K73" i="27"/>
  <c r="J67" i="27"/>
  <c r="K67" i="27"/>
  <c r="G92" i="27"/>
  <c r="J71" i="27"/>
  <c r="K71" i="27"/>
  <c r="H72" i="27"/>
  <c r="J41" i="27"/>
  <c r="K41" i="27"/>
  <c r="J95" i="27"/>
  <c r="K95" i="27"/>
  <c r="H38" i="27"/>
  <c r="J94" i="27"/>
  <c r="K94" i="27"/>
  <c r="J43" i="27"/>
  <c r="K43" i="27"/>
  <c r="E88" i="27"/>
  <c r="F72" i="27"/>
  <c r="F69" i="27"/>
  <c r="H69" i="27"/>
  <c r="F64" i="27"/>
  <c r="H64" i="27"/>
  <c r="F63" i="27"/>
  <c r="F76" i="27"/>
  <c r="F40" i="27"/>
  <c r="E39" i="27"/>
  <c r="H47" i="27"/>
  <c r="G45" i="27"/>
  <c r="H45" i="27"/>
  <c r="G40" i="27"/>
  <c r="H40" i="27"/>
  <c r="D75" i="27"/>
  <c r="J89" i="27"/>
  <c r="F88" i="27"/>
  <c r="F100" i="27"/>
  <c r="E96" i="27"/>
  <c r="H96" i="27"/>
  <c r="O90" i="27"/>
  <c r="P99" i="25"/>
  <c r="P102" i="25"/>
  <c r="P105" i="25"/>
  <c r="P107" i="25"/>
  <c r="E48" i="27"/>
  <c r="H48" i="27"/>
  <c r="H42" i="27"/>
  <c r="D99" i="27"/>
  <c r="H39" i="27"/>
  <c r="H88" i="27"/>
  <c r="K62" i="27"/>
  <c r="E44" i="27"/>
  <c r="H44" i="27"/>
  <c r="K18" i="27"/>
  <c r="J18" i="27"/>
  <c r="J22" i="27"/>
  <c r="K22" i="27"/>
  <c r="H13" i="27"/>
  <c r="K13" i="27"/>
  <c r="J17" i="27"/>
  <c r="K17" i="27"/>
  <c r="K19" i="27"/>
  <c r="J19" i="27"/>
  <c r="J44" i="27"/>
  <c r="K44" i="27"/>
  <c r="J40" i="27"/>
  <c r="K40" i="27"/>
  <c r="J64" i="27"/>
  <c r="K64" i="27"/>
  <c r="J45" i="27"/>
  <c r="K45" i="27"/>
  <c r="J69" i="27"/>
  <c r="K69" i="27"/>
  <c r="J61" i="27"/>
  <c r="K61" i="27"/>
  <c r="G99" i="27"/>
  <c r="H99" i="27"/>
  <c r="O91" i="27"/>
  <c r="E100" i="27"/>
  <c r="D100" i="27"/>
  <c r="O92" i="27"/>
  <c r="U109" i="25"/>
  <c r="U112" i="25"/>
  <c r="O65" i="27"/>
  <c r="J42" i="27"/>
  <c r="K42" i="27"/>
  <c r="K72" i="27"/>
  <c r="J72" i="27"/>
  <c r="H63" i="27"/>
  <c r="D76" i="27"/>
  <c r="G75" i="27"/>
  <c r="H75" i="27"/>
  <c r="O64" i="27"/>
  <c r="K88" i="27"/>
  <c r="J88" i="27"/>
  <c r="K96" i="27"/>
  <c r="J96" i="27"/>
  <c r="K35" i="27"/>
  <c r="J35" i="27"/>
  <c r="K39" i="27"/>
  <c r="J39" i="27"/>
  <c r="K47" i="27"/>
  <c r="J47" i="27"/>
  <c r="J38" i="27"/>
  <c r="K38" i="27"/>
  <c r="H92" i="27"/>
  <c r="H100" i="27"/>
  <c r="E6" i="29"/>
  <c r="E10" i="29"/>
  <c r="H12" i="27"/>
  <c r="K12" i="27"/>
  <c r="J75" i="27"/>
  <c r="K75" i="27"/>
  <c r="H76" i="27"/>
  <c r="K99" i="27"/>
  <c r="J99" i="27"/>
  <c r="G100" i="27"/>
  <c r="D101" i="27"/>
  <c r="J63" i="27"/>
  <c r="K63" i="27"/>
  <c r="O66" i="27"/>
  <c r="J109" i="25"/>
  <c r="G76" i="27"/>
  <c r="D77" i="27"/>
  <c r="J92" i="27"/>
  <c r="K92" i="27"/>
  <c r="E99" i="25"/>
  <c r="E102" i="25"/>
  <c r="E105" i="25"/>
  <c r="E107" i="25"/>
  <c r="J152" i="6"/>
  <c r="H18" i="27"/>
  <c r="H23" i="27"/>
  <c r="E50" i="27"/>
  <c r="G50" i="27"/>
  <c r="D51" i="27"/>
  <c r="O39" i="27"/>
  <c r="E70" i="25"/>
  <c r="E73" i="25"/>
  <c r="E75" i="25"/>
  <c r="G87" i="25"/>
  <c r="H87" i="25"/>
  <c r="H88" i="25"/>
  <c r="I88" i="25"/>
  <c r="H50" i="27"/>
  <c r="K36" i="27"/>
  <c r="J36" i="27"/>
  <c r="I153" i="6"/>
  <c r="J66" i="25"/>
  <c r="J153" i="6"/>
  <c r="E13" i="29"/>
  <c r="H10" i="27"/>
  <c r="K10" i="27"/>
  <c r="I154" i="6"/>
  <c r="J154" i="6"/>
  <c r="J63" i="25"/>
  <c r="J65" i="25"/>
  <c r="J68" i="25"/>
  <c r="J74" i="25"/>
  <c r="I12" i="30"/>
  <c r="L10" i="30"/>
  <c r="L11" i="30"/>
  <c r="H15" i="27"/>
  <c r="H20" i="27"/>
  <c r="E25" i="27"/>
  <c r="L12" i="30"/>
  <c r="I13" i="30"/>
  <c r="O14" i="27"/>
  <c r="D25" i="27"/>
  <c r="H17" i="27"/>
  <c r="H14" i="27"/>
  <c r="J55" i="31"/>
  <c r="J91" i="31"/>
  <c r="J155" i="31"/>
  <c r="J89" i="31"/>
  <c r="J83" i="31"/>
  <c r="J53" i="31"/>
  <c r="J47" i="31"/>
  <c r="J175" i="31"/>
  <c r="J117" i="31"/>
  <c r="J81" i="31"/>
  <c r="J69" i="31"/>
  <c r="J45" i="31"/>
  <c r="J33" i="31"/>
  <c r="J109" i="31"/>
  <c r="J145" i="31"/>
  <c r="Q6" i="6"/>
  <c r="L7" i="6"/>
  <c r="J156" i="6"/>
  <c r="J157" i="6"/>
  <c r="E24" i="30"/>
  <c r="F24" i="30"/>
  <c r="G24" i="30"/>
  <c r="L42" i="6"/>
  <c r="H23" i="30"/>
  <c r="I23" i="30"/>
  <c r="G20" i="30"/>
  <c r="E20" i="30"/>
  <c r="H21" i="30"/>
  <c r="G19" i="30"/>
  <c r="F19" i="30"/>
  <c r="I24" i="30"/>
  <c r="R34" i="28"/>
  <c r="I14" i="30"/>
  <c r="K14" i="30"/>
  <c r="L14" i="30"/>
  <c r="D25" i="30"/>
  <c r="P13" i="30"/>
  <c r="O25" i="30"/>
  <c r="I20" i="30"/>
  <c r="F20" i="30"/>
  <c r="E19" i="30"/>
  <c r="E21" i="30"/>
  <c r="I21" i="30"/>
  <c r="E22" i="30"/>
  <c r="I22" i="30"/>
  <c r="D45" i="32"/>
  <c r="N45" i="32"/>
  <c r="I36" i="32"/>
  <c r="E45" i="32"/>
  <c r="H42" i="32"/>
  <c r="I38" i="32"/>
  <c r="I37" i="32"/>
  <c r="I35" i="32"/>
  <c r="I34" i="32"/>
  <c r="G45" i="32"/>
  <c r="L34" i="32"/>
  <c r="F18" i="30"/>
  <c r="I18" i="30"/>
  <c r="P15" i="30"/>
  <c r="F17" i="30"/>
  <c r="I17" i="30"/>
  <c r="H25" i="30"/>
  <c r="G25" i="30"/>
  <c r="F25" i="30"/>
  <c r="I19" i="30"/>
  <c r="E25" i="30"/>
  <c r="D26" i="30"/>
  <c r="I25" i="30"/>
  <c r="P14" i="30"/>
  <c r="J24" i="31"/>
  <c r="I42" i="32"/>
  <c r="F45" i="32"/>
  <c r="I39" i="32"/>
  <c r="H45" i="32"/>
  <c r="D46" i="32"/>
  <c r="O35" i="32"/>
  <c r="K39" i="32"/>
  <c r="L39" i="32"/>
  <c r="I45" i="32"/>
  <c r="N5" i="31" a="1"/>
  <c r="N5" i="31"/>
  <c r="L5" i="31" a="1"/>
  <c r="L5" i="31"/>
  <c r="T5" i="31" a="1"/>
  <c r="T5" i="31"/>
  <c r="V23" i="28"/>
  <c r="M33" i="28"/>
  <c r="P33" i="28"/>
  <c r="K56" i="28"/>
  <c r="M56" i="28"/>
  <c r="AA4" i="28"/>
  <c r="R7" i="28"/>
  <c r="AA10" i="28"/>
  <c r="V8" i="28"/>
  <c r="R30" i="28"/>
  <c r="J38" i="31"/>
  <c r="J39" i="31"/>
  <c r="J57" i="31"/>
  <c r="J56" i="31"/>
  <c r="J133" i="31"/>
  <c r="J103" i="31"/>
  <c r="J102" i="31"/>
  <c r="J138" i="31"/>
  <c r="J139" i="31"/>
  <c r="J131" i="31"/>
  <c r="J130" i="31"/>
  <c r="J93" i="31"/>
  <c r="J92" i="31"/>
  <c r="K102" i="31"/>
  <c r="J105" i="31"/>
  <c r="J167" i="31"/>
  <c r="J166" i="31"/>
  <c r="J156" i="31"/>
  <c r="J150" i="31"/>
  <c r="J146" i="31"/>
  <c r="J143" i="31"/>
  <c r="J118" i="31"/>
  <c r="J98" i="31"/>
  <c r="J77" i="31"/>
  <c r="J67" i="31"/>
  <c r="J66" i="31"/>
  <c r="J177" i="31"/>
  <c r="J149" i="31"/>
  <c r="J148" i="31"/>
  <c r="J132" i="31"/>
  <c r="J128" i="31"/>
  <c r="K138" i="31"/>
  <c r="J121" i="31"/>
  <c r="J115" i="31"/>
  <c r="J111" i="31"/>
  <c r="J110" i="31"/>
  <c r="J94" i="31"/>
  <c r="J59" i="31"/>
  <c r="J42" i="31"/>
  <c r="J49" i="31"/>
  <c r="J125" i="31"/>
  <c r="J159" i="31"/>
  <c r="J135" i="31"/>
  <c r="J120" i="31"/>
  <c r="J114" i="31"/>
  <c r="J100" i="31"/>
  <c r="J87" i="31"/>
  <c r="J76" i="31"/>
  <c r="J72" i="31"/>
  <c r="J41" i="31"/>
  <c r="J31" i="31"/>
  <c r="J30" i="31"/>
  <c r="J85" i="31"/>
  <c r="J84" i="31"/>
  <c r="J113" i="31"/>
  <c r="J112" i="31"/>
  <c r="J75" i="31"/>
  <c r="J153" i="31"/>
  <c r="K162" i="31"/>
  <c r="J161" i="31"/>
  <c r="J96" i="31"/>
  <c r="J64" i="31"/>
  <c r="J51" i="31"/>
  <c r="J36" i="31"/>
  <c r="J169" i="31"/>
  <c r="J61" i="31"/>
  <c r="J26" i="31"/>
  <c r="J20" i="31"/>
  <c r="J21" i="31"/>
  <c r="K114" i="31"/>
  <c r="K150" i="31"/>
  <c r="K126" i="31"/>
  <c r="R42" i="28"/>
  <c r="R44" i="28"/>
  <c r="R119" i="25"/>
  <c r="S119" i="25"/>
  <c r="S120" i="25"/>
  <c r="T120" i="25"/>
  <c r="U95" i="25"/>
  <c r="U97" i="25"/>
  <c r="U100" i="25"/>
  <c r="U106" i="25"/>
  <c r="R26" i="25"/>
  <c r="S26" i="25"/>
  <c r="S29" i="25"/>
  <c r="T29" i="25"/>
  <c r="G26" i="25"/>
  <c r="H26" i="25"/>
  <c r="H29" i="25"/>
  <c r="I29" i="25"/>
  <c r="G119" i="25"/>
  <c r="H119" i="25"/>
  <c r="H120" i="25"/>
  <c r="I120" i="25"/>
  <c r="J95" i="25"/>
  <c r="J97" i="25"/>
  <c r="J100" i="25"/>
  <c r="J106" i="25"/>
  <c r="J35" i="25"/>
  <c r="E52" i="25"/>
  <c r="G58" i="25"/>
  <c r="H58" i="25"/>
  <c r="H16" i="27"/>
  <c r="G25" i="27"/>
  <c r="D26" i="27"/>
  <c r="O15" i="27"/>
  <c r="D46" i="28"/>
  <c r="R45" i="28"/>
  <c r="J49" i="25"/>
  <c r="G56" i="25"/>
  <c r="H56" i="25"/>
  <c r="H59" i="25"/>
  <c r="I59" i="25"/>
  <c r="J34" i="25"/>
  <c r="J37" i="25"/>
  <c r="J43" i="25"/>
  <c r="J16" i="27"/>
  <c r="H25" i="27"/>
  <c r="K16" i="27"/>
  <c r="J51" i="25"/>
  <c r="J52" i="25"/>
  <c r="F52" i="25"/>
  <c r="J22" i="28"/>
  <c r="S8" i="28"/>
  <c r="N33" i="28"/>
  <c r="AA16" i="28"/>
  <c r="O28" i="28"/>
  <c r="S28" i="28"/>
  <c r="S16" i="28"/>
  <c r="S13" i="28"/>
  <c r="S15" i="28"/>
  <c r="T23" i="28"/>
  <c r="D47" i="28"/>
  <c r="E47" i="28"/>
  <c r="S46" i="28"/>
  <c r="R46" i="28"/>
  <c r="AA5" i="28"/>
  <c r="AB5" i="28"/>
  <c r="J33" i="28"/>
  <c r="J56" i="28"/>
  <c r="S27" i="28"/>
  <c r="V38" i="28"/>
  <c r="V56" i="28"/>
  <c r="I22" i="28"/>
  <c r="I56" i="28"/>
  <c r="AA15" i="28"/>
  <c r="O7" i="28"/>
  <c r="O56" i="28"/>
  <c r="AA11" i="28"/>
  <c r="J78" i="25"/>
  <c r="J110" i="25"/>
  <c r="J112" i="25"/>
  <c r="J114" i="25"/>
  <c r="E46" i="28"/>
  <c r="O33" i="28"/>
  <c r="T38" i="28"/>
  <c r="J115" i="25"/>
  <c r="F115" i="25"/>
  <c r="AB16" i="28"/>
  <c r="S7" i="28"/>
  <c r="T8" i="28"/>
  <c r="AB11" i="28"/>
  <c r="S45" i="28"/>
  <c r="D48" i="28"/>
  <c r="R47" i="28"/>
  <c r="E48" i="28"/>
  <c r="S47" i="28"/>
  <c r="D50" i="28"/>
  <c r="E50" i="28"/>
  <c r="S49" i="28"/>
  <c r="R49" i="28"/>
  <c r="R48" i="28"/>
  <c r="D49" i="28"/>
  <c r="E49" i="28"/>
  <c r="S48" i="28"/>
  <c r="R50" i="28"/>
  <c r="D51" i="28"/>
  <c r="E51" i="28"/>
  <c r="S50" i="28"/>
  <c r="D52" i="28"/>
  <c r="E52" i="28"/>
  <c r="S51" i="28"/>
  <c r="R51" i="28"/>
  <c r="R53" i="28"/>
  <c r="D54" i="28"/>
  <c r="E54" i="28"/>
  <c r="S53" i="28"/>
  <c r="AA20" i="28"/>
  <c r="D53" i="28"/>
  <c r="R52" i="28"/>
  <c r="P47" i="25"/>
  <c r="P52" i="25"/>
  <c r="C56" i="28"/>
  <c r="U35" i="25"/>
  <c r="U37" i="25"/>
  <c r="U43" i="25"/>
  <c r="R58" i="25"/>
  <c r="S58" i="25"/>
  <c r="S59" i="25"/>
  <c r="T59" i="25"/>
  <c r="AA21" i="28"/>
  <c r="AB21" i="28"/>
  <c r="U47" i="25"/>
  <c r="U49" i="25"/>
  <c r="D56" i="28"/>
  <c r="E53" i="28"/>
  <c r="R56" i="28"/>
  <c r="S52" i="28"/>
  <c r="E56" i="28"/>
  <c r="U51" i="25"/>
  <c r="Q52" i="25"/>
  <c r="U52" i="25"/>
  <c r="S56" i="28"/>
  <c r="T53" i="2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<sst xmlns="http://schemas.openxmlformats.org/spreadsheetml/2006/main" count="1031" uniqueCount="167">
  <si>
    <t>Mes</t>
  </si>
  <si>
    <t>Cuenta</t>
  </si>
  <si>
    <t>Ahorro</t>
  </si>
  <si>
    <t>TOTAL</t>
  </si>
  <si>
    <t>Balance</t>
  </si>
  <si>
    <t>Bruto</t>
  </si>
  <si>
    <t>SS</t>
  </si>
  <si>
    <t>IRPF</t>
  </si>
  <si>
    <t>Sueldo</t>
  </si>
  <si>
    <t>Ingresado</t>
  </si>
  <si>
    <t>Diferencia</t>
  </si>
  <si>
    <t>Paga Extra</t>
  </si>
  <si>
    <t>Rend trabajo 2022</t>
  </si>
  <si>
    <t>Gastos Deducibles SS</t>
  </si>
  <si>
    <t>Viaje</t>
  </si>
  <si>
    <t>Extra DIC22</t>
  </si>
  <si>
    <t>RENTA 2022</t>
  </si>
  <si>
    <t>RENTA 2023</t>
  </si>
  <si>
    <t>Gastos deducibles</t>
  </si>
  <si>
    <t>Tipo de interes</t>
  </si>
  <si>
    <t>Nómina EHU/UPV - Caja Rural de Navarra</t>
  </si>
  <si>
    <t>De</t>
  </si>
  <si>
    <t>Hasta</t>
  </si>
  <si>
    <t>IRPF (2%)</t>
  </si>
  <si>
    <t>Mayo</t>
  </si>
  <si>
    <t>Junio</t>
  </si>
  <si>
    <t>Julio</t>
  </si>
  <si>
    <t>Nómina SEA - Mercedes-Benz</t>
  </si>
  <si>
    <t>Días</t>
  </si>
  <si>
    <t>Bolsa</t>
  </si>
  <si>
    <t>A LK</t>
  </si>
  <si>
    <t>Octubre</t>
  </si>
  <si>
    <t>Noviembre</t>
  </si>
  <si>
    <t>Diciembre</t>
  </si>
  <si>
    <t>Enero</t>
  </si>
  <si>
    <t>Febrero</t>
  </si>
  <si>
    <t>Marzo</t>
  </si>
  <si>
    <t>Abril</t>
  </si>
  <si>
    <t>Nómina</t>
  </si>
  <si>
    <t>Agosto</t>
  </si>
  <si>
    <t>Septiembre</t>
  </si>
  <si>
    <t>Extra JUL22</t>
  </si>
  <si>
    <t>L</t>
  </si>
  <si>
    <t>M</t>
  </si>
  <si>
    <t>X</t>
  </si>
  <si>
    <t>J</t>
  </si>
  <si>
    <t>V</t>
  </si>
  <si>
    <t>S</t>
  </si>
  <si>
    <t>D</t>
  </si>
  <si>
    <t>Desemp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</si>
  <si>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</si>
  <si>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</si>
  <si>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</si>
  <si>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</si>
  <si>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</si>
  <si>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</si>
  <si>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</si>
  <si>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</si>
  <si>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</si>
  <si>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</si>
  <si>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</si>
  <si>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</si>
  <si>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 FarmaConsulting</t>
  </si>
  <si>
    <t>AHORRO MIKEL</t>
  </si>
  <si>
    <t>TOTAL BBVA</t>
  </si>
  <si>
    <t>AHORRO ÚLTIMO MES</t>
  </si>
  <si>
    <t>BBVA</t>
  </si>
  <si>
    <t/>
  </si>
  <si>
    <t>Rend trabajo 2023</t>
  </si>
  <si>
    <t>VACACIONES</t>
  </si>
  <si>
    <t>Quedan</t>
  </si>
  <si>
    <t>Extra Beneficios</t>
  </si>
  <si>
    <t>Cierres</t>
  </si>
  <si>
    <t>Ventas</t>
  </si>
  <si>
    <t>NPS</t>
  </si>
  <si>
    <t>Específico</t>
  </si>
  <si>
    <t>Cumplimiento</t>
  </si>
  <si>
    <t xml:space="preserve">Bonus </t>
  </si>
  <si>
    <t>indem desp 33</t>
  </si>
  <si>
    <t>EVO</t>
  </si>
  <si>
    <t>Banc Sabadell</t>
  </si>
  <si>
    <t>Intereses</t>
  </si>
  <si>
    <t>Retención</t>
  </si>
  <si>
    <t>Neto</t>
  </si>
  <si>
    <t>Sant</t>
  </si>
  <si>
    <t>Viaje sep</t>
  </si>
  <si>
    <t>RENTA 2024</t>
  </si>
  <si>
    <t>RENTA 202</t>
  </si>
  <si>
    <t>Crucero jun</t>
  </si>
  <si>
    <t>N26</t>
  </si>
  <si>
    <t>RENTA 2025</t>
  </si>
  <si>
    <t>Extra JUL24</t>
  </si>
  <si>
    <t>Extra DIC24</t>
  </si>
  <si>
    <t>Extra JUL25</t>
  </si>
  <si>
    <t>Extra DIC25</t>
  </si>
  <si>
    <t>Extra JUL23</t>
  </si>
  <si>
    <t>Extra DIC23</t>
  </si>
  <si>
    <t>B100</t>
  </si>
  <si>
    <t>baja</t>
  </si>
  <si>
    <t>mes</t>
  </si>
  <si>
    <t>paga</t>
  </si>
  <si>
    <t>diario</t>
  </si>
  <si>
    <t>Bankinter</t>
  </si>
  <si>
    <t>TOTAL BANKINTER</t>
  </si>
  <si>
    <t>TOTAL B100</t>
  </si>
  <si>
    <r>
      <rPr>
        <b/>
        <sz val="9"/>
        <color rgb="FFFFFFFF"/>
        <rFont val="Livvic"/>
      </rPr>
      <t>CUOTA ÍNTEGRA</t>
    </r>
  </si>
  <si>
    <r>
      <rPr>
        <sz val="9"/>
        <color rgb="FF545454"/>
        <rFont val="Livvic"/>
      </rPr>
      <t>Resultado de la escala general</t>
    </r>
  </si>
  <si>
    <r>
      <rPr>
        <sz val="9"/>
        <color rgb="FF545454"/>
        <rFont val="Livvic"/>
      </rPr>
      <t>Minoración</t>
    </r>
  </si>
  <si>
    <r>
      <rPr>
        <b/>
        <sz val="9"/>
        <color rgb="FFFFFFFF"/>
        <rFont val="Livvic"/>
      </rPr>
      <t>RENTA GENERAL</t>
    </r>
  </si>
  <si>
    <r>
      <rPr>
        <sz val="9"/>
        <color rgb="FF545454"/>
        <rFont val="Livvic"/>
      </rPr>
      <t>Cuota íntegra general</t>
    </r>
  </si>
  <si>
    <r>
      <rPr>
        <b/>
        <sz val="9"/>
        <color rgb="FFFFFFFF"/>
        <rFont val="Livvic"/>
      </rPr>
      <t>Rendimientos del Trabajo</t>
    </r>
  </si>
  <si>
    <r>
      <rPr>
        <sz val="9"/>
        <color rgb="FF545454"/>
        <rFont val="Livvic"/>
      </rPr>
      <t>Cuota íntegra del ahorro</t>
    </r>
  </si>
  <si>
    <r>
      <rPr>
        <sz val="9"/>
        <color rgb="FF545454"/>
        <rFont val="Livvic"/>
      </rPr>
      <t>Rendimientos íntegros</t>
    </r>
  </si>
  <si>
    <r>
      <rPr>
        <sz val="9"/>
        <color rgb="FF545454"/>
        <rFont val="Livvic"/>
      </rPr>
      <t>Total cuota</t>
    </r>
  </si>
  <si>
    <r>
      <rPr>
        <sz val="9"/>
        <color rgb="FF545454"/>
        <rFont val="Livvic"/>
      </rPr>
      <t>Bonificación</t>
    </r>
  </si>
  <si>
    <r>
      <rPr>
        <sz val="9"/>
        <color rgb="FF545454"/>
        <rFont val="Livvic"/>
      </rPr>
      <t>Rendimiento neto del trabajo</t>
    </r>
  </si>
  <si>
    <r>
      <rPr>
        <sz val="9"/>
        <color rgb="FF545454"/>
        <rFont val="Livvic"/>
      </rPr>
      <t>Edad</t>
    </r>
  </si>
  <si>
    <r>
      <rPr>
        <sz val="9"/>
        <color rgb="FF545454"/>
        <rFont val="Livvic"/>
      </rPr>
      <t>Actividades mecenazgo (donativos)</t>
    </r>
  </si>
  <si>
    <r>
      <rPr>
        <sz val="9"/>
        <color rgb="FF545454"/>
        <rFont val="Livvic"/>
      </rPr>
      <t>TOTAL RENTAS BASE IMPONIBLE GRAL.</t>
    </r>
  </si>
  <si>
    <r>
      <rPr>
        <sz val="9"/>
        <color rgb="FF545454"/>
        <rFont val="Livvic"/>
      </rPr>
      <t>Total deducciones</t>
    </r>
  </si>
  <si>
    <r>
      <rPr>
        <sz val="9"/>
        <color rgb="FF545454"/>
        <rFont val="Livvic"/>
      </rPr>
      <t>CUOTA LÍQUIDA</t>
    </r>
  </si>
  <si>
    <r>
      <rPr>
        <sz val="9"/>
        <color rgb="FF545454"/>
        <rFont val="Livvic"/>
      </rPr>
      <t>BASE IMPONIBLE GENERAL</t>
    </r>
  </si>
  <si>
    <r>
      <rPr>
        <sz val="9"/>
        <color rgb="FF545454"/>
        <rFont val="Livvic"/>
      </rPr>
      <t>Incremento por pérdida beneficios</t>
    </r>
  </si>
  <si>
    <r>
      <rPr>
        <sz val="9"/>
        <color rgb="FF545454"/>
        <rFont val="Livvic"/>
      </rPr>
      <t>Retenciones trabajo</t>
    </r>
  </si>
  <si>
    <r>
      <rPr>
        <sz val="9"/>
        <color rgb="FF545454"/>
        <rFont val="Livvic"/>
      </rPr>
      <t>Rendimiento neto capital mobiliario</t>
    </r>
  </si>
  <si>
    <r>
      <rPr>
        <sz val="9"/>
        <color rgb="FF545454"/>
        <rFont val="Livvic"/>
      </rPr>
      <t>Retenciones capital mobiliario</t>
    </r>
  </si>
  <si>
    <r>
      <rPr>
        <sz val="9"/>
        <color rgb="FF545454"/>
        <rFont val="Livvic"/>
      </rPr>
      <t>Total pagos a cuenta</t>
    </r>
  </si>
  <si>
    <r>
      <rPr>
        <sz val="9"/>
        <color rgb="FF545454"/>
        <rFont val="Livvic"/>
      </rPr>
      <t>Opción tributaria por retenciones</t>
    </r>
  </si>
  <si>
    <r>
      <rPr>
        <sz val="9"/>
        <color rgb="FF545454"/>
        <rFont val="Livvic"/>
      </rPr>
      <t>TOTAL RENTAS B.I. DEL AHORRO</t>
    </r>
  </si>
  <si>
    <r>
      <rPr>
        <b/>
        <sz val="9"/>
        <color rgb="FF545454"/>
        <rFont val="Livvic"/>
      </rPr>
      <t>CUOTA DIFERENCIAL</t>
    </r>
  </si>
  <si>
    <r>
      <rPr>
        <sz val="9"/>
        <color rgb="FF545454"/>
        <rFont val="Livvic"/>
      </rPr>
      <t>BASE LIQUIDABLE DEL AHORRO</t>
    </r>
  </si>
  <si>
    <t>Rend trabajo 2024</t>
  </si>
  <si>
    <t>Eurocybcar</t>
  </si>
  <si>
    <t>P extra</t>
  </si>
  <si>
    <t>Vacaciones</t>
  </si>
  <si>
    <t>Liquidación</t>
  </si>
  <si>
    <t>FINIQUITO</t>
  </si>
  <si>
    <t>EPSV</t>
  </si>
  <si>
    <t>Rend trabajo 2025</t>
  </si>
  <si>
    <t>+/-</t>
  </si>
  <si>
    <t>Horas 2025</t>
  </si>
  <si>
    <t>Disfrutadas</t>
  </si>
  <si>
    <t>Vadillo Asesores</t>
  </si>
  <si>
    <t xml:space="preserve">BAJA MUTUA </t>
  </si>
  <si>
    <t>Del Octubre a Mayo de 8:30-14:30 - 15:00-17:30</t>
  </si>
  <si>
    <t>De Junio a Septiembre de 8 a 15</t>
  </si>
  <si>
    <t xml:space="preserve">9 12 diciembre </t>
  </si>
  <si>
    <t xml:space="preserve">29 30 diciembre </t>
  </si>
  <si>
    <t xml:space="preserve">26 de diciembre </t>
  </si>
  <si>
    <t>RENTA 2026</t>
  </si>
  <si>
    <t>DEDUCCIONES</t>
  </si>
  <si>
    <t>PAGOS A CUENTA</t>
  </si>
  <si>
    <t>Ganancia patrimonial</t>
  </si>
  <si>
    <t>Capital Mobiliario</t>
  </si>
  <si>
    <t>n26</t>
  </si>
  <si>
    <t>bankinter</t>
  </si>
  <si>
    <t>openbank</t>
  </si>
  <si>
    <t>b100</t>
  </si>
  <si>
    <t>bruto</t>
  </si>
  <si>
    <t>retencion</t>
  </si>
  <si>
    <t>14 21 septiembre</t>
  </si>
  <si>
    <t>29jun-2jul</t>
  </si>
  <si>
    <t>6-21 ago</t>
  </si>
  <si>
    <t>22+1</t>
  </si>
  <si>
    <t>Openbank / Trade Republic / Cajamar</t>
  </si>
  <si>
    <t>Openbank Cajamar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</si>
</sst>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#,##0\ &quot;€&quot;"/>
    <numFmt numFmtId="166" formatCode="[$-C0A]d\-mmm\-yy;@"/>
    <numFmt numFmtId="167" formatCode="#,##0.00\ &quot;€&quot;;[Red]#,##0.00\ &quot;€&quot;"/>
    <numFmt numFmtId="168" formatCode="[$-C0A]mmm\-yy;@"/>
    <numFmt numFmtId="169" formatCode="0.00_ ;[Red]\-0.00\ "/>
    <numFmt numFmtId="170" formatCode="[$-C0A]mmmm\-yy;@"/>
    <numFmt numFmtId="171" formatCode="_-* #,##0_-;\-* #,##0_-;_-* &quot;-&quot;??_-;_-@_-"/>
    <numFmt numFmtId="172" formatCode="mmmm"/>
    <numFmt numFmtId="173" formatCode="d"/>
    <numFmt numFmtId="174" formatCode="yyyy"/>
    <numFmt numFmtId="175" formatCode="_-* #,##0.00\ _€_-;\-* #,##0.00\ _€_-;_-* &quot;-&quot;??\ _€_-;_-@_-"/>
    <numFmt numFmtId="176" formatCode="[$-C0A]mmmyy;@"/>
    <numFmt numFmtId="177" formatCode="0.0"/>
  </numFmts>
  <fonts count="134" x14ac:knownFonts="1">
    <font>
      <sz val="11"/>
      <color theme="1"/>
      <name val="Calibri"/>
      <family val="2"/>
      <scheme val="minor"/>
    </font>
    <font>
      <sz val="11"/>
      <color theme="1"/>
      <name val="Google Sans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1"/>
      <scheme val="minor"/>
    </font>
    <font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25"/>
      <color theme="0"/>
      <name val="Calibri Light"/>
      <family val="2"/>
      <scheme val="major"/>
    </font>
    <font>
      <sz val="12"/>
      <color theme="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5"/>
      <color theme="0"/>
      <name val="Calibri Light"/>
      <family val="2"/>
      <scheme val="major"/>
    </font>
    <font>
      <b/>
      <sz val="15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0"/>
      <color theme="8" tint="-0.499984740745262"/>
      <name val="Calibri Light"/>
      <family val="2"/>
      <scheme val="major"/>
    </font>
    <font>
      <sz val="13"/>
      <color theme="0"/>
      <name val="Calibri Light"/>
      <family val="2"/>
      <scheme val="major"/>
    </font>
    <font>
      <b/>
      <sz val="15"/>
      <color theme="0"/>
      <name val="Calibri Light"/>
      <family val="2"/>
      <scheme val="major"/>
    </font>
    <font>
      <sz val="9"/>
      <color theme="0"/>
      <name val="Calibri Light"/>
      <family val="2"/>
      <scheme val="major"/>
    </font>
    <font>
      <sz val="10"/>
      <name val="Calibri Light"/>
      <family val="2"/>
      <scheme val="major"/>
    </font>
    <font>
      <b/>
      <sz val="13"/>
      <color theme="0"/>
      <name val="Calibri Light"/>
      <family val="2"/>
      <scheme val="major"/>
    </font>
    <font>
      <b/>
      <sz val="9"/>
      <color theme="0"/>
      <name val="Calibri Light"/>
      <family val="2"/>
      <scheme val="major"/>
    </font>
    <font>
      <b/>
      <sz val="28"/>
      <color theme="0"/>
      <name val="Calibri Light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3" tint="-0.499984740745262"/>
      <name val="Calibri Light"/>
      <family val="2"/>
      <scheme val="major"/>
    </font>
    <font>
      <b/>
      <sz val="25"/>
      <color rgb="FF56274F"/>
      <name val="Calibri Light"/>
      <family val="2"/>
      <scheme val="major"/>
    </font>
    <font>
      <b/>
      <sz val="15"/>
      <color rgb="FF56274F"/>
      <name val="Calibri Light"/>
      <family val="2"/>
      <scheme val="major"/>
    </font>
    <font>
      <sz val="10"/>
      <color rgb="FF56274F"/>
      <name val="Calibri Light"/>
      <family val="2"/>
      <scheme val="major"/>
    </font>
    <font>
      <sz val="11"/>
      <color rgb="FF56274F"/>
      <name val="Calibri"/>
      <family val="2"/>
      <scheme val="minor"/>
    </font>
    <font>
      <b/>
      <sz val="15"/>
      <color rgb="FF006600"/>
      <name val="Calibri Light"/>
      <family val="2"/>
      <scheme val="major"/>
    </font>
    <font>
      <sz val="10"/>
      <color rgb="FF006600"/>
      <name val="Calibri Light"/>
      <family val="2"/>
      <scheme val="major"/>
    </font>
    <font>
      <sz val="11"/>
      <color rgb="FF006600"/>
      <name val="Calibri"/>
      <family val="2"/>
      <scheme val="minor"/>
    </font>
    <font>
      <sz val="11"/>
      <color rgb="FF006600"/>
      <name val="Calibri Light"/>
      <family val="2"/>
      <scheme val="major"/>
    </font>
    <font>
      <b/>
      <sz val="20"/>
      <color theme="0"/>
      <name val="Calibri Light"/>
      <family val="2"/>
      <scheme val="major"/>
    </font>
    <font>
      <sz val="11"/>
      <color theme="1"/>
      <name val="Google Sans"/>
      <family val="2"/>
    </font>
    <font>
      <b/>
      <sz val="3"/>
      <color theme="0"/>
      <name val="Google Sans"/>
      <family val="2"/>
    </font>
    <font>
      <sz val="3"/>
      <color theme="1"/>
      <name val="Google Sans"/>
      <family val="2"/>
    </font>
    <font>
      <sz val="8"/>
      <color theme="1"/>
      <name val="Google Sans"/>
      <family val="2"/>
    </font>
    <font>
      <sz val="4"/>
      <name val="Google Sans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5"/>
      <color theme="1"/>
      <name val="Google Sans"/>
      <family val="2"/>
    </font>
    <font>
      <sz val="3"/>
      <color theme="1"/>
      <name val="Google Sans"/>
      <family val="2"/>
    </font>
    <font>
      <sz val="1"/>
      <color theme="1"/>
      <name val="Google Sans"/>
      <family val="2"/>
    </font>
    <font>
      <sz val="1"/>
      <color rgb="FF00004C"/>
      <name val="Google Sans"/>
      <family val="2"/>
    </font>
    <font>
      <sz val="11"/>
      <color theme="1"/>
      <name val="Livvic"/>
    </font>
    <font>
      <b/>
      <sz val="11"/>
      <color theme="1"/>
      <name val="Livvic"/>
    </font>
    <font>
      <b/>
      <sz val="11"/>
      <color theme="0"/>
      <name val="Livvic"/>
    </font>
    <font>
      <b/>
      <sz val="8"/>
      <color theme="0"/>
      <name val="Livvic"/>
    </font>
    <font>
      <sz val="10"/>
      <color theme="1"/>
      <name val="Livvic"/>
    </font>
    <font>
      <b/>
      <sz val="22"/>
      <color theme="4" tint="-0.249977111117893"/>
      <name val="Livvic"/>
    </font>
    <font>
      <b/>
      <sz val="22"/>
      <color theme="5"/>
      <name val="Livvic"/>
    </font>
    <font>
      <b/>
      <sz val="22"/>
      <color rgb="FFFFFF00"/>
      <name val="Livvic"/>
    </font>
    <font>
      <b/>
      <sz val="22"/>
      <color theme="0"/>
      <name val="Livvic"/>
    </font>
    <font>
      <b/>
      <sz val="22"/>
      <color rgb="FF00B050"/>
      <name val="Livvic"/>
    </font>
    <font>
      <b/>
      <sz val="3"/>
      <color theme="0"/>
      <name val="Livvic"/>
    </font>
    <font>
      <sz val="8"/>
      <color theme="1"/>
      <name val="Livvic"/>
    </font>
    <font>
      <sz val="8"/>
      <name val="Livvic"/>
    </font>
    <font>
      <b/>
      <sz val="10"/>
      <color theme="0"/>
      <name val="Livvic"/>
    </font>
    <font>
      <b/>
      <sz val="10"/>
      <color theme="1"/>
      <name val="Livvic"/>
    </font>
    <font>
      <b/>
      <sz val="10"/>
      <color theme="4" tint="-0.249977111117893"/>
      <name val="Livvic"/>
    </font>
    <font>
      <b/>
      <sz val="10"/>
      <color theme="5"/>
      <name val="Livvic"/>
    </font>
    <font>
      <b/>
      <sz val="10"/>
      <color rgb="FFFFFF00"/>
      <name val="Livvic"/>
    </font>
    <font>
      <b/>
      <sz val="3"/>
      <color theme="1"/>
      <name val="Livvic"/>
    </font>
    <font>
      <b/>
      <sz val="10"/>
      <color rgb="FF00B050"/>
      <name val="Livvic"/>
    </font>
    <font>
      <sz val="11"/>
      <color theme="1"/>
      <name val="Livvic SemiBold"/>
    </font>
    <font>
      <b/>
      <sz val="11"/>
      <color theme="0"/>
      <name val="Livvic SemiBold"/>
    </font>
    <font>
      <sz val="11"/>
      <color theme="1"/>
      <name val="Livvic Light"/>
    </font>
    <font>
      <b/>
      <sz val="11"/>
      <color theme="1"/>
      <name val="Livvic Light"/>
    </font>
    <font>
      <sz val="16"/>
      <color theme="0"/>
      <name val="Livvic Light"/>
    </font>
    <font>
      <b/>
      <sz val="8"/>
      <color theme="0"/>
      <name val="Livvic Light"/>
    </font>
    <font>
      <b/>
      <sz val="7"/>
      <color theme="0"/>
      <name val="Livvic Light"/>
    </font>
    <font>
      <b/>
      <sz val="8"/>
      <name val="Livvic Light"/>
    </font>
    <font>
      <b/>
      <sz val="1"/>
      <color theme="0"/>
      <name val="Livvic Light"/>
    </font>
    <font>
      <sz val="1"/>
      <color rgb="FF002060"/>
      <name val="Livvic Light"/>
    </font>
    <font>
      <sz val="8"/>
      <color rgb="FF002060"/>
      <name val="Livvic Light"/>
    </font>
    <font>
      <b/>
      <sz val="16"/>
      <color theme="0"/>
      <name val="Livvic Black"/>
    </font>
    <font>
      <sz val="8"/>
      <color theme="0"/>
      <name val="Livvic SemiBold"/>
    </font>
    <font>
      <sz val="1"/>
      <name val="Livvic SemiBold"/>
    </font>
    <font>
      <sz val="8"/>
      <name val="Livvic SemiBold"/>
    </font>
    <font>
      <b/>
      <sz val="8"/>
      <color theme="0"/>
      <name val="Livvic SemiBold"/>
    </font>
    <font>
      <sz val="1"/>
      <color rgb="FF002060"/>
      <name val="Livvic SemiBold"/>
    </font>
    <font>
      <sz val="8"/>
      <color rgb="FF002060"/>
      <name val="Livvic SemiBold"/>
    </font>
    <font>
      <b/>
      <sz val="25"/>
      <color theme="0"/>
      <name val="Livvic"/>
    </font>
    <font>
      <sz val="11"/>
      <color theme="0"/>
      <name val="Livvic"/>
    </font>
    <font>
      <b/>
      <sz val="28"/>
      <color theme="0"/>
      <name val="Livvic"/>
    </font>
    <font>
      <sz val="11"/>
      <color theme="8" tint="-0.499984740745262"/>
      <name val="Livvic"/>
    </font>
    <font>
      <sz val="12"/>
      <color theme="0"/>
      <name val="Livvic"/>
    </font>
    <font>
      <b/>
      <sz val="9"/>
      <color theme="0"/>
      <name val="Livvic"/>
    </font>
    <font>
      <sz val="15"/>
      <color theme="0"/>
      <name val="Livvic"/>
    </font>
    <font>
      <sz val="7"/>
      <color theme="1" tint="0.14999847407452621"/>
      <name val="Livvic"/>
    </font>
    <font>
      <sz val="9"/>
      <color theme="0"/>
      <name val="Livvic"/>
    </font>
    <font>
      <sz val="9"/>
      <color theme="1" tint="0.14999847407452621"/>
      <name val="Livvic"/>
    </font>
    <font>
      <sz val="9"/>
      <color rgb="FFC00000"/>
      <name val="Livvic"/>
    </font>
    <font>
      <sz val="8"/>
      <color theme="0"/>
      <name val="Livvic"/>
    </font>
    <font>
      <sz val="8"/>
      <color theme="1" tint="0.249977111117893"/>
      <name val="Livvic"/>
    </font>
    <font>
      <sz val="11"/>
      <color rgb="FFFF0000"/>
      <name val="Livvic"/>
    </font>
    <font>
      <sz val="9"/>
      <color theme="4" tint="-0.499984740745262"/>
      <name val="Livvic"/>
    </font>
    <font>
      <sz val="9"/>
      <color theme="1"/>
      <name val="Livvic"/>
    </font>
    <font>
      <sz val="10"/>
      <name val="Livvic"/>
    </font>
    <font>
      <sz val="11"/>
      <name val="Livvic"/>
    </font>
    <font>
      <sz val="7"/>
      <color theme="1"/>
      <name val="Livvic"/>
    </font>
    <font>
      <sz val="9"/>
      <name val="Livvic"/>
    </font>
    <font>
      <sz val="9"/>
      <color theme="8" tint="-0.249977111117893"/>
      <name val="Livvic"/>
    </font>
    <font>
      <sz val="9"/>
      <color rgb="FF00CC99"/>
      <name val="Livvic"/>
    </font>
    <font>
      <sz val="9"/>
      <color rgb="FFB108A4"/>
      <name val="Livvic"/>
    </font>
    <font>
      <sz val="9"/>
      <color rgb="FFFF9900"/>
      <name val="Livvic"/>
    </font>
    <font>
      <b/>
      <sz val="18"/>
      <color theme="0"/>
      <name val="Livvic"/>
    </font>
    <font>
      <b/>
      <sz val="9"/>
      <name val="Livvic"/>
    </font>
    <font>
      <b/>
      <sz val="9"/>
      <color rgb="FFFFFFFF"/>
      <name val="Livvic"/>
    </font>
    <font>
      <sz val="9"/>
      <color rgb="FF545454"/>
      <name val="Livvic"/>
    </font>
    <font>
      <sz val="9"/>
      <color rgb="FF000000"/>
      <name val="Livvic"/>
    </font>
    <font>
      <b/>
      <sz val="9"/>
      <color rgb="FF545454"/>
      <name val="Livvic"/>
    </font>
    <font>
      <sz val="9"/>
      <color theme="7"/>
      <name val="Livvic"/>
    </font>
    <font>
      <b/>
      <sz val="25"/>
      <name val="Livvic"/>
    </font>
    <font>
      <b/>
      <sz val="11"/>
      <name val="Livvic"/>
    </font>
    <font>
      <b/>
      <sz val="8"/>
      <name val="Livvic"/>
    </font>
    <font>
      <b/>
      <sz val="15"/>
      <name val="Livvic"/>
    </font>
    <font>
      <sz val="8"/>
      <color theme="8" tint="-0.499984740745262"/>
      <name val="Livvic"/>
    </font>
    <font>
      <b/>
      <sz val="16"/>
      <color theme="0"/>
      <name val="Livvic"/>
    </font>
    <font>
      <sz val="8"/>
      <color theme="1" tint="0.14999847407452621"/>
      <name val="Livvic"/>
    </font>
    <font>
      <sz val="7"/>
      <color rgb="FF002060"/>
      <name val="Livvic Light"/>
    </font>
    <font>
      <sz val="7"/>
      <name val="Livvic SemiBold"/>
    </font>
    <font>
      <sz val="8"/>
      <name val="Calibri"/>
      <family val="2"/>
      <scheme val="minor"/>
    </font>
    <font>
      <sz val="8"/>
      <color theme="1"/>
      <name val="Livvic Light"/>
    </font>
    <font>
      <b/>
      <sz val="16"/>
      <color theme="4" tint="0.59999389629810485"/>
      <name val="Livvic Black"/>
    </font>
    <font>
      <sz val="6"/>
      <color theme="1" tint="0.249977111117893"/>
      <name val="Livvic"/>
    </font>
    <font>
      <b/>
      <sz val="7"/>
      <color theme="1"/>
      <name val="Livvic"/>
    </font>
    <font>
      <sz val="10"/>
      <color theme="8" tint="-0.499984740745262"/>
      <name val="Livvic"/>
    </font>
    <font>
      <sz val="10"/>
      <color theme="0"/>
      <name val="Livvic"/>
    </font>
    <font>
      <b/>
      <sz val="15"/>
      <color theme="0"/>
      <name val="Livvic"/>
    </font>
    <font>
      <sz val="9"/>
      <color theme="1"/>
      <name val="+"/>
    </font>
    <font>
      <sz val="8"/>
      <color theme="1"/>
      <name val="+"/>
    </font>
    <font>
      <sz val="9"/>
      <color rgb="FFFF0066"/>
      <name val="Livvic"/>
    </font>
    <font>
      <sz val="6"/>
      <name val="Yu Gothic"/>
      <family val="2"/>
      <charset val="128"/>
    </font>
  </fonts>
  <fills count="5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gradientFill degree="270">
        <stop position="0">
          <color theme="2" tint="-0.74901577806939912"/>
        </stop>
        <stop position="1">
          <color theme="2" tint="-0.49803155613879818"/>
        </stop>
      </gradientFill>
    </fill>
    <fill>
      <gradientFill degree="90">
        <stop position="0">
          <color theme="2" tint="-0.25098422193060094"/>
        </stop>
        <stop position="1">
          <color theme="2" tint="-0.49803155613879818"/>
        </stop>
      </gradientFill>
    </fill>
    <fill>
      <gradientFill degree="90">
        <stop position="0">
          <color theme="8" tint="-0.25098422193060094"/>
        </stop>
        <stop position="1">
          <color theme="8" tint="-0.49803155613879818"/>
        </stop>
      </gradientFill>
    </fill>
    <fill>
      <patternFill patternType="solid">
        <fgColor rgb="FF13AAE6"/>
        <bgColor indexed="64"/>
      </patternFill>
    </fill>
    <fill>
      <patternFill patternType="solid">
        <fgColor rgb="FF13AAE6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56274F"/>
        <bgColor indexed="64"/>
      </patternFill>
    </fill>
    <fill>
      <gradientFill degree="270">
        <stop position="0">
          <color rgb="FF5C114A"/>
        </stop>
        <stop position="1">
          <color rgb="FF99458D"/>
        </stop>
      </gradientFill>
    </fill>
    <fill>
      <patternFill patternType="solid">
        <fgColor rgb="FF006600"/>
        <bgColor indexed="64"/>
      </patternFill>
    </fill>
    <fill>
      <gradientFill degree="270">
        <stop position="0">
          <color rgb="FF006600"/>
        </stop>
        <stop position="1">
          <color theme="9" tint="-0.25098422193060094"/>
        </stop>
      </gradient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auto="1"/>
      </patternFill>
    </fill>
    <fill>
      <patternFill patternType="solid">
        <fgColor rgb="FFF2F2F2"/>
      </patternFill>
    </fill>
    <fill>
      <patternFill patternType="solid">
        <fgColor rgb="FFF6F8E5"/>
      </patternFill>
    </fill>
    <fill>
      <patternFill patternType="solid">
        <fgColor rgb="FF787878"/>
      </patternFill>
    </fill>
    <fill>
      <patternFill patternType="solid">
        <fgColor rgb="FFCC00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004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14999847407452621"/>
        <bgColor indexed="64"/>
      </patternFill>
    </fill>
    <fill>
      <gradientFill degree="90">
        <stop position="0">
          <color theme="1"/>
        </stop>
        <stop position="0.5">
          <color theme="1" tint="5.0965910824915313E-2"/>
        </stop>
        <stop position="1">
          <color theme="1"/>
        </stop>
      </gradientFill>
    </fill>
    <fill>
      <patternFill patternType="solid">
        <fgColor theme="0" tint="-0.249977111117893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4EE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2E5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108A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4B000"/>
        <bgColor indexed="64"/>
      </patternFill>
    </fill>
    <fill>
      <patternFill patternType="solid">
        <fgColor rgb="FFFFFDAF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499984740745262"/>
        <bgColor auto="1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gradientFill degree="225">
        <stop position="0">
          <color rgb="FFFF0066"/>
        </stop>
        <stop position="1">
          <color rgb="FF00FFFF"/>
        </stop>
      </gradientFill>
    </fill>
    <fill>
      <gradientFill degree="45">
        <stop position="0">
          <color rgb="FF00FFFF"/>
        </stop>
        <stop position="1">
          <color theme="1"/>
        </stop>
      </gradientFill>
    </fill>
  </fills>
  <borders count="152">
    <border>
      <left/>
      <right/>
      <top/>
      <bottom/>
      <diagonal/>
    </border>
    <border>
      <left style="medium">
        <color rgb="FF56274F"/>
      </left>
      <right/>
      <top style="medium">
        <color rgb="FF56274F"/>
      </top>
      <bottom/>
      <diagonal/>
    </border>
    <border>
      <left/>
      <right/>
      <top style="medium">
        <color rgb="FF56274F"/>
      </top>
      <bottom/>
      <diagonal/>
    </border>
    <border>
      <left/>
      <right style="medium">
        <color rgb="FF56274F"/>
      </right>
      <top style="medium">
        <color rgb="FF56274F"/>
      </top>
      <bottom/>
      <diagonal/>
    </border>
    <border>
      <left style="medium">
        <color rgb="FF56274F"/>
      </left>
      <right/>
      <top/>
      <bottom/>
      <diagonal/>
    </border>
    <border>
      <left/>
      <right style="medium">
        <color rgb="FF56274F"/>
      </right>
      <top/>
      <bottom/>
      <diagonal/>
    </border>
    <border>
      <left style="medium">
        <color rgb="FF56274F"/>
      </left>
      <right/>
      <top/>
      <bottom style="medium">
        <color rgb="FF56274F"/>
      </bottom>
      <diagonal/>
    </border>
    <border>
      <left/>
      <right/>
      <top/>
      <bottom style="medium">
        <color rgb="FF56274F"/>
      </bottom>
      <diagonal/>
    </border>
    <border>
      <left/>
      <right style="medium">
        <color rgb="FF56274F"/>
      </right>
      <top/>
      <bottom style="medium">
        <color rgb="FF56274F"/>
      </bottom>
      <diagonal/>
    </border>
    <border>
      <left style="medium">
        <color rgb="FF56274F"/>
      </left>
      <right/>
      <top style="medium">
        <color rgb="FF56274F"/>
      </top>
      <bottom style="medium">
        <color rgb="FF56274F"/>
      </bottom>
      <diagonal/>
    </border>
    <border>
      <left/>
      <right/>
      <top style="medium">
        <color rgb="FF56274F"/>
      </top>
      <bottom style="medium">
        <color rgb="FF56274F"/>
      </bottom>
      <diagonal/>
    </border>
    <border>
      <left/>
      <right style="medium">
        <color rgb="FF56274F"/>
      </right>
      <top style="medium">
        <color rgb="FF56274F"/>
      </top>
      <bottom style="medium">
        <color rgb="FF56274F"/>
      </bottom>
      <diagonal/>
    </border>
    <border>
      <left style="medium">
        <color rgb="FF56274F"/>
      </left>
      <right style="medium">
        <color rgb="FF56274F"/>
      </right>
      <top/>
      <bottom/>
      <diagonal/>
    </border>
    <border>
      <left style="medium">
        <color rgb="FF006600"/>
      </left>
      <right/>
      <top style="medium">
        <color rgb="FF006600"/>
      </top>
      <bottom/>
      <diagonal/>
    </border>
    <border>
      <left/>
      <right/>
      <top style="medium">
        <color rgb="FF006600"/>
      </top>
      <bottom/>
      <diagonal/>
    </border>
    <border>
      <left/>
      <right style="medium">
        <color rgb="FF006600"/>
      </right>
      <top style="medium">
        <color rgb="FF006600"/>
      </top>
      <bottom/>
      <diagonal/>
    </border>
    <border>
      <left style="medium">
        <color rgb="FF006600"/>
      </left>
      <right/>
      <top/>
      <bottom/>
      <diagonal/>
    </border>
    <border>
      <left/>
      <right style="medium">
        <color rgb="FF006600"/>
      </right>
      <top/>
      <bottom/>
      <diagonal/>
    </border>
    <border>
      <left style="medium">
        <color rgb="FF006600"/>
      </left>
      <right/>
      <top/>
      <bottom style="medium">
        <color rgb="FF006600"/>
      </bottom>
      <diagonal/>
    </border>
    <border>
      <left/>
      <right/>
      <top/>
      <bottom style="medium">
        <color rgb="FF006600"/>
      </bottom>
      <diagonal/>
    </border>
    <border>
      <left/>
      <right style="medium">
        <color rgb="FF006600"/>
      </right>
      <top/>
      <bottom style="medium">
        <color rgb="FF006600"/>
      </bottom>
      <diagonal/>
    </border>
    <border>
      <left style="medium">
        <color rgb="FF006600"/>
      </left>
      <right/>
      <top style="medium">
        <color rgb="FF006600"/>
      </top>
      <bottom style="medium">
        <color rgb="FF006600"/>
      </bottom>
      <diagonal/>
    </border>
    <border>
      <left/>
      <right style="medium">
        <color rgb="FF006600"/>
      </right>
      <top style="medium">
        <color rgb="FF006600"/>
      </top>
      <bottom style="medium">
        <color rgb="FF006600"/>
      </bottom>
      <diagonal/>
    </border>
    <border>
      <left/>
      <right/>
      <top style="medium">
        <color rgb="FF006600"/>
      </top>
      <bottom style="medium">
        <color rgb="FF0066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medium">
        <color indexed="64"/>
      </right>
      <top/>
      <bottom/>
      <diagonal/>
    </border>
    <border>
      <left style="thin">
        <color rgb="FFFFFFFF"/>
      </left>
      <right style="medium">
        <color indexed="64"/>
      </right>
      <top/>
      <bottom style="thin">
        <color rgb="FFFFFF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medium">
        <color indexed="64"/>
      </bottom>
      <diagonal/>
    </border>
    <border>
      <left style="thin">
        <color rgb="FFFFFFFF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thin">
        <color theme="1" tint="0.499984740745262"/>
      </bottom>
      <diagonal/>
    </border>
    <border>
      <left/>
      <right style="thin">
        <color theme="0" tint="-4.9989318521683403E-2"/>
      </right>
      <top style="medium">
        <color indexed="64"/>
      </top>
      <bottom style="thin">
        <color theme="1" tint="0.499984740745262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1" tint="0.499984740745262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336600"/>
      </left>
      <right/>
      <top style="thin">
        <color rgb="FF336600"/>
      </top>
      <bottom/>
      <diagonal/>
    </border>
    <border>
      <left/>
      <right/>
      <top style="thin">
        <color rgb="FF336600"/>
      </top>
      <bottom/>
      <diagonal/>
    </border>
    <border>
      <left/>
      <right style="thin">
        <color rgb="FF336600"/>
      </right>
      <top style="thin">
        <color rgb="FF336600"/>
      </top>
      <bottom/>
      <diagonal/>
    </border>
    <border>
      <left style="thin">
        <color rgb="FF336600"/>
      </left>
      <right/>
      <top/>
      <bottom/>
      <diagonal/>
    </border>
    <border>
      <left/>
      <right style="thin">
        <color rgb="FF336600"/>
      </right>
      <top/>
      <bottom/>
      <diagonal/>
    </border>
    <border>
      <left style="thin">
        <color rgb="FF336600"/>
      </left>
      <right/>
      <top/>
      <bottom style="thin">
        <color rgb="FF336600"/>
      </bottom>
      <diagonal/>
    </border>
    <border>
      <left/>
      <right/>
      <top/>
      <bottom style="thin">
        <color rgb="FF336600"/>
      </bottom>
      <diagonal/>
    </border>
    <border>
      <left/>
      <right style="thin">
        <color rgb="FF336600"/>
      </right>
      <top/>
      <bottom style="thin">
        <color rgb="FF33660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medium">
        <color indexed="64"/>
      </right>
      <top/>
      <bottom/>
      <diagonal/>
    </border>
    <border>
      <left/>
      <right style="medium">
        <color rgb="FFB108A4"/>
      </right>
      <top/>
      <bottom/>
      <diagonal/>
    </border>
    <border>
      <left style="medium">
        <color rgb="FFB108A4"/>
      </left>
      <right style="medium">
        <color rgb="FFB108A4"/>
      </right>
      <top/>
      <bottom/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/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FFFF00"/>
      </left>
      <right style="medium">
        <color rgb="FFFFFF00"/>
      </right>
      <top/>
      <bottom/>
      <diagonal/>
    </border>
    <border>
      <left style="medium">
        <color rgb="FFFFFF00"/>
      </left>
      <right style="medium">
        <color rgb="FFFFFF00"/>
      </right>
      <top/>
      <bottom style="medium">
        <color rgb="FFFFFF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  <border>
      <left style="medium">
        <color rgb="FFFF9900"/>
      </left>
      <right style="medium">
        <color rgb="FFFF9900"/>
      </right>
      <top style="medium">
        <color rgb="FFFF9900"/>
      </top>
      <bottom/>
      <diagonal/>
    </border>
    <border>
      <left style="medium">
        <color rgb="FFFF9900"/>
      </left>
      <right style="medium">
        <color rgb="FFFF9900"/>
      </right>
      <top/>
      <bottom/>
      <diagonal/>
    </border>
    <border>
      <left style="medium">
        <color rgb="FFFF9900"/>
      </left>
      <right style="medium">
        <color rgb="FFFF9900"/>
      </right>
      <top/>
      <bottom style="medium">
        <color rgb="FFFF9900"/>
      </bottom>
      <diagonal/>
    </border>
    <border>
      <left style="medium">
        <color rgb="FFFF9900"/>
      </left>
      <right/>
      <top/>
      <bottom/>
      <diagonal/>
    </border>
    <border>
      <left style="medium">
        <color rgb="FF00CC99"/>
      </left>
      <right/>
      <top/>
      <bottom/>
      <diagonal/>
    </border>
    <border>
      <left style="medium">
        <color rgb="FFF4EE00"/>
      </left>
      <right/>
      <top/>
      <bottom/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medium">
        <color theme="4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 style="medium">
        <color theme="8" tint="-0.249977111117893"/>
      </right>
      <top/>
      <bottom style="medium">
        <color theme="8" tint="-0.249977111117893"/>
      </bottom>
      <diagonal/>
    </border>
    <border>
      <left/>
      <right/>
      <top style="medium">
        <color rgb="FFFFFF00"/>
      </top>
      <bottom/>
      <diagonal/>
    </border>
    <border>
      <left style="medium">
        <color indexed="64"/>
      </left>
      <right/>
      <top style="dashDot">
        <color theme="0"/>
      </top>
      <bottom style="dashDot">
        <color theme="0"/>
      </bottom>
      <diagonal/>
    </border>
    <border>
      <left style="medium">
        <color indexed="64"/>
      </left>
      <right/>
      <top/>
      <bottom style="dashDot">
        <color theme="0"/>
      </bottom>
      <diagonal/>
    </border>
    <border>
      <left style="medium">
        <color theme="8" tint="-0.249977111117893"/>
      </left>
      <right/>
      <top style="dashDot">
        <color theme="0"/>
      </top>
      <bottom/>
      <diagonal/>
    </border>
    <border>
      <left style="medium">
        <color theme="8" tint="-0.249977111117893"/>
      </left>
      <right/>
      <top style="dashDot">
        <color theme="0"/>
      </top>
      <bottom style="dashDot">
        <color theme="0"/>
      </bottom>
      <diagonal/>
    </border>
    <border>
      <left style="medium">
        <color rgb="FFFFFF00"/>
      </left>
      <right/>
      <top/>
      <bottom style="dashDot">
        <color theme="0"/>
      </bottom>
      <diagonal/>
    </border>
    <border>
      <left style="medium">
        <color rgb="FFFFFF00"/>
      </left>
      <right/>
      <top style="dashDot">
        <color theme="0"/>
      </top>
      <bottom style="dashDot">
        <color theme="0"/>
      </bottom>
      <diagonal/>
    </border>
    <border>
      <left style="medium">
        <color rgb="FF00CC99"/>
      </left>
      <right/>
      <top/>
      <bottom style="dashDot">
        <color theme="0"/>
      </bottom>
      <diagonal/>
    </border>
    <border>
      <left style="medium">
        <color rgb="FF00CC99"/>
      </left>
      <right/>
      <top style="dashDot">
        <color theme="0"/>
      </top>
      <bottom style="dashDot">
        <color theme="0"/>
      </bottom>
      <diagonal/>
    </border>
    <border>
      <left style="medium">
        <color rgb="FFB108A4"/>
      </left>
      <right/>
      <top/>
      <bottom style="dashDot">
        <color theme="0"/>
      </bottom>
      <diagonal/>
    </border>
    <border>
      <left style="medium">
        <color rgb="FF00CC99"/>
      </left>
      <right/>
      <top style="dashDot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 tint="0.499984740745262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medium">
        <color indexed="64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theme="3" tint="-0.499984740745262"/>
      </left>
      <right style="thin">
        <color theme="3" tint="-0.499984740745262"/>
      </right>
      <top style="medium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thin">
        <color theme="3" tint="-0.499984740745262"/>
      </bottom>
      <diagonal/>
    </border>
    <border>
      <left style="medium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medium">
        <color theme="3" tint="-0.499984740745262"/>
      </left>
      <right/>
      <top/>
      <bottom/>
      <diagonal/>
    </border>
    <border>
      <left/>
      <right style="medium">
        <color theme="3" tint="-0.499984740745262"/>
      </right>
      <top/>
      <bottom/>
      <diagonal/>
    </border>
    <border>
      <left style="medium">
        <color theme="3" tint="-0.499984740745262"/>
      </left>
      <right/>
      <top/>
      <bottom style="medium">
        <color theme="3" tint="-0.499984740745262"/>
      </bottom>
      <diagonal/>
    </border>
    <border>
      <left/>
      <right style="medium">
        <color theme="3" tint="-0.499984740745262"/>
      </right>
      <top/>
      <bottom style="medium">
        <color theme="3" tint="-0.499984740745262"/>
      </bottom>
      <diagonal/>
    </border>
    <border>
      <left style="medium">
        <color rgb="FF000066"/>
      </left>
      <right style="medium">
        <color rgb="FF000066"/>
      </right>
      <top style="medium">
        <color rgb="FF000066"/>
      </top>
      <bottom style="medium">
        <color rgb="FF000066"/>
      </bottom>
      <diagonal/>
    </border>
    <border>
      <left style="medium">
        <color rgb="FF000066"/>
      </left>
      <right style="medium">
        <color rgb="FF000066"/>
      </right>
      <top style="medium">
        <color rgb="FF000066"/>
      </top>
      <bottom/>
      <diagonal/>
    </border>
    <border>
      <left style="medium">
        <color rgb="FF000066"/>
      </left>
      <right style="medium">
        <color rgb="FF000066"/>
      </right>
      <top/>
      <bottom/>
      <diagonal/>
    </border>
    <border>
      <left style="medium">
        <color rgb="FF000066"/>
      </left>
      <right style="medium">
        <color rgb="FF000066"/>
      </right>
      <top/>
      <bottom style="medium">
        <color rgb="FF000066"/>
      </bottom>
      <diagonal/>
    </border>
    <border>
      <left/>
      <right/>
      <top/>
      <bottom style="medium">
        <color rgb="FF000066"/>
      </bottom>
      <diagonal/>
    </border>
    <border>
      <left style="medium">
        <color rgb="FFFFFF00"/>
      </left>
      <right/>
      <top style="dashDot">
        <color theme="0"/>
      </top>
      <bottom/>
      <diagonal/>
    </border>
    <border>
      <left style="medium">
        <color rgb="FFF4EE00"/>
      </left>
      <right style="medium">
        <color rgb="FFF4EE00"/>
      </right>
      <top style="medium">
        <color rgb="FFF4EE00"/>
      </top>
      <bottom/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/>
      <diagonal/>
    </border>
    <border>
      <left/>
      <right/>
      <top style="medium">
        <color rgb="FF00CC99"/>
      </top>
      <bottom/>
      <diagonal/>
    </border>
    <border>
      <left/>
      <right/>
      <top style="medium">
        <color theme="4" tint="-0.249977111117893"/>
      </top>
      <bottom/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/>
      <diagonal/>
    </border>
    <border>
      <left style="medium">
        <color rgb="FF00CC99"/>
      </left>
      <right/>
      <top style="dashDot">
        <color theme="0"/>
      </top>
      <bottom style="medium">
        <color rgb="FF00CC99"/>
      </bottom>
      <diagonal/>
    </border>
    <border>
      <left style="medium">
        <color rgb="FFFF9900"/>
      </left>
      <right style="medium">
        <color rgb="FFFF9900"/>
      </right>
      <top style="dashDot">
        <color theme="0"/>
      </top>
      <bottom style="dashDot">
        <color theme="0"/>
      </bottom>
      <diagonal/>
    </border>
    <border>
      <left style="medium">
        <color rgb="FFFF9900"/>
      </left>
      <right style="medium">
        <color rgb="FFFF9900"/>
      </right>
      <top style="dashDot">
        <color theme="0"/>
      </top>
      <bottom/>
      <diagonal/>
    </border>
    <border>
      <left/>
      <right/>
      <top/>
      <bottom style="medium">
        <color rgb="FFFF9900"/>
      </bottom>
      <diagonal/>
    </border>
    <border>
      <left/>
      <right/>
      <top style="dashDot">
        <color theme="0"/>
      </top>
      <bottom/>
      <diagonal/>
    </border>
    <border>
      <left style="medium">
        <color rgb="FFFF0066"/>
      </left>
      <right style="medium">
        <color rgb="FFFF0066"/>
      </right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rgb="FF505050"/>
      </right>
      <top style="medium">
        <color indexed="64"/>
      </top>
      <bottom style="hair">
        <color theme="0" tint="-0.14996795556505021"/>
      </bottom>
      <diagonal/>
    </border>
    <border>
      <left style="medium">
        <color rgb="FF505050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rgb="FF505050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rgb="FF505050"/>
      </left>
      <right style="hair">
        <color theme="0" tint="-0.14996795556505021"/>
      </right>
      <top style="hair">
        <color theme="0" tint="-0.14996795556505021"/>
      </top>
      <bottom style="medium">
        <color rgb="FF505050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rgb="FF505050"/>
      </bottom>
      <diagonal/>
    </border>
    <border>
      <left style="hair">
        <color theme="0" tint="-0.14996795556505021"/>
      </left>
      <right style="medium">
        <color rgb="FF505050"/>
      </right>
      <top style="hair">
        <color theme="0" tint="-0.14996795556505021"/>
      </top>
      <bottom style="medium">
        <color rgb="FF505050"/>
      </bottom>
      <diagonal/>
    </border>
  </borders>
  <cellStyleXfs count="9">
    <xf numFmtId="0" fontId="0" fillId="0" borderId="0"/>
    <xf numFmtId="0" fontId="2" fillId="13" borderId="0" applyNumberFormat="0" applyBorder="0" applyAlignment="0" applyProtection="0"/>
    <xf numFmtId="0" fontId="3" fillId="0" borderId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38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4" fontId="39" fillId="0" borderId="0" applyFont="0" applyFill="0" applyBorder="0" applyAlignment="0" applyProtection="0"/>
  </cellStyleXfs>
  <cellXfs count="803">
    <xf numFmtId="0" fontId="0" fillId="0" borderId="0" xfId="0"/>
    <xf numFmtId="0" fontId="4" fillId="3" borderId="0" xfId="1" applyFont="1" applyFill="1" applyAlignment="1">
      <alignment vertical="center"/>
    </xf>
    <xf numFmtId="0" fontId="4" fillId="3" borderId="0" xfId="1" applyFont="1" applyFill="1"/>
    <xf numFmtId="0" fontId="7" fillId="3" borderId="0" xfId="1" applyFont="1" applyFill="1" applyAlignment="1">
      <alignment vertical="center"/>
    </xf>
    <xf numFmtId="0" fontId="9" fillId="5" borderId="0" xfId="1" applyFont="1" applyFill="1" applyAlignment="1">
      <alignment horizontal="center" vertical="center"/>
    </xf>
    <xf numFmtId="0" fontId="7" fillId="3" borderId="0" xfId="1" applyFont="1" applyFill="1"/>
    <xf numFmtId="0" fontId="10" fillId="3" borderId="0" xfId="1" applyFont="1" applyFill="1" applyAlignment="1">
      <alignment vertical="center"/>
    </xf>
    <xf numFmtId="0" fontId="11" fillId="3" borderId="0" xfId="1" applyFont="1" applyFill="1" applyAlignment="1">
      <alignment vertical="center"/>
    </xf>
    <xf numFmtId="166" fontId="12" fillId="2" borderId="0" xfId="1" applyNumberFormat="1" applyFont="1" applyFill="1" applyAlignment="1">
      <alignment vertical="center"/>
    </xf>
    <xf numFmtId="0" fontId="12" fillId="2" borderId="0" xfId="1" applyFont="1" applyFill="1" applyAlignment="1">
      <alignment horizontal="right" vertical="center"/>
    </xf>
    <xf numFmtId="164" fontId="13" fillId="7" borderId="0" xfId="1" applyNumberFormat="1" applyFont="1" applyFill="1" applyAlignment="1">
      <alignment horizontal="right" vertical="center"/>
    </xf>
    <xf numFmtId="8" fontId="14" fillId="2" borderId="0" xfId="1" applyNumberFormat="1" applyFont="1" applyFill="1" applyAlignment="1">
      <alignment horizontal="right" vertical="center"/>
    </xf>
    <xf numFmtId="164" fontId="15" fillId="2" borderId="0" xfId="1" applyNumberFormat="1" applyFont="1" applyFill="1" applyAlignment="1" applyProtection="1">
      <alignment horizontal="right" vertical="center"/>
      <protection locked="0"/>
    </xf>
    <xf numFmtId="164" fontId="4" fillId="2" borderId="0" xfId="1" applyNumberFormat="1" applyFont="1" applyFill="1" applyAlignment="1">
      <alignment horizontal="right" vertical="center"/>
    </xf>
    <xf numFmtId="167" fontId="4" fillId="2" borderId="0" xfId="1" applyNumberFormat="1" applyFont="1" applyFill="1" applyAlignment="1">
      <alignment vertical="center"/>
    </xf>
    <xf numFmtId="164" fontId="16" fillId="2" borderId="0" xfId="1" applyNumberFormat="1" applyFont="1" applyFill="1" applyAlignment="1">
      <alignment horizontal="right" vertical="center"/>
    </xf>
    <xf numFmtId="167" fontId="16" fillId="2" borderId="0" xfId="1" applyNumberFormat="1" applyFont="1" applyFill="1" applyAlignment="1">
      <alignment vertical="center"/>
    </xf>
    <xf numFmtId="166" fontId="12" fillId="3" borderId="0" xfId="1" applyNumberFormat="1" applyFont="1" applyFill="1" applyAlignment="1">
      <alignment vertical="center"/>
    </xf>
    <xf numFmtId="0" fontId="12" fillId="3" borderId="0" xfId="1" applyFont="1" applyFill="1" applyAlignment="1">
      <alignment horizontal="right" vertical="center"/>
    </xf>
    <xf numFmtId="165" fontId="13" fillId="7" borderId="0" xfId="1" applyNumberFormat="1" applyFont="1" applyFill="1" applyAlignment="1">
      <alignment horizontal="right" vertical="center"/>
    </xf>
    <xf numFmtId="164" fontId="14" fillId="2" borderId="0" xfId="1" applyNumberFormat="1" applyFont="1" applyFill="1" applyAlignment="1">
      <alignment horizontal="right" vertical="center"/>
    </xf>
    <xf numFmtId="0" fontId="5" fillId="3" borderId="0" xfId="0" applyFont="1" applyFill="1"/>
    <xf numFmtId="165" fontId="17" fillId="8" borderId="0" xfId="1" applyNumberFormat="1" applyFont="1" applyFill="1" applyAlignment="1">
      <alignment vertical="center"/>
    </xf>
    <xf numFmtId="164" fontId="17" fillId="8" borderId="0" xfId="1" applyNumberFormat="1" applyFont="1" applyFill="1" applyAlignment="1">
      <alignment horizontal="right" vertical="center"/>
    </xf>
    <xf numFmtId="164" fontId="18" fillId="4" borderId="0" xfId="1" applyNumberFormat="1" applyFont="1" applyFill="1" applyAlignment="1">
      <alignment vertical="center"/>
    </xf>
    <xf numFmtId="164" fontId="15" fillId="2" borderId="0" xfId="1" applyNumberFormat="1" applyFont="1" applyFill="1" applyAlignment="1">
      <alignment horizontal="right" vertical="center"/>
    </xf>
    <xf numFmtId="167" fontId="15" fillId="2" borderId="0" xfId="1" applyNumberFormat="1" applyFont="1" applyFill="1" applyAlignment="1">
      <alignment vertical="center"/>
    </xf>
    <xf numFmtId="164" fontId="19" fillId="2" borderId="0" xfId="1" applyNumberFormat="1" applyFont="1" applyFill="1" applyAlignment="1">
      <alignment horizontal="right" vertical="center"/>
    </xf>
    <xf numFmtId="167" fontId="19" fillId="2" borderId="0" xfId="1" applyNumberFormat="1" applyFont="1" applyFill="1" applyAlignment="1">
      <alignment vertical="center"/>
    </xf>
    <xf numFmtId="164" fontId="4" fillId="3" borderId="0" xfId="1" applyNumberFormat="1" applyFont="1" applyFill="1" applyAlignment="1">
      <alignment vertical="center"/>
    </xf>
    <xf numFmtId="0" fontId="4" fillId="13" borderId="0" xfId="1" applyFont="1"/>
    <xf numFmtId="0" fontId="20" fillId="3" borderId="0" xfId="1" applyFont="1" applyFill="1" applyAlignment="1">
      <alignment vertical="center"/>
    </xf>
    <xf numFmtId="0" fontId="7" fillId="13" borderId="0" xfId="1" applyFont="1"/>
    <xf numFmtId="0" fontId="4" fillId="3" borderId="0" xfId="1" applyFont="1" applyFill="1" applyProtection="1">
      <protection locked="0"/>
    </xf>
    <xf numFmtId="0" fontId="4" fillId="3" borderId="0" xfId="1" applyFont="1" applyFill="1" applyAlignment="1" applyProtection="1">
      <alignment vertical="center"/>
      <protection locked="0"/>
    </xf>
    <xf numFmtId="8" fontId="4" fillId="3" borderId="0" xfId="1" applyNumberFormat="1" applyFont="1" applyFill="1"/>
    <xf numFmtId="8" fontId="13" fillId="3" borderId="0" xfId="1" applyNumberFormat="1" applyFont="1" applyFill="1" applyAlignment="1">
      <alignment horizontal="right" vertical="center"/>
    </xf>
    <xf numFmtId="164" fontId="4" fillId="3" borderId="0" xfId="1" applyNumberFormat="1" applyFont="1" applyFill="1"/>
    <xf numFmtId="0" fontId="4" fillId="9" borderId="0" xfId="1" applyFont="1" applyFill="1"/>
    <xf numFmtId="0" fontId="4" fillId="12" borderId="0" xfId="1" applyFont="1" applyFill="1"/>
    <xf numFmtId="0" fontId="20" fillId="9" borderId="0" xfId="1" applyFont="1" applyFill="1" applyAlignment="1">
      <alignment vertical="center"/>
    </xf>
    <xf numFmtId="0" fontId="7" fillId="9" borderId="0" xfId="1" applyFont="1" applyFill="1"/>
    <xf numFmtId="0" fontId="4" fillId="9" borderId="0" xfId="1" applyFont="1" applyFill="1" applyAlignment="1">
      <alignment vertical="center"/>
    </xf>
    <xf numFmtId="0" fontId="7" fillId="9" borderId="0" xfId="1" applyFont="1" applyFill="1" applyAlignment="1">
      <alignment vertical="center"/>
    </xf>
    <xf numFmtId="0" fontId="7" fillId="12" borderId="0" xfId="1" applyFont="1" applyFill="1"/>
    <xf numFmtId="0" fontId="10" fillId="9" borderId="0" xfId="1" applyFont="1" applyFill="1" applyAlignment="1">
      <alignment vertical="center"/>
    </xf>
    <xf numFmtId="164" fontId="4" fillId="9" borderId="0" xfId="1" applyNumberFormat="1" applyFont="1" applyFill="1" applyAlignment="1">
      <alignment vertical="center"/>
    </xf>
    <xf numFmtId="0" fontId="4" fillId="9" borderId="0" xfId="1" applyFont="1" applyFill="1" applyProtection="1">
      <protection locked="0"/>
    </xf>
    <xf numFmtId="0" fontId="4" fillId="9" borderId="0" xfId="1" applyFont="1" applyFill="1" applyAlignment="1" applyProtection="1">
      <alignment vertical="center"/>
      <protection locked="0"/>
    </xf>
    <xf numFmtId="165" fontId="13" fillId="9" borderId="0" xfId="1" applyNumberFormat="1" applyFont="1" applyFill="1" applyAlignment="1">
      <alignment horizontal="left" vertical="center"/>
    </xf>
    <xf numFmtId="8" fontId="13" fillId="9" borderId="0" xfId="1" applyNumberFormat="1" applyFont="1" applyFill="1" applyAlignment="1">
      <alignment horizontal="right" vertical="center"/>
    </xf>
    <xf numFmtId="0" fontId="5" fillId="9" borderId="0" xfId="0" applyFont="1" applyFill="1"/>
    <xf numFmtId="8" fontId="4" fillId="9" borderId="0" xfId="1" applyNumberFormat="1" applyFont="1" applyFill="1"/>
    <xf numFmtId="0" fontId="13" fillId="9" borderId="0" xfId="1" applyFont="1" applyFill="1" applyAlignment="1">
      <alignment vertical="center"/>
    </xf>
    <xf numFmtId="164" fontId="13" fillId="9" borderId="0" xfId="1" applyNumberFormat="1" applyFont="1" applyFill="1" applyAlignment="1">
      <alignment vertical="center"/>
    </xf>
    <xf numFmtId="8" fontId="13" fillId="9" borderId="0" xfId="1" applyNumberFormat="1" applyFont="1" applyFill="1" applyAlignment="1">
      <alignment horizontal="right" vertical="center" wrapText="1"/>
    </xf>
    <xf numFmtId="164" fontId="4" fillId="9" borderId="0" xfId="1" applyNumberFormat="1" applyFont="1" applyFill="1"/>
    <xf numFmtId="166" fontId="26" fillId="9" borderId="0" xfId="1" applyNumberFormat="1" applyFont="1" applyFill="1" applyAlignment="1">
      <alignment vertical="center"/>
    </xf>
    <xf numFmtId="165" fontId="23" fillId="9" borderId="4" xfId="1" applyNumberFormat="1" applyFont="1" applyFill="1" applyBorder="1" applyAlignment="1">
      <alignment horizontal="right" vertical="center"/>
    </xf>
    <xf numFmtId="164" fontId="23" fillId="9" borderId="0" xfId="1" applyNumberFormat="1" applyFont="1" applyFill="1" applyAlignment="1">
      <alignment horizontal="right" vertical="center"/>
    </xf>
    <xf numFmtId="164" fontId="23" fillId="9" borderId="5" xfId="1" applyNumberFormat="1" applyFont="1" applyFill="1" applyBorder="1" applyAlignment="1">
      <alignment horizontal="right" vertical="center"/>
    </xf>
    <xf numFmtId="164" fontId="23" fillId="9" borderId="4" xfId="1" applyNumberFormat="1" applyFont="1" applyFill="1" applyBorder="1" applyAlignment="1">
      <alignment horizontal="right" vertical="center"/>
    </xf>
    <xf numFmtId="164" fontId="27" fillId="9" borderId="0" xfId="1" applyNumberFormat="1" applyFont="1" applyFill="1" applyAlignment="1">
      <alignment horizontal="right" vertical="center"/>
    </xf>
    <xf numFmtId="164" fontId="27" fillId="9" borderId="4" xfId="1" applyNumberFormat="1" applyFont="1" applyFill="1" applyBorder="1" applyAlignment="1">
      <alignment horizontal="right" vertical="center"/>
    </xf>
    <xf numFmtId="167" fontId="27" fillId="9" borderId="5" xfId="1" applyNumberFormat="1" applyFont="1" applyFill="1" applyBorder="1" applyAlignment="1">
      <alignment horizontal="right" vertical="center"/>
    </xf>
    <xf numFmtId="164" fontId="27" fillId="9" borderId="9" xfId="1" applyNumberFormat="1" applyFont="1" applyFill="1" applyBorder="1" applyAlignment="1">
      <alignment horizontal="right" vertical="center"/>
    </xf>
    <xf numFmtId="164" fontId="27" fillId="9" borderId="10" xfId="1" applyNumberFormat="1" applyFont="1" applyFill="1" applyBorder="1" applyAlignment="1">
      <alignment horizontal="right" vertical="center"/>
    </xf>
    <xf numFmtId="167" fontId="27" fillId="9" borderId="11" xfId="1" applyNumberFormat="1" applyFont="1" applyFill="1" applyBorder="1" applyAlignment="1">
      <alignment horizontal="right" vertical="center"/>
    </xf>
    <xf numFmtId="167" fontId="27" fillId="9" borderId="5" xfId="4" applyNumberFormat="1" applyFont="1" applyFill="1" applyBorder="1" applyAlignment="1">
      <alignment horizontal="right" vertical="center"/>
    </xf>
    <xf numFmtId="164" fontId="25" fillId="9" borderId="4" xfId="1" applyNumberFormat="1" applyFont="1" applyFill="1" applyBorder="1" applyAlignment="1" applyProtection="1">
      <alignment horizontal="right" vertical="center"/>
      <protection locked="0"/>
    </xf>
    <xf numFmtId="164" fontId="25" fillId="9" borderId="0" xfId="1" applyNumberFormat="1" applyFont="1" applyFill="1" applyAlignment="1" applyProtection="1">
      <alignment horizontal="right" vertical="center"/>
      <protection locked="0"/>
    </xf>
    <xf numFmtId="8" fontId="14" fillId="13" borderId="12" xfId="1" applyNumberFormat="1" applyFont="1" applyBorder="1" applyAlignment="1">
      <alignment horizontal="right" vertical="center"/>
    </xf>
    <xf numFmtId="167" fontId="27" fillId="9" borderId="5" xfId="3" applyNumberFormat="1" applyFont="1" applyFill="1" applyBorder="1" applyAlignment="1">
      <alignment horizontal="right" vertical="center"/>
    </xf>
    <xf numFmtId="164" fontId="18" fillId="14" borderId="10" xfId="1" applyNumberFormat="1" applyFont="1" applyFill="1" applyBorder="1" applyAlignment="1">
      <alignment vertical="center"/>
    </xf>
    <xf numFmtId="164" fontId="18" fillId="14" borderId="11" xfId="1" applyNumberFormat="1" applyFont="1" applyFill="1" applyBorder="1" applyAlignment="1">
      <alignment vertical="center"/>
    </xf>
    <xf numFmtId="0" fontId="8" fillId="14" borderId="1" xfId="1" applyFont="1" applyFill="1" applyBorder="1" applyAlignment="1">
      <alignment horizontal="center" vertical="center"/>
    </xf>
    <xf numFmtId="0" fontId="8" fillId="14" borderId="2" xfId="1" applyFont="1" applyFill="1" applyBorder="1" applyAlignment="1">
      <alignment horizontal="center" vertical="center"/>
    </xf>
    <xf numFmtId="0" fontId="25" fillId="9" borderId="1" xfId="1" applyFont="1" applyFill="1" applyBorder="1" applyAlignment="1">
      <alignment vertical="center"/>
    </xf>
    <xf numFmtId="166" fontId="26" fillId="9" borderId="2" xfId="1" applyNumberFormat="1" applyFont="1" applyFill="1" applyBorder="1" applyAlignment="1">
      <alignment vertical="center"/>
    </xf>
    <xf numFmtId="0" fontId="26" fillId="9" borderId="3" xfId="1" applyFont="1" applyFill="1" applyBorder="1" applyAlignment="1">
      <alignment horizontal="right" vertical="center"/>
    </xf>
    <xf numFmtId="0" fontId="25" fillId="9" borderId="4" xfId="1" applyFont="1" applyFill="1" applyBorder="1" applyAlignment="1">
      <alignment vertical="center"/>
    </xf>
    <xf numFmtId="0" fontId="26" fillId="9" borderId="5" xfId="1" applyFont="1" applyFill="1" applyBorder="1" applyAlignment="1">
      <alignment horizontal="right" vertical="center"/>
    </xf>
    <xf numFmtId="0" fontId="25" fillId="9" borderId="6" xfId="1" applyFont="1" applyFill="1" applyBorder="1" applyAlignment="1">
      <alignment vertical="center"/>
    </xf>
    <xf numFmtId="166" fontId="26" fillId="9" borderId="7" xfId="1" applyNumberFormat="1" applyFont="1" applyFill="1" applyBorder="1" applyAlignment="1">
      <alignment vertical="center"/>
    </xf>
    <xf numFmtId="0" fontId="26" fillId="9" borderId="8" xfId="1" applyFont="1" applyFill="1" applyBorder="1" applyAlignment="1">
      <alignment horizontal="right" vertical="center"/>
    </xf>
    <xf numFmtId="165" fontId="4" fillId="14" borderId="10" xfId="1" applyNumberFormat="1" applyFont="1" applyFill="1" applyBorder="1" applyAlignment="1">
      <alignment vertical="center"/>
    </xf>
    <xf numFmtId="164" fontId="4" fillId="14" borderId="10" xfId="1" applyNumberFormat="1" applyFont="1" applyFill="1" applyBorder="1" applyAlignment="1">
      <alignment horizontal="right" vertical="center"/>
    </xf>
    <xf numFmtId="0" fontId="0" fillId="9" borderId="0" xfId="0" applyFill="1"/>
    <xf numFmtId="166" fontId="29" fillId="9" borderId="0" xfId="1" applyNumberFormat="1" applyFont="1" applyFill="1" applyAlignment="1">
      <alignment vertical="center"/>
    </xf>
    <xf numFmtId="0" fontId="8" fillId="16" borderId="21" xfId="1" applyFont="1" applyFill="1" applyBorder="1" applyAlignment="1">
      <alignment horizontal="center" vertical="center"/>
    </xf>
    <xf numFmtId="0" fontId="8" fillId="16" borderId="23" xfId="1" applyFont="1" applyFill="1" applyBorder="1" applyAlignment="1">
      <alignment horizontal="center" vertical="center"/>
    </xf>
    <xf numFmtId="0" fontId="28" fillId="9" borderId="13" xfId="1" applyFont="1" applyFill="1" applyBorder="1" applyAlignment="1">
      <alignment vertical="center"/>
    </xf>
    <xf numFmtId="166" fontId="29" fillId="9" borderId="14" xfId="1" applyNumberFormat="1" applyFont="1" applyFill="1" applyBorder="1" applyAlignment="1">
      <alignment vertical="center"/>
    </xf>
    <xf numFmtId="0" fontId="28" fillId="9" borderId="16" xfId="1" applyFont="1" applyFill="1" applyBorder="1" applyAlignment="1">
      <alignment vertical="center"/>
    </xf>
    <xf numFmtId="0" fontId="28" fillId="9" borderId="18" xfId="1" applyFont="1" applyFill="1" applyBorder="1" applyAlignment="1">
      <alignment vertical="center"/>
    </xf>
    <xf numFmtId="166" fontId="29" fillId="9" borderId="19" xfId="1" applyNumberFormat="1" applyFont="1" applyFill="1" applyBorder="1" applyAlignment="1">
      <alignment vertical="center"/>
    </xf>
    <xf numFmtId="165" fontId="31" fillId="18" borderId="18" xfId="1" applyNumberFormat="1" applyFont="1" applyFill="1" applyBorder="1" applyAlignment="1">
      <alignment vertical="center"/>
    </xf>
    <xf numFmtId="165" fontId="29" fillId="17" borderId="13" xfId="1" applyNumberFormat="1" applyFont="1" applyFill="1" applyBorder="1" applyAlignment="1">
      <alignment horizontal="right" vertical="center"/>
    </xf>
    <xf numFmtId="165" fontId="29" fillId="17" borderId="14" xfId="1" applyNumberFormat="1" applyFont="1" applyFill="1" applyBorder="1" applyAlignment="1">
      <alignment horizontal="right" vertical="center"/>
    </xf>
    <xf numFmtId="165" fontId="29" fillId="17" borderId="15" xfId="1" applyNumberFormat="1" applyFont="1" applyFill="1" applyBorder="1" applyAlignment="1">
      <alignment horizontal="right" vertical="center"/>
    </xf>
    <xf numFmtId="165" fontId="14" fillId="15" borderId="15" xfId="1" applyNumberFormat="1" applyFont="1" applyFill="1" applyBorder="1" applyAlignment="1">
      <alignment horizontal="right" vertical="center"/>
    </xf>
    <xf numFmtId="165" fontId="28" fillId="9" borderId="13" xfId="1" applyNumberFormat="1" applyFont="1" applyFill="1" applyBorder="1" applyAlignment="1" applyProtection="1">
      <alignment horizontal="center" vertical="center"/>
      <protection locked="0"/>
    </xf>
    <xf numFmtId="165" fontId="30" fillId="9" borderId="13" xfId="1" applyNumberFormat="1" applyFont="1" applyFill="1" applyBorder="1" applyAlignment="1">
      <alignment horizontal="right" vertical="center"/>
    </xf>
    <xf numFmtId="165" fontId="30" fillId="9" borderId="15" xfId="1" applyNumberFormat="1" applyFont="1" applyFill="1" applyBorder="1" applyAlignment="1">
      <alignment horizontal="right" vertical="center"/>
    </xf>
    <xf numFmtId="165" fontId="29" fillId="17" borderId="16" xfId="1" applyNumberFormat="1" applyFont="1" applyFill="1" applyBorder="1" applyAlignment="1">
      <alignment horizontal="right" vertical="center"/>
    </xf>
    <xf numFmtId="165" fontId="29" fillId="17" borderId="0" xfId="1" applyNumberFormat="1" applyFont="1" applyFill="1" applyAlignment="1">
      <alignment horizontal="right" vertical="center"/>
    </xf>
    <xf numFmtId="165" fontId="29" fillId="17" borderId="17" xfId="1" applyNumberFormat="1" applyFont="1" applyFill="1" applyBorder="1" applyAlignment="1">
      <alignment horizontal="right" vertical="center"/>
    </xf>
    <xf numFmtId="165" fontId="14" fillId="15" borderId="17" xfId="1" applyNumberFormat="1" applyFont="1" applyFill="1" applyBorder="1" applyAlignment="1">
      <alignment horizontal="right" vertical="center"/>
    </xf>
    <xf numFmtId="165" fontId="28" fillId="9" borderId="16" xfId="1" applyNumberFormat="1" applyFont="1" applyFill="1" applyBorder="1" applyAlignment="1" applyProtection="1">
      <alignment horizontal="center" vertical="center"/>
      <protection locked="0"/>
    </xf>
    <xf numFmtId="165" fontId="30" fillId="9" borderId="16" xfId="1" applyNumberFormat="1" applyFont="1" applyFill="1" applyBorder="1" applyAlignment="1">
      <alignment horizontal="right" vertical="center"/>
    </xf>
    <xf numFmtId="165" fontId="30" fillId="9" borderId="17" xfId="1" applyNumberFormat="1" applyFont="1" applyFill="1" applyBorder="1" applyAlignment="1">
      <alignment horizontal="right" vertical="center"/>
    </xf>
    <xf numFmtId="165" fontId="29" fillId="17" borderId="18" xfId="1" applyNumberFormat="1" applyFont="1" applyFill="1" applyBorder="1" applyAlignment="1">
      <alignment horizontal="right" vertical="center"/>
    </xf>
    <xf numFmtId="165" fontId="29" fillId="17" borderId="19" xfId="1" applyNumberFormat="1" applyFont="1" applyFill="1" applyBorder="1" applyAlignment="1">
      <alignment horizontal="right" vertical="center"/>
    </xf>
    <xf numFmtId="165" fontId="29" fillId="17" borderId="20" xfId="1" applyNumberFormat="1" applyFont="1" applyFill="1" applyBorder="1" applyAlignment="1">
      <alignment horizontal="right" vertical="center"/>
    </xf>
    <xf numFmtId="165" fontId="14" fillId="15" borderId="20" xfId="1" applyNumberFormat="1" applyFont="1" applyFill="1" applyBorder="1" applyAlignment="1">
      <alignment horizontal="right" vertical="center"/>
    </xf>
    <xf numFmtId="165" fontId="28" fillId="9" borderId="18" xfId="1" applyNumberFormat="1" applyFont="1" applyFill="1" applyBorder="1" applyAlignment="1" applyProtection="1">
      <alignment horizontal="center" vertical="center"/>
      <protection locked="0"/>
    </xf>
    <xf numFmtId="165" fontId="30" fillId="9" borderId="18" xfId="1" applyNumberFormat="1" applyFont="1" applyFill="1" applyBorder="1" applyAlignment="1">
      <alignment horizontal="right" vertical="center"/>
    </xf>
    <xf numFmtId="165" fontId="30" fillId="9" borderId="20" xfId="1" applyNumberFormat="1" applyFont="1" applyFill="1" applyBorder="1" applyAlignment="1">
      <alignment horizontal="right" vertical="center"/>
    </xf>
    <xf numFmtId="165" fontId="31" fillId="18" borderId="19" xfId="1" applyNumberFormat="1" applyFont="1" applyFill="1" applyBorder="1" applyAlignment="1">
      <alignment horizontal="right" vertical="center"/>
    </xf>
    <xf numFmtId="165" fontId="31" fillId="18" borderId="20" xfId="1" applyNumberFormat="1" applyFont="1" applyFill="1" applyBorder="1" applyAlignment="1">
      <alignment horizontal="right" vertical="center"/>
    </xf>
    <xf numFmtId="165" fontId="18" fillId="16" borderId="23" xfId="1" applyNumberFormat="1" applyFont="1" applyFill="1" applyBorder="1" applyAlignment="1">
      <alignment vertical="center"/>
    </xf>
    <xf numFmtId="165" fontId="18" fillId="16" borderId="23" xfId="1" applyNumberFormat="1" applyFont="1" applyFill="1" applyBorder="1" applyAlignment="1">
      <alignment horizontal="center" vertical="center"/>
    </xf>
    <xf numFmtId="165" fontId="30" fillId="9" borderId="21" xfId="1" applyNumberFormat="1" applyFont="1" applyFill="1" applyBorder="1" applyAlignment="1">
      <alignment horizontal="right" vertical="center"/>
    </xf>
    <xf numFmtId="165" fontId="30" fillId="9" borderId="22" xfId="1" applyNumberFormat="1" applyFont="1" applyFill="1" applyBorder="1" applyAlignment="1">
      <alignment horizontal="right" vertical="center"/>
    </xf>
    <xf numFmtId="165" fontId="4" fillId="9" borderId="0" xfId="1" applyNumberFormat="1" applyFont="1" applyFill="1" applyAlignment="1">
      <alignment vertical="center"/>
    </xf>
    <xf numFmtId="165" fontId="13" fillId="3" borderId="0" xfId="1" applyNumberFormat="1" applyFont="1" applyFill="1" applyAlignment="1">
      <alignment horizontal="left" vertical="center"/>
    </xf>
    <xf numFmtId="0" fontId="13" fillId="3" borderId="0" xfId="1" applyFont="1" applyFill="1" applyAlignment="1">
      <alignment vertical="center"/>
    </xf>
    <xf numFmtId="164" fontId="13" fillId="3" borderId="0" xfId="1" applyNumberFormat="1" applyFont="1" applyFill="1" applyAlignment="1">
      <alignment vertical="center"/>
    </xf>
    <xf numFmtId="8" fontId="13" fillId="3" borderId="0" xfId="1" applyNumberFormat="1" applyFont="1" applyFill="1" applyAlignment="1">
      <alignment horizontal="right" vertical="center" wrapText="1"/>
    </xf>
    <xf numFmtId="0" fontId="8" fillId="16" borderId="14" xfId="1" applyFont="1" applyFill="1" applyBorder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8" fillId="14" borderId="10" xfId="1" applyFont="1" applyFill="1" applyBorder="1" applyAlignment="1">
      <alignment horizontal="center" vertical="center"/>
    </xf>
    <xf numFmtId="0" fontId="33" fillId="29" borderId="0" xfId="0" applyFont="1" applyFill="1"/>
    <xf numFmtId="0" fontId="35" fillId="29" borderId="0" xfId="0" applyFont="1" applyFill="1"/>
    <xf numFmtId="43" fontId="0" fillId="0" borderId="0" xfId="6" applyFont="1"/>
    <xf numFmtId="0" fontId="33" fillId="34" borderId="0" xfId="0" applyFont="1" applyFill="1"/>
    <xf numFmtId="0" fontId="1" fillId="34" borderId="0" xfId="0" applyFont="1" applyFill="1"/>
    <xf numFmtId="0" fontId="35" fillId="34" borderId="0" xfId="0" applyFont="1" applyFill="1"/>
    <xf numFmtId="168" fontId="34" fillId="34" borderId="0" xfId="0" applyNumberFormat="1" applyFont="1" applyFill="1" applyAlignment="1">
      <alignment vertical="center"/>
    </xf>
    <xf numFmtId="4" fontId="37" fillId="34" borderId="0" xfId="0" applyNumberFormat="1" applyFont="1" applyFill="1"/>
    <xf numFmtId="4" fontId="36" fillId="34" borderId="0" xfId="0" applyNumberFormat="1" applyFont="1" applyFill="1"/>
    <xf numFmtId="0" fontId="40" fillId="34" borderId="0" xfId="0" applyFont="1" applyFill="1"/>
    <xf numFmtId="4" fontId="40" fillId="34" borderId="0" xfId="0" applyNumberFormat="1" applyFont="1" applyFill="1" applyAlignment="1">
      <alignment horizontal="left" vertical="center"/>
    </xf>
    <xf numFmtId="0" fontId="41" fillId="34" borderId="0" xfId="0" applyFont="1" applyFill="1"/>
    <xf numFmtId="4" fontId="42" fillId="34" borderId="0" xfId="0" applyNumberFormat="1" applyFont="1" applyFill="1" applyAlignment="1">
      <alignment horizontal="left" vertical="center"/>
    </xf>
    <xf numFmtId="0" fontId="42" fillId="34" borderId="0" xfId="0" applyFont="1" applyFill="1"/>
    <xf numFmtId="0" fontId="42" fillId="29" borderId="0" xfId="0" applyFont="1" applyFill="1"/>
    <xf numFmtId="4" fontId="43" fillId="34" borderId="0" xfId="0" applyNumberFormat="1" applyFont="1" applyFill="1" applyAlignment="1">
      <alignment horizontal="left" vertical="center"/>
    </xf>
    <xf numFmtId="16" fontId="0" fillId="0" borderId="0" xfId="0" applyNumberFormat="1"/>
    <xf numFmtId="9" fontId="0" fillId="0" borderId="0" xfId="0" applyNumberFormat="1"/>
    <xf numFmtId="0" fontId="57" fillId="30" borderId="0" xfId="0" applyFont="1" applyFill="1" applyAlignment="1">
      <alignment vertical="top"/>
    </xf>
    <xf numFmtId="0" fontId="58" fillId="34" borderId="0" xfId="0" applyFont="1" applyFill="1" applyAlignment="1">
      <alignment vertical="top"/>
    </xf>
    <xf numFmtId="0" fontId="59" fillId="30" borderId="0" xfId="0" applyFont="1" applyFill="1" applyAlignment="1">
      <alignment vertical="top"/>
    </xf>
    <xf numFmtId="0" fontId="58" fillId="30" borderId="0" xfId="0" applyFont="1" applyFill="1" applyAlignment="1">
      <alignment vertical="top"/>
    </xf>
    <xf numFmtId="0" fontId="60" fillId="30" borderId="0" xfId="0" applyFont="1" applyFill="1" applyAlignment="1">
      <alignment vertical="top"/>
    </xf>
    <xf numFmtId="0" fontId="45" fillId="34" borderId="0" xfId="0" applyFont="1" applyFill="1" applyAlignment="1">
      <alignment vertical="top"/>
    </xf>
    <xf numFmtId="0" fontId="61" fillId="30" borderId="0" xfId="0" applyFont="1" applyFill="1" applyAlignment="1">
      <alignment vertical="top"/>
    </xf>
    <xf numFmtId="169" fontId="54" fillId="30" borderId="0" xfId="0" applyNumberFormat="1" applyFont="1" applyFill="1" applyAlignment="1">
      <alignment vertical="top"/>
    </xf>
    <xf numFmtId="0" fontId="54" fillId="30" borderId="0" xfId="0" applyFont="1" applyFill="1" applyAlignment="1">
      <alignment vertical="top"/>
    </xf>
    <xf numFmtId="0" fontId="62" fillId="34" borderId="0" xfId="0" applyFont="1" applyFill="1" applyAlignment="1">
      <alignment vertical="top"/>
    </xf>
    <xf numFmtId="169" fontId="62" fillId="30" borderId="0" xfId="0" applyNumberFormat="1" applyFont="1" applyFill="1" applyAlignment="1">
      <alignment vertical="top"/>
    </xf>
    <xf numFmtId="0" fontId="62" fillId="30" borderId="0" xfId="0" applyFont="1" applyFill="1" applyAlignment="1">
      <alignment vertical="top"/>
    </xf>
    <xf numFmtId="6" fontId="62" fillId="34" borderId="0" xfId="0" applyNumberFormat="1" applyFont="1" applyFill="1" applyAlignment="1">
      <alignment vertical="top"/>
    </xf>
    <xf numFmtId="169" fontId="62" fillId="34" borderId="0" xfId="0" applyNumberFormat="1" applyFont="1" applyFill="1" applyAlignment="1">
      <alignment vertical="top"/>
    </xf>
    <xf numFmtId="0" fontId="64" fillId="41" borderId="0" xfId="0" applyFont="1" applyFill="1"/>
    <xf numFmtId="0" fontId="65" fillId="41" borderId="0" xfId="0" applyFont="1" applyFill="1" applyAlignment="1">
      <alignment horizontal="center" vertical="center"/>
    </xf>
    <xf numFmtId="0" fontId="64" fillId="28" borderId="0" xfId="0" applyFont="1" applyFill="1"/>
    <xf numFmtId="0" fontId="66" fillId="34" borderId="0" xfId="0" applyFont="1" applyFill="1"/>
    <xf numFmtId="0" fontId="67" fillId="34" borderId="0" xfId="0" applyFont="1" applyFill="1"/>
    <xf numFmtId="0" fontId="66" fillId="27" borderId="0" xfId="0" applyFont="1" applyFill="1"/>
    <xf numFmtId="0" fontId="68" fillId="41" borderId="0" xfId="0" applyFont="1" applyFill="1" applyAlignment="1">
      <alignment vertical="center"/>
    </xf>
    <xf numFmtId="0" fontId="66" fillId="41" borderId="0" xfId="0" applyFont="1" applyFill="1"/>
    <xf numFmtId="0" fontId="67" fillId="41" borderId="0" xfId="0" applyFont="1" applyFill="1"/>
    <xf numFmtId="4" fontId="73" fillId="9" borderId="65" xfId="0" applyNumberFormat="1" applyFont="1" applyFill="1" applyBorder="1" applyAlignment="1" applyProtection="1">
      <alignment horizontal="right" vertical="center"/>
      <protection locked="0"/>
    </xf>
    <xf numFmtId="4" fontId="73" fillId="29" borderId="65" xfId="0" applyNumberFormat="1" applyFont="1" applyFill="1" applyBorder="1" applyAlignment="1" applyProtection="1">
      <alignment horizontal="right" vertical="center"/>
      <protection locked="0"/>
    </xf>
    <xf numFmtId="4" fontId="73" fillId="29" borderId="65" xfId="0" applyNumberFormat="1" applyFont="1" applyFill="1" applyBorder="1" applyAlignment="1">
      <alignment horizontal="right" vertical="center"/>
    </xf>
    <xf numFmtId="4" fontId="73" fillId="9" borderId="65" xfId="0" applyNumberFormat="1" applyFont="1" applyFill="1" applyBorder="1" applyAlignment="1">
      <alignment horizontal="right" vertical="center"/>
    </xf>
    <xf numFmtId="3" fontId="73" fillId="9" borderId="65" xfId="0" applyNumberFormat="1" applyFont="1" applyFill="1" applyBorder="1" applyAlignment="1" applyProtection="1">
      <alignment horizontal="right" vertical="center"/>
      <protection locked="0"/>
    </xf>
    <xf numFmtId="4" fontId="73" fillId="9" borderId="65" xfId="0" applyNumberFormat="1" applyFont="1" applyFill="1" applyBorder="1" applyAlignment="1">
      <alignment vertical="center"/>
    </xf>
    <xf numFmtId="3" fontId="73" fillId="9" borderId="65" xfId="0" applyNumberFormat="1" applyFont="1" applyFill="1" applyBorder="1" applyAlignment="1">
      <alignment vertical="center"/>
    </xf>
    <xf numFmtId="4" fontId="73" fillId="29" borderId="65" xfId="0" applyNumberFormat="1" applyFont="1" applyFill="1" applyBorder="1" applyAlignment="1">
      <alignment vertical="center"/>
    </xf>
    <xf numFmtId="4" fontId="73" fillId="9" borderId="66" xfId="0" applyNumberFormat="1" applyFont="1" applyFill="1" applyBorder="1" applyAlignment="1">
      <alignment vertical="center"/>
    </xf>
    <xf numFmtId="3" fontId="73" fillId="9" borderId="66" xfId="0" applyNumberFormat="1" applyFont="1" applyFill="1" applyBorder="1" applyAlignment="1">
      <alignment vertical="center"/>
    </xf>
    <xf numFmtId="4" fontId="74" fillId="9" borderId="66" xfId="0" applyNumberFormat="1" applyFont="1" applyFill="1" applyBorder="1" applyAlignment="1">
      <alignment vertical="center"/>
    </xf>
    <xf numFmtId="3" fontId="74" fillId="9" borderId="66" xfId="0" applyNumberFormat="1" applyFont="1" applyFill="1" applyBorder="1" applyAlignment="1">
      <alignment vertical="center"/>
    </xf>
    <xf numFmtId="4" fontId="74" fillId="29" borderId="65" xfId="0" applyNumberFormat="1" applyFont="1" applyFill="1" applyBorder="1" applyAlignment="1">
      <alignment vertical="center"/>
    </xf>
    <xf numFmtId="0" fontId="66" fillId="29" borderId="0" xfId="0" applyFont="1" applyFill="1"/>
    <xf numFmtId="0" fontId="67" fillId="29" borderId="0" xfId="0" applyFont="1" applyFill="1"/>
    <xf numFmtId="0" fontId="75" fillId="41" borderId="0" xfId="0" applyFont="1" applyFill="1" applyAlignment="1">
      <alignment vertical="center"/>
    </xf>
    <xf numFmtId="4" fontId="77" fillId="29" borderId="65" xfId="0" applyNumberFormat="1" applyFont="1" applyFill="1" applyBorder="1" applyAlignment="1">
      <alignment horizontal="right" vertical="center"/>
    </xf>
    <xf numFmtId="4" fontId="78" fillId="29" borderId="65" xfId="0" applyNumberFormat="1" applyFont="1" applyFill="1" applyBorder="1" applyAlignment="1">
      <alignment horizontal="right" vertical="center"/>
    </xf>
    <xf numFmtId="4" fontId="80" fillId="29" borderId="65" xfId="0" applyNumberFormat="1" applyFont="1" applyFill="1" applyBorder="1" applyAlignment="1">
      <alignment horizontal="right" vertical="center"/>
    </xf>
    <xf numFmtId="4" fontId="81" fillId="29" borderId="65" xfId="0" applyNumberFormat="1" applyFont="1" applyFill="1" applyBorder="1" applyAlignment="1">
      <alignment horizontal="right" vertical="center"/>
    </xf>
    <xf numFmtId="4" fontId="73" fillId="9" borderId="85" xfId="0" applyNumberFormat="1" applyFont="1" applyFill="1" applyBorder="1" applyAlignment="1" applyProtection="1">
      <alignment horizontal="right" vertical="center" wrapText="1"/>
      <protection locked="0"/>
    </xf>
    <xf numFmtId="4" fontId="73" fillId="29" borderId="85" xfId="0" applyNumberFormat="1" applyFont="1" applyFill="1" applyBorder="1" applyAlignment="1" applyProtection="1">
      <alignment horizontal="right" vertical="center" wrapText="1"/>
      <protection locked="0"/>
    </xf>
    <xf numFmtId="4" fontId="73" fillId="9" borderId="85" xfId="0" applyNumberFormat="1" applyFont="1" applyFill="1" applyBorder="1" applyAlignment="1" applyProtection="1">
      <alignment horizontal="right" vertical="center"/>
      <protection locked="0"/>
    </xf>
    <xf numFmtId="4" fontId="80" fillId="29" borderId="85" xfId="0" applyNumberFormat="1" applyFont="1" applyFill="1" applyBorder="1" applyAlignment="1">
      <alignment horizontal="right" vertical="center" wrapText="1"/>
    </xf>
    <xf numFmtId="4" fontId="77" fillId="29" borderId="85" xfId="0" applyNumberFormat="1" applyFont="1" applyFill="1" applyBorder="1" applyAlignment="1">
      <alignment horizontal="right" vertical="center" wrapText="1"/>
    </xf>
    <xf numFmtId="0" fontId="69" fillId="28" borderId="0" xfId="0" applyFont="1" applyFill="1" applyAlignment="1">
      <alignment horizontal="center" vertical="center" wrapText="1"/>
    </xf>
    <xf numFmtId="0" fontId="69" fillId="41" borderId="0" xfId="0" applyFont="1" applyFill="1" applyAlignment="1">
      <alignment horizontal="center" vertical="center" wrapText="1"/>
    </xf>
    <xf numFmtId="0" fontId="70" fillId="27" borderId="0" xfId="0" applyFont="1" applyFill="1" applyAlignment="1">
      <alignment horizontal="center" vertical="center" wrapText="1"/>
    </xf>
    <xf numFmtId="0" fontId="69" fillId="30" borderId="0" xfId="0" applyFont="1" applyFill="1" applyAlignment="1">
      <alignment horizontal="center" vertical="center" wrapText="1"/>
    </xf>
    <xf numFmtId="0" fontId="71" fillId="26" borderId="0" xfId="0" applyFont="1" applyFill="1" applyAlignment="1">
      <alignment horizontal="center" vertical="center" wrapText="1"/>
    </xf>
    <xf numFmtId="0" fontId="69" fillId="40" borderId="0" xfId="0" applyFont="1" applyFill="1" applyAlignment="1">
      <alignment horizontal="center" vertical="center" wrapText="1"/>
    </xf>
    <xf numFmtId="0" fontId="79" fillId="30" borderId="0" xfId="0" applyFont="1" applyFill="1" applyAlignment="1">
      <alignment horizontal="center" vertical="center"/>
    </xf>
    <xf numFmtId="8" fontId="76" fillId="30" borderId="0" xfId="0" applyNumberFormat="1" applyFont="1" applyFill="1" applyAlignment="1">
      <alignment horizontal="center" vertical="center" wrapText="1"/>
    </xf>
    <xf numFmtId="0" fontId="44" fillId="0" borderId="0" xfId="0" applyFont="1"/>
    <xf numFmtId="0" fontId="84" fillId="9" borderId="0" xfId="1" applyFont="1" applyFill="1" applyBorder="1" applyAlignment="1">
      <alignment vertical="center"/>
    </xf>
    <xf numFmtId="0" fontId="86" fillId="9" borderId="0" xfId="1" applyFont="1" applyFill="1" applyAlignment="1">
      <alignment vertical="center"/>
    </xf>
    <xf numFmtId="0" fontId="87" fillId="24" borderId="0" xfId="1" applyFont="1" applyFill="1" applyAlignment="1">
      <alignment horizontal="center" vertical="center"/>
    </xf>
    <xf numFmtId="0" fontId="47" fillId="24" borderId="0" xfId="1" applyFont="1" applyFill="1" applyAlignment="1">
      <alignment horizontal="center" vertical="center"/>
    </xf>
    <xf numFmtId="170" fontId="87" fillId="24" borderId="0" xfId="1" applyNumberFormat="1" applyFont="1" applyFill="1" applyAlignment="1">
      <alignment horizontal="left" vertical="center"/>
    </xf>
    <xf numFmtId="4" fontId="89" fillId="9" borderId="0" xfId="1" applyNumberFormat="1" applyFont="1" applyFill="1" applyAlignment="1">
      <alignment horizontal="right" vertical="center"/>
    </xf>
    <xf numFmtId="4" fontId="89" fillId="9" borderId="0" xfId="1" applyNumberFormat="1" applyFont="1" applyFill="1" applyAlignment="1">
      <alignment horizontal="center" vertical="center"/>
    </xf>
    <xf numFmtId="8" fontId="90" fillId="24" borderId="0" xfId="1" applyNumberFormat="1" applyFont="1" applyFill="1" applyAlignment="1">
      <alignment horizontal="right" vertical="center"/>
    </xf>
    <xf numFmtId="8" fontId="91" fillId="9" borderId="0" xfId="1" applyNumberFormat="1" applyFont="1" applyFill="1" applyAlignment="1">
      <alignment horizontal="right" vertical="center"/>
    </xf>
    <xf numFmtId="164" fontId="92" fillId="9" borderId="0" xfId="1" applyNumberFormat="1" applyFont="1" applyFill="1" applyAlignment="1">
      <alignment horizontal="right" vertical="center"/>
    </xf>
    <xf numFmtId="167" fontId="92" fillId="9" borderId="0" xfId="4" applyNumberFormat="1" applyFont="1" applyFill="1" applyAlignment="1">
      <alignment horizontal="right" vertical="center"/>
    </xf>
    <xf numFmtId="0" fontId="93" fillId="24" borderId="54" xfId="0" applyFont="1" applyFill="1" applyBorder="1" applyAlignment="1">
      <alignment horizontal="center" vertical="center"/>
    </xf>
    <xf numFmtId="0" fontId="93" fillId="24" borderId="55" xfId="0" applyFont="1" applyFill="1" applyBorder="1" applyAlignment="1">
      <alignment horizontal="center" vertical="center"/>
    </xf>
    <xf numFmtId="0" fontId="93" fillId="24" borderId="56" xfId="0" applyFont="1" applyFill="1" applyBorder="1" applyAlignment="1">
      <alignment horizontal="center" vertical="center"/>
    </xf>
    <xf numFmtId="173" fontId="94" fillId="0" borderId="52" xfId="0" applyNumberFormat="1" applyFont="1" applyBorder="1" applyAlignment="1">
      <alignment horizontal="center" vertical="center"/>
    </xf>
    <xf numFmtId="173" fontId="94" fillId="0" borderId="51" xfId="0" applyNumberFormat="1" applyFont="1" applyBorder="1" applyAlignment="1">
      <alignment horizontal="center" vertical="center"/>
    </xf>
    <xf numFmtId="173" fontId="94" fillId="25" borderId="51" xfId="0" applyNumberFormat="1" applyFont="1" applyFill="1" applyBorder="1" applyAlignment="1">
      <alignment horizontal="center" vertical="center"/>
    </xf>
    <xf numFmtId="173" fontId="94" fillId="17" borderId="51" xfId="0" applyNumberFormat="1" applyFont="1" applyFill="1" applyBorder="1" applyAlignment="1">
      <alignment horizontal="center" vertical="center"/>
    </xf>
    <xf numFmtId="173" fontId="94" fillId="0" borderId="58" xfId="0" applyNumberFormat="1" applyFont="1" applyBorder="1" applyAlignment="1">
      <alignment horizontal="center" vertical="center"/>
    </xf>
    <xf numFmtId="4" fontId="89" fillId="39" borderId="0" xfId="1" applyNumberFormat="1" applyFont="1" applyFill="1" applyAlignment="1">
      <alignment horizontal="right" vertical="center"/>
    </xf>
    <xf numFmtId="173" fontId="94" fillId="17" borderId="52" xfId="0" applyNumberFormat="1" applyFont="1" applyFill="1" applyBorder="1" applyAlignment="1">
      <alignment horizontal="center" vertical="center"/>
    </xf>
    <xf numFmtId="173" fontId="94" fillId="39" borderId="52" xfId="0" applyNumberFormat="1" applyFont="1" applyFill="1" applyBorder="1" applyAlignment="1">
      <alignment horizontal="center" vertical="center"/>
    </xf>
    <xf numFmtId="173" fontId="94" fillId="0" borderId="60" xfId="0" applyNumberFormat="1" applyFont="1" applyBorder="1" applyAlignment="1">
      <alignment horizontal="center" vertical="center"/>
    </xf>
    <xf numFmtId="0" fontId="87" fillId="24" borderId="35" xfId="1" applyFont="1" applyFill="1" applyBorder="1" applyAlignment="1">
      <alignment vertical="center" wrapText="1"/>
    </xf>
    <xf numFmtId="43" fontId="56" fillId="9" borderId="46" xfId="6" applyFont="1" applyFill="1" applyBorder="1" applyAlignment="1">
      <alignment horizontal="right" vertical="center"/>
    </xf>
    <xf numFmtId="0" fontId="83" fillId="9" borderId="0" xfId="1" applyFont="1" applyFill="1" applyAlignment="1">
      <alignment vertical="center"/>
    </xf>
    <xf numFmtId="17" fontId="96" fillId="9" borderId="0" xfId="1" applyNumberFormat="1" applyFont="1" applyFill="1" applyAlignment="1">
      <alignment horizontal="left" vertical="center"/>
    </xf>
    <xf numFmtId="0" fontId="87" fillId="24" borderId="36" xfId="1" applyFont="1" applyFill="1" applyBorder="1" applyAlignment="1">
      <alignment vertical="center" wrapText="1"/>
    </xf>
    <xf numFmtId="164" fontId="56" fillId="9" borderId="46" xfId="6" applyNumberFormat="1" applyFont="1" applyFill="1" applyBorder="1" applyAlignment="1">
      <alignment horizontal="right" vertical="center"/>
    </xf>
    <xf numFmtId="164" fontId="55" fillId="9" borderId="0" xfId="1" applyNumberFormat="1" applyFont="1" applyFill="1" applyAlignment="1">
      <alignment vertical="center"/>
    </xf>
    <xf numFmtId="0" fontId="87" fillId="24" borderId="45" xfId="1" applyFont="1" applyFill="1" applyBorder="1" applyAlignment="1">
      <alignment vertical="center" wrapText="1"/>
    </xf>
    <xf numFmtId="0" fontId="87" fillId="9" borderId="0" xfId="1" applyFont="1" applyFill="1" applyAlignment="1">
      <alignment vertical="center" wrapText="1"/>
    </xf>
    <xf numFmtId="9" fontId="87" fillId="24" borderId="45" xfId="7" applyFont="1" applyFill="1" applyBorder="1" applyAlignment="1">
      <alignment vertical="center" wrapText="1"/>
    </xf>
    <xf numFmtId="9" fontId="87" fillId="24" borderId="47" xfId="7" applyFont="1" applyFill="1" applyBorder="1" applyAlignment="1">
      <alignment horizontal="center" vertical="center" wrapText="1"/>
    </xf>
    <xf numFmtId="0" fontId="97" fillId="9" borderId="47" xfId="0" applyFont="1" applyFill="1" applyBorder="1" applyAlignment="1">
      <alignment horizontal="center" vertical="center"/>
    </xf>
    <xf numFmtId="43" fontId="56" fillId="9" borderId="30" xfId="6" applyFont="1" applyFill="1" applyBorder="1" applyAlignment="1">
      <alignment horizontal="right" vertical="center"/>
    </xf>
    <xf numFmtId="171" fontId="56" fillId="9" borderId="48" xfId="6" applyNumberFormat="1" applyFont="1" applyFill="1" applyBorder="1" applyAlignment="1">
      <alignment horizontal="right" vertical="center"/>
    </xf>
    <xf numFmtId="171" fontId="56" fillId="9" borderId="47" xfId="6" applyNumberFormat="1" applyFont="1" applyFill="1" applyBorder="1" applyAlignment="1">
      <alignment horizontal="right" vertical="center"/>
    </xf>
    <xf numFmtId="173" fontId="94" fillId="0" borderId="62" xfId="0" applyNumberFormat="1" applyFont="1" applyBorder="1" applyAlignment="1">
      <alignment horizontal="center" vertical="center"/>
    </xf>
    <xf numFmtId="173" fontId="94" fillId="17" borderId="62" xfId="0" applyNumberFormat="1" applyFont="1" applyFill="1" applyBorder="1" applyAlignment="1">
      <alignment horizontal="center" vertical="center"/>
    </xf>
    <xf numFmtId="173" fontId="94" fillId="25" borderId="62" xfId="0" applyNumberFormat="1" applyFont="1" applyFill="1" applyBorder="1" applyAlignment="1">
      <alignment horizontal="center" vertical="center"/>
    </xf>
    <xf numFmtId="173" fontId="94" fillId="0" borderId="63" xfId="0" applyNumberFormat="1" applyFont="1" applyBorder="1" applyAlignment="1">
      <alignment horizontal="center" vertical="center"/>
    </xf>
    <xf numFmtId="171" fontId="98" fillId="9" borderId="47" xfId="6" applyNumberFormat="1" applyFont="1" applyFill="1" applyBorder="1" applyAlignment="1">
      <alignment horizontal="right" vertical="center"/>
    </xf>
    <xf numFmtId="167" fontId="92" fillId="9" borderId="0" xfId="1" applyNumberFormat="1" applyFont="1" applyFill="1" applyAlignment="1">
      <alignment horizontal="right" vertical="center"/>
    </xf>
    <xf numFmtId="2" fontId="93" fillId="24" borderId="0" xfId="1" applyNumberFormat="1" applyFont="1" applyFill="1" applyAlignment="1">
      <alignment vertical="center"/>
    </xf>
    <xf numFmtId="2" fontId="93" fillId="24" borderId="0" xfId="1" applyNumberFormat="1" applyFont="1" applyFill="1" applyAlignment="1">
      <alignment horizontal="center" vertical="center"/>
    </xf>
    <xf numFmtId="164" fontId="87" fillId="24" borderId="0" xfId="1" applyNumberFormat="1" applyFont="1" applyFill="1" applyAlignment="1">
      <alignment vertical="center"/>
    </xf>
    <xf numFmtId="8" fontId="87" fillId="24" borderId="0" xfId="1" applyNumberFormat="1" applyFont="1" applyFill="1" applyAlignment="1">
      <alignment horizontal="centerContinuous" vertical="center"/>
    </xf>
    <xf numFmtId="0" fontId="90" fillId="9" borderId="0" xfId="1" applyFont="1" applyFill="1" applyAlignment="1">
      <alignment vertical="center"/>
    </xf>
    <xf numFmtId="4" fontId="47" fillId="24" borderId="0" xfId="1" applyNumberFormat="1" applyFont="1" applyFill="1" applyAlignment="1">
      <alignment horizontal="center" vertical="center"/>
    </xf>
    <xf numFmtId="0" fontId="47" fillId="24" borderId="0" xfId="1" applyFont="1" applyFill="1" applyAlignment="1">
      <alignment horizontal="left" vertical="center"/>
    </xf>
    <xf numFmtId="9" fontId="97" fillId="9" borderId="70" xfId="0" applyNumberFormat="1" applyFont="1" applyFill="1" applyBorder="1" applyAlignment="1">
      <alignment vertical="center"/>
    </xf>
    <xf numFmtId="9" fontId="97" fillId="9" borderId="0" xfId="0" applyNumberFormat="1" applyFont="1" applyFill="1" applyAlignment="1">
      <alignment vertical="center"/>
    </xf>
    <xf numFmtId="0" fontId="47" fillId="24" borderId="0" xfId="1" applyFont="1" applyFill="1" applyAlignment="1">
      <alignment horizontal="right" vertical="center"/>
    </xf>
    <xf numFmtId="2" fontId="87" fillId="24" borderId="0" xfId="1" applyNumberFormat="1" applyFont="1" applyFill="1" applyAlignment="1">
      <alignment horizontal="center" vertical="center"/>
    </xf>
    <xf numFmtId="173" fontId="94" fillId="27" borderId="52" xfId="0" applyNumberFormat="1" applyFont="1" applyFill="1" applyBorder="1" applyAlignment="1">
      <alignment horizontal="center" vertical="center"/>
    </xf>
    <xf numFmtId="173" fontId="94" fillId="25" borderId="52" xfId="0" applyNumberFormat="1" applyFont="1" applyFill="1" applyBorder="1" applyAlignment="1">
      <alignment horizontal="center" vertical="center"/>
    </xf>
    <xf numFmtId="173" fontId="94" fillId="33" borderId="52" xfId="0" applyNumberFormat="1" applyFont="1" applyFill="1" applyBorder="1" applyAlignment="1">
      <alignment horizontal="center" vertical="center"/>
    </xf>
    <xf numFmtId="173" fontId="55" fillId="27" borderId="52" xfId="0" applyNumberFormat="1" applyFont="1" applyFill="1" applyBorder="1" applyAlignment="1">
      <alignment horizontal="center" vertical="center"/>
    </xf>
    <xf numFmtId="9" fontId="97" fillId="9" borderId="67" xfId="0" applyNumberFormat="1" applyFont="1" applyFill="1" applyBorder="1" applyAlignment="1">
      <alignment vertical="center"/>
    </xf>
    <xf numFmtId="9" fontId="97" fillId="9" borderId="68" xfId="0" applyNumberFormat="1" applyFont="1" applyFill="1" applyBorder="1" applyAlignment="1">
      <alignment vertical="center"/>
    </xf>
    <xf numFmtId="9" fontId="97" fillId="9" borderId="72" xfId="0" applyNumberFormat="1" applyFont="1" applyFill="1" applyBorder="1" applyAlignment="1">
      <alignment vertical="center"/>
    </xf>
    <xf numFmtId="9" fontId="97" fillId="9" borderId="73" xfId="0" applyNumberFormat="1" applyFont="1" applyFill="1" applyBorder="1" applyAlignment="1">
      <alignment vertical="center"/>
    </xf>
    <xf numFmtId="0" fontId="93" fillId="24" borderId="75" xfId="0" applyFont="1" applyFill="1" applyBorder="1" applyAlignment="1">
      <alignment horizontal="center" vertical="center"/>
    </xf>
    <xf numFmtId="0" fontId="93" fillId="24" borderId="76" xfId="0" applyFont="1" applyFill="1" applyBorder="1" applyAlignment="1">
      <alignment horizontal="center" vertical="center"/>
    </xf>
    <xf numFmtId="0" fontId="93" fillId="24" borderId="77" xfId="0" applyFont="1" applyFill="1" applyBorder="1" applyAlignment="1">
      <alignment horizontal="center" vertical="center"/>
    </xf>
    <xf numFmtId="173" fontId="93" fillId="31" borderId="52" xfId="0" applyNumberFormat="1" applyFont="1" applyFill="1" applyBorder="1" applyAlignment="1">
      <alignment horizontal="center" vertical="center"/>
    </xf>
    <xf numFmtId="173" fontId="94" fillId="32" borderId="52" xfId="0" applyNumberFormat="1" applyFont="1" applyFill="1" applyBorder="1" applyAlignment="1">
      <alignment horizontal="center" vertical="center"/>
    </xf>
    <xf numFmtId="170" fontId="56" fillId="9" borderId="47" xfId="6" applyNumberFormat="1" applyFont="1" applyFill="1" applyBorder="1" applyAlignment="1">
      <alignment horizontal="right" vertical="center"/>
    </xf>
    <xf numFmtId="170" fontId="98" fillId="9" borderId="47" xfId="6" applyNumberFormat="1" applyFont="1" applyFill="1" applyBorder="1" applyAlignment="1">
      <alignment horizontal="center" vertical="center"/>
    </xf>
    <xf numFmtId="0" fontId="48" fillId="9" borderId="47" xfId="0" applyFont="1" applyFill="1" applyBorder="1" applyAlignment="1">
      <alignment horizontal="center" vertical="center"/>
    </xf>
    <xf numFmtId="0" fontId="87" fillId="9" borderId="0" xfId="1" applyFont="1" applyFill="1" applyBorder="1" applyAlignment="1">
      <alignment vertical="center" wrapText="1"/>
    </xf>
    <xf numFmtId="0" fontId="86" fillId="9" borderId="0" xfId="1" applyFont="1" applyFill="1" applyBorder="1" applyAlignment="1">
      <alignment vertical="center"/>
    </xf>
    <xf numFmtId="0" fontId="87" fillId="24" borderId="0" xfId="1" applyFont="1" applyFill="1" applyBorder="1" applyAlignment="1">
      <alignment horizontal="center" vertical="center"/>
    </xf>
    <xf numFmtId="0" fontId="47" fillId="24" borderId="0" xfId="1" applyFont="1" applyFill="1" applyBorder="1" applyAlignment="1">
      <alignment horizontal="center" vertical="center"/>
    </xf>
    <xf numFmtId="170" fontId="87" fillId="24" borderId="0" xfId="1" applyNumberFormat="1" applyFont="1" applyFill="1" applyBorder="1" applyAlignment="1">
      <alignment horizontal="left" vertical="center"/>
    </xf>
    <xf numFmtId="4" fontId="89" fillId="9" borderId="0" xfId="1" applyNumberFormat="1" applyFont="1" applyFill="1" applyBorder="1" applyAlignment="1">
      <alignment horizontal="right" vertical="center"/>
    </xf>
    <xf numFmtId="4" fontId="89" fillId="9" borderId="0" xfId="1" applyNumberFormat="1" applyFont="1" applyFill="1" applyBorder="1" applyAlignment="1">
      <alignment horizontal="center" vertical="center"/>
    </xf>
    <xf numFmtId="8" fontId="90" fillId="24" borderId="0" xfId="1" applyNumberFormat="1" applyFont="1" applyFill="1" applyBorder="1" applyAlignment="1">
      <alignment horizontal="right" vertical="center"/>
    </xf>
    <xf numFmtId="8" fontId="91" fillId="9" borderId="0" xfId="1" applyNumberFormat="1" applyFont="1" applyFill="1" applyBorder="1" applyAlignment="1">
      <alignment horizontal="right" vertical="center"/>
    </xf>
    <xf numFmtId="164" fontId="92" fillId="9" borderId="0" xfId="1" applyNumberFormat="1" applyFont="1" applyFill="1" applyBorder="1" applyAlignment="1">
      <alignment horizontal="right" vertical="center"/>
    </xf>
    <xf numFmtId="167" fontId="92" fillId="9" borderId="0" xfId="4" applyNumberFormat="1" applyFont="1" applyFill="1" applyBorder="1" applyAlignment="1">
      <alignment horizontal="right" vertical="center"/>
    </xf>
    <xf numFmtId="167" fontId="92" fillId="9" borderId="0" xfId="1" applyNumberFormat="1" applyFont="1" applyFill="1" applyBorder="1" applyAlignment="1">
      <alignment horizontal="right" vertical="center"/>
    </xf>
    <xf numFmtId="17" fontId="96" fillId="9" borderId="0" xfId="1" applyNumberFormat="1" applyFont="1" applyFill="1" applyBorder="1" applyAlignment="1">
      <alignment horizontal="left" vertical="center"/>
    </xf>
    <xf numFmtId="173" fontId="93" fillId="24" borderId="52" xfId="0" applyNumberFormat="1" applyFont="1" applyFill="1" applyBorder="1" applyAlignment="1">
      <alignment horizontal="center" vertical="center"/>
    </xf>
    <xf numFmtId="173" fontId="93" fillId="25" borderId="52" xfId="0" applyNumberFormat="1" applyFont="1" applyFill="1" applyBorder="1" applyAlignment="1">
      <alignment horizontal="center" vertical="center"/>
    </xf>
    <xf numFmtId="2" fontId="93" fillId="24" borderId="0" xfId="1" applyNumberFormat="1" applyFont="1" applyFill="1" applyBorder="1" applyAlignment="1">
      <alignment vertical="center"/>
    </xf>
    <xf numFmtId="2" fontId="93" fillId="24" borderId="0" xfId="1" applyNumberFormat="1" applyFont="1" applyFill="1" applyBorder="1" applyAlignment="1">
      <alignment horizontal="center" vertical="center"/>
    </xf>
    <xf numFmtId="164" fontId="87" fillId="24" borderId="0" xfId="1" applyNumberFormat="1" applyFont="1" applyFill="1" applyBorder="1" applyAlignment="1">
      <alignment vertical="center"/>
    </xf>
    <xf numFmtId="0" fontId="90" fillId="9" borderId="0" xfId="1" applyFont="1" applyFill="1" applyBorder="1" applyAlignment="1">
      <alignment vertical="center"/>
    </xf>
    <xf numFmtId="43" fontId="56" fillId="9" borderId="0" xfId="6" applyFont="1" applyFill="1" applyBorder="1" applyAlignment="1">
      <alignment horizontal="right" vertical="center"/>
    </xf>
    <xf numFmtId="164" fontId="101" fillId="9" borderId="0" xfId="6" applyNumberFormat="1" applyFont="1" applyFill="1" applyBorder="1" applyAlignment="1">
      <alignment vertical="center"/>
    </xf>
    <xf numFmtId="164" fontId="101" fillId="9" borderId="0" xfId="1" applyNumberFormat="1" applyFont="1" applyFill="1" applyBorder="1" applyAlignment="1">
      <alignment vertical="center"/>
    </xf>
    <xf numFmtId="171" fontId="56" fillId="9" borderId="0" xfId="6" applyNumberFormat="1" applyFont="1" applyFill="1" applyBorder="1" applyAlignment="1">
      <alignment horizontal="right" vertical="center"/>
    </xf>
    <xf numFmtId="0" fontId="99" fillId="9" borderId="0" xfId="1" applyFont="1" applyFill="1" applyAlignment="1">
      <alignment vertical="center"/>
    </xf>
    <xf numFmtId="0" fontId="83" fillId="9" borderId="0" xfId="1" applyFont="1" applyFill="1" applyBorder="1" applyAlignment="1">
      <alignment vertical="center"/>
    </xf>
    <xf numFmtId="0" fontId="44" fillId="9" borderId="0" xfId="0" applyFont="1" applyFill="1" applyAlignment="1">
      <alignment vertical="center"/>
    </xf>
    <xf numFmtId="0" fontId="44" fillId="0" borderId="0" xfId="0" applyFont="1" applyAlignment="1">
      <alignment vertical="center"/>
    </xf>
    <xf numFmtId="0" fontId="85" fillId="9" borderId="0" xfId="1" applyFont="1" applyFill="1" applyBorder="1" applyAlignment="1">
      <alignment vertical="center"/>
    </xf>
    <xf numFmtId="0" fontId="46" fillId="24" borderId="0" xfId="1" applyFont="1" applyFill="1" applyBorder="1" applyAlignment="1">
      <alignment vertical="center"/>
    </xf>
    <xf numFmtId="0" fontId="85" fillId="9" borderId="0" xfId="1" applyFont="1" applyFill="1" applyAlignment="1">
      <alignment vertical="center"/>
    </xf>
    <xf numFmtId="0" fontId="86" fillId="12" borderId="0" xfId="1" applyFont="1" applyFill="1" applyAlignment="1">
      <alignment vertical="center"/>
    </xf>
    <xf numFmtId="0" fontId="47" fillId="24" borderId="49" xfId="0" applyFont="1" applyFill="1" applyBorder="1" applyAlignment="1">
      <alignment horizontal="center" vertical="center"/>
    </xf>
    <xf numFmtId="0" fontId="47" fillId="24" borderId="64" xfId="0" applyFont="1" applyFill="1" applyBorder="1" applyAlignment="1">
      <alignment horizontal="center" vertical="center"/>
    </xf>
    <xf numFmtId="0" fontId="47" fillId="24" borderId="50" xfId="0" applyFont="1" applyFill="1" applyBorder="1" applyAlignment="1">
      <alignment horizontal="center" vertical="center"/>
    </xf>
    <xf numFmtId="8" fontId="91" fillId="17" borderId="0" xfId="1" applyNumberFormat="1" applyFont="1" applyFill="1" applyAlignment="1">
      <alignment vertical="center"/>
    </xf>
    <xf numFmtId="8" fontId="83" fillId="12" borderId="0" xfId="1" applyNumberFormat="1" applyFont="1" applyFill="1" applyAlignment="1">
      <alignment vertical="center"/>
    </xf>
    <xf numFmtId="0" fontId="83" fillId="12" borderId="0" xfId="1" applyFont="1" applyFill="1" applyAlignment="1">
      <alignment vertical="center"/>
    </xf>
    <xf numFmtId="174" fontId="93" fillId="24" borderId="53" xfId="0" applyNumberFormat="1" applyFont="1" applyFill="1" applyBorder="1" applyAlignment="1">
      <alignment horizontal="left" vertical="center"/>
    </xf>
    <xf numFmtId="172" fontId="93" fillId="24" borderId="57" xfId="0" applyNumberFormat="1" applyFont="1" applyFill="1" applyBorder="1" applyAlignment="1">
      <alignment horizontal="left" vertical="center"/>
    </xf>
    <xf numFmtId="8" fontId="95" fillId="12" borderId="0" xfId="1" applyNumberFormat="1" applyFont="1" applyFill="1" applyAlignment="1">
      <alignment vertical="center"/>
    </xf>
    <xf numFmtId="172" fontId="93" fillId="24" borderId="59" xfId="0" applyNumberFormat="1" applyFont="1" applyFill="1" applyBorder="1" applyAlignment="1">
      <alignment horizontal="left" vertical="center"/>
    </xf>
    <xf numFmtId="8" fontId="83" fillId="9" borderId="0" xfId="1" applyNumberFormat="1" applyFont="1" applyFill="1" applyAlignment="1">
      <alignment vertical="center"/>
    </xf>
    <xf numFmtId="0" fontId="90" fillId="12" borderId="0" xfId="1" applyFont="1" applyFill="1" applyAlignment="1">
      <alignment vertical="center"/>
    </xf>
    <xf numFmtId="172" fontId="93" fillId="24" borderId="61" xfId="0" applyNumberFormat="1" applyFont="1" applyFill="1" applyBorder="1" applyAlignment="1">
      <alignment horizontal="left" vertical="center"/>
    </xf>
    <xf numFmtId="0" fontId="97" fillId="9" borderId="71" xfId="0" applyFont="1" applyFill="1" applyBorder="1" applyAlignment="1">
      <alignment vertical="center"/>
    </xf>
    <xf numFmtId="0" fontId="97" fillId="9" borderId="0" xfId="0" applyFont="1" applyFill="1" applyAlignment="1">
      <alignment vertical="center"/>
    </xf>
    <xf numFmtId="0" fontId="83" fillId="9" borderId="0" xfId="1" applyFont="1" applyFill="1" applyAlignment="1" applyProtection="1">
      <alignment vertical="center"/>
      <protection locked="0"/>
    </xf>
    <xf numFmtId="0" fontId="100" fillId="9" borderId="0" xfId="0" applyFont="1" applyFill="1" applyAlignment="1">
      <alignment vertical="center"/>
    </xf>
    <xf numFmtId="0" fontId="55" fillId="9" borderId="0" xfId="0" applyFont="1" applyFill="1" applyAlignment="1">
      <alignment vertical="center"/>
    </xf>
    <xf numFmtId="43" fontId="97" fillId="9" borderId="69" xfId="6" applyFont="1" applyFill="1" applyBorder="1" applyAlignment="1">
      <alignment vertical="center"/>
    </xf>
    <xf numFmtId="1" fontId="97" fillId="9" borderId="71" xfId="0" applyNumberFormat="1" applyFont="1" applyFill="1" applyBorder="1" applyAlignment="1">
      <alignment vertical="center"/>
    </xf>
    <xf numFmtId="0" fontId="97" fillId="9" borderId="74" xfId="0" applyFont="1" applyFill="1" applyBorder="1" applyAlignment="1">
      <alignment vertical="center"/>
    </xf>
    <xf numFmtId="174" fontId="93" fillId="24" borderId="24" xfId="0" applyNumberFormat="1" applyFont="1" applyFill="1" applyBorder="1" applyAlignment="1">
      <alignment horizontal="left" vertical="center"/>
    </xf>
    <xf numFmtId="0" fontId="97" fillId="9" borderId="69" xfId="0" applyFont="1" applyFill="1" applyBorder="1" applyAlignment="1">
      <alignment vertical="center"/>
    </xf>
    <xf numFmtId="2" fontId="97" fillId="9" borderId="71" xfId="0" applyNumberFormat="1" applyFont="1" applyFill="1" applyBorder="1" applyAlignment="1">
      <alignment vertical="center"/>
    </xf>
    <xf numFmtId="0" fontId="86" fillId="12" borderId="0" xfId="1" applyFont="1" applyFill="1" applyBorder="1" applyAlignment="1">
      <alignment vertical="center"/>
    </xf>
    <xf numFmtId="8" fontId="91" fillId="17" borderId="0" xfId="1" applyNumberFormat="1" applyFont="1" applyFill="1" applyBorder="1" applyAlignment="1">
      <alignment vertical="center"/>
    </xf>
    <xf numFmtId="8" fontId="83" fillId="12" borderId="0" xfId="1" applyNumberFormat="1" applyFont="1" applyFill="1" applyBorder="1" applyAlignment="1">
      <alignment vertical="center"/>
    </xf>
    <xf numFmtId="0" fontId="83" fillId="12" borderId="0" xfId="1" applyFont="1" applyFill="1" applyBorder="1" applyAlignment="1">
      <alignment vertical="center"/>
    </xf>
    <xf numFmtId="8" fontId="95" fillId="12" borderId="0" xfId="1" applyNumberFormat="1" applyFont="1" applyFill="1" applyBorder="1" applyAlignment="1">
      <alignment vertical="center"/>
    </xf>
    <xf numFmtId="8" fontId="83" fillId="9" borderId="0" xfId="1" applyNumberFormat="1" applyFont="1" applyFill="1" applyBorder="1" applyAlignment="1">
      <alignment vertical="center"/>
    </xf>
    <xf numFmtId="0" fontId="44" fillId="9" borderId="33" xfId="0" applyFont="1" applyFill="1" applyBorder="1" applyAlignment="1">
      <alignment vertical="center"/>
    </xf>
    <xf numFmtId="171" fontId="97" fillId="9" borderId="0" xfId="6" applyNumberFormat="1" applyFont="1" applyFill="1" applyBorder="1" applyAlignment="1">
      <alignment vertical="center"/>
    </xf>
    <xf numFmtId="43" fontId="44" fillId="9" borderId="0" xfId="0" applyNumberFormat="1" applyFont="1" applyFill="1" applyAlignment="1">
      <alignment vertical="center"/>
    </xf>
    <xf numFmtId="8" fontId="44" fillId="9" borderId="0" xfId="0" applyNumberFormat="1" applyFont="1" applyFill="1" applyAlignment="1">
      <alignment vertical="center"/>
    </xf>
    <xf numFmtId="14" fontId="44" fillId="9" borderId="0" xfId="0" applyNumberFormat="1" applyFont="1" applyFill="1" applyAlignment="1">
      <alignment vertical="center"/>
    </xf>
    <xf numFmtId="171" fontId="44" fillId="9" borderId="0" xfId="6" applyNumberFormat="1" applyFont="1" applyFill="1" applyAlignment="1">
      <alignment vertical="center"/>
    </xf>
    <xf numFmtId="171" fontId="44" fillId="9" borderId="0" xfId="0" applyNumberFormat="1" applyFont="1" applyFill="1" applyAlignment="1">
      <alignment vertical="center"/>
    </xf>
    <xf numFmtId="0" fontId="44" fillId="9" borderId="0" xfId="0" applyFont="1" applyFill="1" applyAlignment="1">
      <alignment horizontal="left" vertical="center"/>
    </xf>
    <xf numFmtId="164" fontId="46" fillId="24" borderId="0" xfId="1" applyNumberFormat="1" applyFont="1" applyFill="1" applyBorder="1" applyAlignment="1">
      <alignment vertical="top"/>
    </xf>
    <xf numFmtId="43" fontId="97" fillId="0" borderId="0" xfId="6" applyFont="1" applyBorder="1"/>
    <xf numFmtId="43" fontId="97" fillId="0" borderId="32" xfId="6" applyFont="1" applyBorder="1"/>
    <xf numFmtId="4" fontId="97" fillId="0" borderId="0" xfId="0" applyNumberFormat="1" applyFont="1"/>
    <xf numFmtId="4" fontId="97" fillId="0" borderId="81" xfId="0" applyNumberFormat="1" applyFont="1" applyBorder="1"/>
    <xf numFmtId="0" fontId="97" fillId="0" borderId="0" xfId="0" applyFont="1"/>
    <xf numFmtId="43" fontId="97" fillId="0" borderId="0" xfId="0" applyNumberFormat="1" applyFont="1"/>
    <xf numFmtId="43" fontId="97" fillId="0" borderId="0" xfId="6" applyFont="1"/>
    <xf numFmtId="4" fontId="97" fillId="0" borderId="33" xfId="0" applyNumberFormat="1" applyFont="1" applyBorder="1"/>
    <xf numFmtId="4" fontId="102" fillId="0" borderId="0" xfId="0" applyNumberFormat="1" applyFont="1"/>
    <xf numFmtId="4" fontId="103" fillId="0" borderId="0" xfId="0" applyNumberFormat="1" applyFont="1"/>
    <xf numFmtId="4" fontId="97" fillId="0" borderId="82" xfId="0" applyNumberFormat="1" applyFont="1" applyBorder="1"/>
    <xf numFmtId="175" fontId="97" fillId="0" borderId="0" xfId="0" applyNumberFormat="1" applyFont="1"/>
    <xf numFmtId="175" fontId="44" fillId="0" borderId="0" xfId="0" applyNumberFormat="1" applyFont="1"/>
    <xf numFmtId="2" fontId="44" fillId="0" borderId="0" xfId="0" applyNumberFormat="1" applyFont="1"/>
    <xf numFmtId="3" fontId="97" fillId="0" borderId="0" xfId="0" applyNumberFormat="1" applyFont="1" applyAlignment="1">
      <alignment horizontal="center"/>
    </xf>
    <xf numFmtId="4" fontId="90" fillId="37" borderId="0" xfId="0" applyNumberFormat="1" applyFont="1" applyFill="1" applyAlignment="1">
      <alignment horizontal="center"/>
    </xf>
    <xf numFmtId="0" fontId="90" fillId="37" borderId="80" xfId="0" applyFont="1" applyFill="1" applyBorder="1" applyAlignment="1">
      <alignment horizontal="center"/>
    </xf>
    <xf numFmtId="0" fontId="90" fillId="37" borderId="0" xfId="0" applyFont="1" applyFill="1"/>
    <xf numFmtId="4" fontId="104" fillId="0" borderId="0" xfId="0" applyNumberFormat="1" applyFont="1"/>
    <xf numFmtId="4" fontId="104" fillId="0" borderId="78" xfId="0" applyNumberFormat="1" applyFont="1" applyBorder="1"/>
    <xf numFmtId="4" fontId="97" fillId="0" borderId="79" xfId="0" applyNumberFormat="1" applyFont="1" applyBorder="1"/>
    <xf numFmtId="4" fontId="97" fillId="0" borderId="34" xfId="0" applyNumberFormat="1" applyFont="1" applyBorder="1"/>
    <xf numFmtId="4" fontId="97" fillId="38" borderId="0" xfId="0" applyNumberFormat="1" applyFont="1" applyFill="1" applyAlignment="1">
      <alignment horizontal="center"/>
    </xf>
    <xf numFmtId="43" fontId="97" fillId="0" borderId="83" xfId="6" applyFont="1" applyBorder="1"/>
    <xf numFmtId="10" fontId="97" fillId="0" borderId="0" xfId="0" applyNumberFormat="1" applyFont="1"/>
    <xf numFmtId="2" fontId="97" fillId="0" borderId="0" xfId="0" applyNumberFormat="1" applyFont="1"/>
    <xf numFmtId="43" fontId="105" fillId="0" borderId="0" xfId="6" applyFont="1"/>
    <xf numFmtId="43" fontId="97" fillId="0" borderId="84" xfId="6" applyFont="1" applyBorder="1"/>
    <xf numFmtId="4" fontId="109" fillId="9" borderId="38" xfId="5" applyNumberFormat="1" applyFont="1" applyFill="1" applyBorder="1" applyAlignment="1">
      <alignment horizontal="right" vertical="center" indent="1" shrinkToFit="1"/>
    </xf>
    <xf numFmtId="4" fontId="109" fillId="26" borderId="38" xfId="5" applyNumberFormat="1" applyFont="1" applyFill="1" applyBorder="1" applyAlignment="1">
      <alignment horizontal="right" vertical="center" indent="1" shrinkToFit="1"/>
    </xf>
    <xf numFmtId="0" fontId="110" fillId="0" borderId="32" xfId="5" applyFont="1" applyBorder="1" applyAlignment="1">
      <alignment horizontal="left" vertical="center" wrapText="1"/>
    </xf>
    <xf numFmtId="3" fontId="109" fillId="23" borderId="38" xfId="5" applyNumberFormat="1" applyFont="1" applyFill="1" applyBorder="1" applyAlignment="1">
      <alignment horizontal="right" vertical="center" indent="1" shrinkToFit="1"/>
    </xf>
    <xf numFmtId="3" fontId="109" fillId="26" borderId="38" xfId="5" applyNumberFormat="1" applyFont="1" applyFill="1" applyBorder="1" applyAlignment="1">
      <alignment horizontal="right" vertical="center" indent="1" shrinkToFit="1"/>
    </xf>
    <xf numFmtId="1" fontId="109" fillId="23" borderId="38" xfId="5" applyNumberFormat="1" applyFont="1" applyFill="1" applyBorder="1" applyAlignment="1">
      <alignment horizontal="right" vertical="center" indent="1" shrinkToFit="1"/>
    </xf>
    <xf numFmtId="43" fontId="109" fillId="9" borderId="38" xfId="6" applyFont="1" applyFill="1" applyBorder="1" applyAlignment="1">
      <alignment horizontal="right" vertical="center" indent="1" shrinkToFit="1"/>
    </xf>
    <xf numFmtId="43" fontId="109" fillId="23" borderId="38" xfId="6" applyFont="1" applyFill="1" applyBorder="1" applyAlignment="1">
      <alignment horizontal="right" vertical="center" indent="1" shrinkToFit="1"/>
    </xf>
    <xf numFmtId="43" fontId="109" fillId="19" borderId="40" xfId="6" applyFont="1" applyFill="1" applyBorder="1" applyAlignment="1">
      <alignment horizontal="right" vertical="center" indent="1" shrinkToFit="1"/>
    </xf>
    <xf numFmtId="43" fontId="109" fillId="20" borderId="38" xfId="6" applyFont="1" applyFill="1" applyBorder="1" applyAlignment="1">
      <alignment horizontal="right" vertical="center" indent="1" shrinkToFit="1"/>
    </xf>
    <xf numFmtId="43" fontId="110" fillId="23" borderId="38" xfId="6" applyFont="1" applyFill="1" applyBorder="1" applyAlignment="1">
      <alignment horizontal="right" vertical="center" wrapText="1" indent="1"/>
    </xf>
    <xf numFmtId="43" fontId="110" fillId="9" borderId="38" xfId="6" applyFont="1" applyFill="1" applyBorder="1" applyAlignment="1">
      <alignment horizontal="right" vertical="center" wrapText="1" indent="1"/>
    </xf>
    <xf numFmtId="43" fontId="110" fillId="19" borderId="40" xfId="6" applyFont="1" applyFill="1" applyBorder="1" applyAlignment="1">
      <alignment horizontal="right" vertical="center" wrapText="1" indent="1"/>
    </xf>
    <xf numFmtId="43" fontId="109" fillId="19" borderId="41" xfId="6" applyFont="1" applyFill="1" applyBorder="1" applyAlignment="1">
      <alignment horizontal="right" vertical="center" indent="1" shrinkToFit="1"/>
    </xf>
    <xf numFmtId="43" fontId="110" fillId="9" borderId="39" xfId="6" applyFont="1" applyFill="1" applyBorder="1" applyAlignment="1">
      <alignment horizontal="right" vertical="center" wrapText="1" indent="1"/>
    </xf>
    <xf numFmtId="43" fontId="110" fillId="9" borderId="32" xfId="6" applyFont="1" applyFill="1" applyBorder="1" applyAlignment="1">
      <alignment horizontal="right" vertical="center" indent="1"/>
    </xf>
    <xf numFmtId="9" fontId="44" fillId="0" borderId="0" xfId="0" applyNumberFormat="1" applyFont="1"/>
    <xf numFmtId="2" fontId="48" fillId="0" borderId="0" xfId="0" applyNumberFormat="1" applyFont="1" applyAlignment="1">
      <alignment vertical="center"/>
    </xf>
    <xf numFmtId="43" fontId="101" fillId="23" borderId="32" xfId="6" applyFont="1" applyFill="1" applyBorder="1" applyAlignment="1">
      <alignment horizontal="right" vertical="center" wrapText="1" indent="1"/>
    </xf>
    <xf numFmtId="43" fontId="109" fillId="9" borderId="40" xfId="6" applyFont="1" applyFill="1" applyBorder="1" applyAlignment="1">
      <alignment horizontal="right" vertical="center" indent="1" shrinkToFit="1"/>
    </xf>
    <xf numFmtId="43" fontId="111" fillId="9" borderId="40" xfId="6" applyFont="1" applyFill="1" applyBorder="1" applyAlignment="1">
      <alignment horizontal="right" vertical="center" indent="1" shrinkToFit="1"/>
    </xf>
    <xf numFmtId="43" fontId="109" fillId="23" borderId="44" xfId="6" applyFont="1" applyFill="1" applyBorder="1" applyAlignment="1">
      <alignment horizontal="right" vertical="center" indent="1" shrinkToFit="1"/>
    </xf>
    <xf numFmtId="43" fontId="107" fillId="22" borderId="29" xfId="6" applyFont="1" applyFill="1" applyBorder="1" applyAlignment="1">
      <alignment horizontal="right" vertical="center" wrapText="1" indent="1"/>
    </xf>
    <xf numFmtId="3" fontId="110" fillId="0" borderId="24" xfId="5" applyNumberFormat="1" applyFont="1" applyBorder="1" applyAlignment="1">
      <alignment horizontal="left" vertical="center"/>
    </xf>
    <xf numFmtId="0" fontId="110" fillId="0" borderId="0" xfId="5" applyFont="1" applyAlignment="1">
      <alignment horizontal="left" vertical="center"/>
    </xf>
    <xf numFmtId="0" fontId="110" fillId="0" borderId="32" xfId="5" applyFont="1" applyBorder="1" applyAlignment="1">
      <alignment horizontal="left" vertical="center"/>
    </xf>
    <xf numFmtId="4" fontId="110" fillId="0" borderId="24" xfId="5" applyNumberFormat="1" applyFont="1" applyBorder="1" applyAlignment="1">
      <alignment horizontal="left" vertical="center"/>
    </xf>
    <xf numFmtId="2" fontId="110" fillId="0" borderId="0" xfId="5" applyNumberFormat="1" applyFont="1" applyAlignment="1">
      <alignment horizontal="left" vertical="center"/>
    </xf>
    <xf numFmtId="9" fontId="110" fillId="0" borderId="32" xfId="5" applyNumberFormat="1" applyFont="1" applyBorder="1" applyAlignment="1">
      <alignment horizontal="left" vertical="center"/>
    </xf>
    <xf numFmtId="0" fontId="110" fillId="0" borderId="27" xfId="5" applyFont="1" applyBorder="1" applyAlignment="1">
      <alignment horizontal="left" vertical="center"/>
    </xf>
    <xf numFmtId="2" fontId="110" fillId="0" borderId="28" xfId="5" applyNumberFormat="1" applyFont="1" applyBorder="1" applyAlignment="1">
      <alignment horizontal="left" vertical="center"/>
    </xf>
    <xf numFmtId="10" fontId="110" fillId="0" borderId="29" xfId="5" applyNumberFormat="1" applyFont="1" applyBorder="1" applyAlignment="1">
      <alignment horizontal="left" vertical="center"/>
    </xf>
    <xf numFmtId="2" fontId="109" fillId="23" borderId="38" xfId="5" applyNumberFormat="1" applyFont="1" applyFill="1" applyBorder="1" applyAlignment="1">
      <alignment horizontal="right" vertical="center" indent="1" shrinkToFit="1"/>
    </xf>
    <xf numFmtId="43" fontId="0" fillId="42" borderId="0" xfId="6" applyFont="1" applyFill="1"/>
    <xf numFmtId="43" fontId="91" fillId="39" borderId="0" xfId="1" applyNumberFormat="1" applyFont="1" applyFill="1" applyAlignment="1">
      <alignment vertical="center"/>
    </xf>
    <xf numFmtId="43" fontId="112" fillId="0" borderId="0" xfId="6" applyFont="1"/>
    <xf numFmtId="4" fontId="97" fillId="0" borderId="86" xfId="0" applyNumberFormat="1" applyFont="1" applyBorder="1"/>
    <xf numFmtId="2" fontId="105" fillId="0" borderId="0" xfId="0" applyNumberFormat="1" applyFont="1"/>
    <xf numFmtId="4" fontId="97" fillId="0" borderId="88" xfId="0" applyNumberFormat="1" applyFont="1" applyBorder="1"/>
    <xf numFmtId="4" fontId="97" fillId="0" borderId="89" xfId="0" applyNumberFormat="1" applyFont="1" applyBorder="1"/>
    <xf numFmtId="0" fontId="90" fillId="30" borderId="24" xfId="0" applyFont="1" applyFill="1" applyBorder="1" applyAlignment="1">
      <alignment horizontal="right"/>
    </xf>
    <xf numFmtId="0" fontId="90" fillId="31" borderId="0" xfId="0" applyFont="1" applyFill="1" applyAlignment="1">
      <alignment horizontal="right"/>
    </xf>
    <xf numFmtId="0" fontId="97" fillId="38" borderId="92" xfId="0" applyFont="1" applyFill="1" applyBorder="1" applyAlignment="1">
      <alignment horizontal="center"/>
    </xf>
    <xf numFmtId="4" fontId="97" fillId="0" borderId="94" xfId="0" applyNumberFormat="1" applyFont="1" applyBorder="1"/>
    <xf numFmtId="4" fontId="97" fillId="0" borderId="95" xfId="0" applyNumberFormat="1" applyFont="1" applyBorder="1"/>
    <xf numFmtId="43" fontId="97" fillId="0" borderId="96" xfId="6" applyFont="1" applyBorder="1"/>
    <xf numFmtId="43" fontId="112" fillId="0" borderId="0" xfId="6" applyFont="1" applyBorder="1"/>
    <xf numFmtId="4" fontId="55" fillId="0" borderId="0" xfId="0" applyNumberFormat="1" applyFont="1"/>
    <xf numFmtId="0" fontId="90" fillId="30" borderId="97" xfId="0" applyFont="1" applyFill="1" applyBorder="1" applyAlignment="1">
      <alignment horizontal="right"/>
    </xf>
    <xf numFmtId="0" fontId="90" fillId="30" borderId="98" xfId="0" applyFont="1" applyFill="1" applyBorder="1" applyAlignment="1">
      <alignment horizontal="right"/>
    </xf>
    <xf numFmtId="0" fontId="90" fillId="31" borderId="99" xfId="0" applyFont="1" applyFill="1" applyBorder="1" applyAlignment="1">
      <alignment horizontal="right"/>
    </xf>
    <xf numFmtId="0" fontId="90" fillId="31" borderId="100" xfId="0" applyFont="1" applyFill="1" applyBorder="1" applyAlignment="1">
      <alignment horizontal="right"/>
    </xf>
    <xf numFmtId="0" fontId="97" fillId="38" borderId="101" xfId="0" applyFont="1" applyFill="1" applyBorder="1" applyAlignment="1">
      <alignment horizontal="right"/>
    </xf>
    <xf numFmtId="0" fontId="97" fillId="38" borderId="102" xfId="0" applyFont="1" applyFill="1" applyBorder="1" applyAlignment="1">
      <alignment horizontal="right"/>
    </xf>
    <xf numFmtId="0" fontId="90" fillId="37" borderId="91" xfId="0" applyFont="1" applyFill="1" applyBorder="1"/>
    <xf numFmtId="0" fontId="90" fillId="37" borderId="103" xfId="0" applyFont="1" applyFill="1" applyBorder="1"/>
    <xf numFmtId="0" fontId="90" fillId="37" borderId="104" xfId="0" applyFont="1" applyFill="1" applyBorder="1"/>
    <xf numFmtId="4" fontId="90" fillId="43" borderId="105" xfId="0" applyNumberFormat="1" applyFont="1" applyFill="1" applyBorder="1"/>
    <xf numFmtId="0" fontId="90" fillId="37" borderId="106" xfId="0" applyFont="1" applyFill="1" applyBorder="1"/>
    <xf numFmtId="0" fontId="90" fillId="30" borderId="0" xfId="0" applyFont="1" applyFill="1" applyAlignment="1">
      <alignment horizontal="center" vertical="center"/>
    </xf>
    <xf numFmtId="0" fontId="90" fillId="30" borderId="30" xfId="0" applyFont="1" applyFill="1" applyBorder="1" applyAlignment="1">
      <alignment horizontal="center" vertical="center"/>
    </xf>
    <xf numFmtId="0" fontId="90" fillId="30" borderId="24" xfId="0" applyFont="1" applyFill="1" applyBorder="1" applyAlignment="1">
      <alignment horizontal="center" vertical="center"/>
    </xf>
    <xf numFmtId="4" fontId="97" fillId="0" borderId="0" xfId="0" applyNumberFormat="1" applyFont="1" applyAlignment="1">
      <alignment horizontal="center" vertical="center"/>
    </xf>
    <xf numFmtId="4" fontId="90" fillId="31" borderId="0" xfId="0" applyNumberFormat="1" applyFont="1" applyFill="1" applyAlignment="1">
      <alignment horizontal="center" vertical="center"/>
    </xf>
    <xf numFmtId="0" fontId="90" fillId="31" borderId="93" xfId="0" applyFont="1" applyFill="1" applyBorder="1" applyAlignment="1">
      <alignment horizontal="center" vertical="center"/>
    </xf>
    <xf numFmtId="0" fontId="90" fillId="31" borderId="0" xfId="0" applyFont="1" applyFill="1" applyAlignment="1">
      <alignment horizontal="center" vertical="center"/>
    </xf>
    <xf numFmtId="0" fontId="97" fillId="0" borderId="0" xfId="0" applyFont="1" applyAlignment="1">
      <alignment horizontal="center" vertical="center"/>
    </xf>
    <xf numFmtId="4" fontId="90" fillId="37" borderId="0" xfId="0" applyNumberFormat="1" applyFont="1" applyFill="1" applyAlignment="1">
      <alignment horizontal="center" vertical="center"/>
    </xf>
    <xf numFmtId="0" fontId="90" fillId="37" borderId="80" xfId="0" applyFont="1" applyFill="1" applyBorder="1" applyAlignment="1">
      <alignment horizontal="center" vertical="center"/>
    </xf>
    <xf numFmtId="0" fontId="90" fillId="37" borderId="0" xfId="0" applyFont="1" applyFill="1" applyAlignment="1">
      <alignment vertical="center"/>
    </xf>
    <xf numFmtId="0" fontId="97" fillId="44" borderId="0" xfId="0" applyFont="1" applyFill="1"/>
    <xf numFmtId="4" fontId="97" fillId="44" borderId="0" xfId="0" applyNumberFormat="1" applyFont="1" applyFill="1" applyAlignment="1">
      <alignment horizontal="center"/>
    </xf>
    <xf numFmtId="43" fontId="97" fillId="9" borderId="0" xfId="6" applyFont="1" applyFill="1" applyAlignment="1">
      <alignment vertical="center"/>
    </xf>
    <xf numFmtId="0" fontId="114" fillId="45" borderId="0" xfId="1" applyFont="1" applyFill="1" applyBorder="1" applyAlignment="1"/>
    <xf numFmtId="164" fontId="107" fillId="45" borderId="0" xfId="1" applyNumberFormat="1" applyFont="1" applyFill="1" applyAlignment="1">
      <alignment vertical="center"/>
    </xf>
    <xf numFmtId="8" fontId="107" fillId="45" borderId="0" xfId="1" applyNumberFormat="1" applyFont="1" applyFill="1" applyAlignment="1">
      <alignment horizontal="centerContinuous" vertical="center"/>
    </xf>
    <xf numFmtId="9" fontId="107" fillId="45" borderId="47" xfId="7" applyFont="1" applyFill="1" applyBorder="1" applyAlignment="1">
      <alignment horizontal="center" vertical="center" wrapText="1"/>
    </xf>
    <xf numFmtId="0" fontId="107" fillId="45" borderId="35" xfId="1" applyFont="1" applyFill="1" applyBorder="1" applyAlignment="1">
      <alignment vertical="center" wrapText="1"/>
    </xf>
    <xf numFmtId="0" fontId="107" fillId="45" borderId="36" xfId="1" applyFont="1" applyFill="1" applyBorder="1" applyAlignment="1">
      <alignment vertical="center" wrapText="1"/>
    </xf>
    <xf numFmtId="0" fontId="107" fillId="45" borderId="45" xfId="1" applyFont="1" applyFill="1" applyBorder="1" applyAlignment="1">
      <alignment vertical="center" wrapText="1"/>
    </xf>
    <xf numFmtId="170" fontId="107" fillId="45" borderId="0" xfId="1" applyNumberFormat="1" applyFont="1" applyFill="1" applyAlignment="1">
      <alignment horizontal="left" vertical="center"/>
    </xf>
    <xf numFmtId="0" fontId="107" fillId="45" borderId="0" xfId="1" applyFont="1" applyFill="1" applyAlignment="1">
      <alignment horizontal="center" vertical="center"/>
    </xf>
    <xf numFmtId="0" fontId="115" fillId="45" borderId="0" xfId="1" applyFont="1" applyFill="1" applyAlignment="1">
      <alignment horizontal="center" vertical="center"/>
    </xf>
    <xf numFmtId="8" fontId="101" fillId="45" borderId="0" xfId="1" applyNumberFormat="1" applyFont="1" applyFill="1" applyAlignment="1">
      <alignment horizontal="right" vertical="center"/>
    </xf>
    <xf numFmtId="8" fontId="91" fillId="46" borderId="0" xfId="1" applyNumberFormat="1" applyFont="1" applyFill="1" applyAlignment="1">
      <alignment vertical="center"/>
    </xf>
    <xf numFmtId="9" fontId="107" fillId="45" borderId="45" xfId="7" applyFont="1" applyFill="1" applyBorder="1" applyAlignment="1">
      <alignment horizontal="center" vertical="center" wrapText="1"/>
    </xf>
    <xf numFmtId="43" fontId="56" fillId="45" borderId="0" xfId="6" applyFont="1" applyFill="1" applyAlignment="1">
      <alignment vertical="center"/>
    </xf>
    <xf numFmtId="43" fontId="56" fillId="45" borderId="0" xfId="6" applyFont="1" applyFill="1" applyAlignment="1">
      <alignment horizontal="center" vertical="center"/>
    </xf>
    <xf numFmtId="0" fontId="107" fillId="45" borderId="0" xfId="1" applyFont="1" applyFill="1" applyAlignment="1">
      <alignment horizontal="centerContinuous" vertical="center"/>
    </xf>
    <xf numFmtId="173" fontId="94" fillId="39" borderId="62" xfId="0" applyNumberFormat="1" applyFont="1" applyFill="1" applyBorder="1" applyAlignment="1">
      <alignment horizontal="center" vertical="center"/>
    </xf>
    <xf numFmtId="173" fontId="94" fillId="39" borderId="107" xfId="0" applyNumberFormat="1" applyFont="1" applyFill="1" applyBorder="1" applyAlignment="1">
      <alignment horizontal="center" vertical="center"/>
    </xf>
    <xf numFmtId="0" fontId="117" fillId="9" borderId="0" xfId="1" applyFont="1" applyFill="1" applyAlignment="1">
      <alignment vertical="center"/>
    </xf>
    <xf numFmtId="10" fontId="117" fillId="9" borderId="0" xfId="7" applyNumberFormat="1" applyFont="1" applyFill="1" applyAlignment="1">
      <alignment vertical="center"/>
    </xf>
    <xf numFmtId="175" fontId="117" fillId="9" borderId="0" xfId="1" applyNumberFormat="1" applyFont="1" applyFill="1" applyAlignment="1">
      <alignment vertical="center"/>
    </xf>
    <xf numFmtId="4" fontId="44" fillId="9" borderId="0" xfId="0" applyNumberFormat="1" applyFont="1" applyFill="1" applyAlignment="1">
      <alignment vertical="center"/>
    </xf>
    <xf numFmtId="0" fontId="118" fillId="41" borderId="0" xfId="0" applyFont="1" applyFill="1" applyAlignment="1">
      <alignment vertical="center"/>
    </xf>
    <xf numFmtId="4" fontId="119" fillId="9" borderId="0" xfId="1" applyNumberFormat="1" applyFont="1" applyFill="1" applyAlignment="1">
      <alignment horizontal="right" vertical="center"/>
    </xf>
    <xf numFmtId="4" fontId="119" fillId="9" borderId="0" xfId="1" applyNumberFormat="1" applyFont="1" applyFill="1" applyAlignment="1">
      <alignment horizontal="center" vertical="center"/>
    </xf>
    <xf numFmtId="176" fontId="72" fillId="28" borderId="31" xfId="0" applyNumberFormat="1" applyFont="1" applyFill="1" applyBorder="1" applyAlignment="1">
      <alignment horizontal="left" vertical="center"/>
    </xf>
    <xf numFmtId="176" fontId="69" fillId="28" borderId="31" xfId="0" applyNumberFormat="1" applyFont="1" applyFill="1" applyBorder="1" applyAlignment="1">
      <alignment horizontal="left" vertical="center"/>
    </xf>
    <xf numFmtId="4" fontId="74" fillId="9" borderId="85" xfId="0" applyNumberFormat="1" applyFont="1" applyFill="1" applyBorder="1" applyAlignment="1" applyProtection="1">
      <alignment horizontal="right" vertical="center" wrapText="1"/>
      <protection locked="0"/>
    </xf>
    <xf numFmtId="4" fontId="74" fillId="9" borderId="65" xfId="0" applyNumberFormat="1" applyFont="1" applyFill="1" applyBorder="1" applyAlignment="1" applyProtection="1">
      <alignment horizontal="right" vertical="center"/>
      <protection locked="0"/>
    </xf>
    <xf numFmtId="3" fontId="74" fillId="9" borderId="65" xfId="0" applyNumberFormat="1" applyFont="1" applyFill="1" applyBorder="1" applyAlignment="1" applyProtection="1">
      <alignment horizontal="right" vertical="center"/>
      <protection locked="0"/>
    </xf>
    <xf numFmtId="4" fontId="120" fillId="9" borderId="65" xfId="0" applyNumberFormat="1" applyFont="1" applyFill="1" applyBorder="1" applyAlignment="1">
      <alignment vertical="center"/>
    </xf>
    <xf numFmtId="3" fontId="120" fillId="9" borderId="65" xfId="0" applyNumberFormat="1" applyFont="1" applyFill="1" applyBorder="1" applyAlignment="1">
      <alignment vertical="center"/>
    </xf>
    <xf numFmtId="4" fontId="120" fillId="9" borderId="66" xfId="0" applyNumberFormat="1" applyFont="1" applyFill="1" applyBorder="1" applyAlignment="1">
      <alignment vertical="center"/>
    </xf>
    <xf numFmtId="3" fontId="120" fillId="9" borderId="66" xfId="0" applyNumberFormat="1" applyFont="1" applyFill="1" applyBorder="1" applyAlignment="1">
      <alignment vertical="center"/>
    </xf>
    <xf numFmtId="3" fontId="74" fillId="9" borderId="85" xfId="0" applyNumberFormat="1" applyFont="1" applyFill="1" applyBorder="1" applyAlignment="1" applyProtection="1">
      <alignment horizontal="right" vertical="center"/>
      <protection locked="0"/>
    </xf>
    <xf numFmtId="4" fontId="120" fillId="9" borderId="65" xfId="0" applyNumberFormat="1" applyFont="1" applyFill="1" applyBorder="1" applyAlignment="1" applyProtection="1">
      <alignment horizontal="right" vertical="center"/>
      <protection locked="0"/>
    </xf>
    <xf numFmtId="4" fontId="120" fillId="9" borderId="65" xfId="0" applyNumberFormat="1" applyFont="1" applyFill="1" applyBorder="1" applyAlignment="1">
      <alignment horizontal="right" vertical="center"/>
    </xf>
    <xf numFmtId="3" fontId="120" fillId="9" borderId="65" xfId="0" applyNumberFormat="1" applyFont="1" applyFill="1" applyBorder="1" applyAlignment="1" applyProtection="1">
      <alignment horizontal="right" vertical="center"/>
      <protection locked="0"/>
    </xf>
    <xf numFmtId="3" fontId="120" fillId="9" borderId="65" xfId="0" applyNumberFormat="1" applyFont="1" applyFill="1" applyBorder="1" applyAlignment="1">
      <alignment horizontal="right" vertical="center"/>
    </xf>
    <xf numFmtId="0" fontId="69" fillId="27" borderId="0" xfId="0" applyFont="1" applyFill="1" applyAlignment="1">
      <alignment horizontal="center" vertical="center" wrapText="1"/>
    </xf>
    <xf numFmtId="4" fontId="74" fillId="29" borderId="85" xfId="0" applyNumberFormat="1" applyFont="1" applyFill="1" applyBorder="1" applyAlignment="1">
      <alignment horizontal="right" vertical="center" wrapText="1"/>
    </xf>
    <xf numFmtId="3" fontId="74" fillId="9" borderId="85" xfId="0" applyNumberFormat="1" applyFont="1" applyFill="1" applyBorder="1" applyAlignment="1" applyProtection="1">
      <alignment horizontal="right" vertical="center" wrapText="1"/>
      <protection locked="0"/>
    </xf>
    <xf numFmtId="3" fontId="120" fillId="9" borderId="85" xfId="0" applyNumberFormat="1" applyFont="1" applyFill="1" applyBorder="1" applyAlignment="1" applyProtection="1">
      <alignment horizontal="right" vertical="center" wrapText="1"/>
      <protection locked="0"/>
    </xf>
    <xf numFmtId="0" fontId="123" fillId="34" borderId="0" xfId="0" applyFont="1" applyFill="1"/>
    <xf numFmtId="0" fontId="123" fillId="27" borderId="0" xfId="0" applyFont="1" applyFill="1"/>
    <xf numFmtId="0" fontId="123" fillId="29" borderId="0" xfId="0" applyFont="1" applyFill="1"/>
    <xf numFmtId="0" fontId="124" fillId="41" borderId="0" xfId="0" applyFont="1" applyFill="1" applyAlignment="1">
      <alignment vertical="center"/>
    </xf>
    <xf numFmtId="0" fontId="69" fillId="47" borderId="0" xfId="0" applyFont="1" applyFill="1" applyAlignment="1">
      <alignment horizontal="center" vertical="center" wrapText="1"/>
    </xf>
    <xf numFmtId="176" fontId="69" fillId="47" borderId="31" xfId="0" applyNumberFormat="1" applyFont="1" applyFill="1" applyBorder="1" applyAlignment="1">
      <alignment horizontal="left" vertical="center"/>
    </xf>
    <xf numFmtId="0" fontId="123" fillId="47" borderId="0" xfId="0" applyFont="1" applyFill="1"/>
    <xf numFmtId="0" fontId="66" fillId="47" borderId="0" xfId="0" applyFont="1" applyFill="1"/>
    <xf numFmtId="0" fontId="67" fillId="47" borderId="0" xfId="0" applyFont="1" applyFill="1"/>
    <xf numFmtId="0" fontId="33" fillId="47" borderId="0" xfId="0" applyFont="1" applyFill="1"/>
    <xf numFmtId="0" fontId="41" fillId="47" borderId="0" xfId="0" applyFont="1" applyFill="1"/>
    <xf numFmtId="0" fontId="57" fillId="47" borderId="0" xfId="0" applyFont="1" applyFill="1" applyAlignment="1">
      <alignment vertical="top"/>
    </xf>
    <xf numFmtId="0" fontId="59" fillId="47" borderId="0" xfId="0" applyFont="1" applyFill="1" applyAlignment="1">
      <alignment vertical="top"/>
    </xf>
    <xf numFmtId="0" fontId="60" fillId="47" borderId="0" xfId="0" applyFont="1" applyFill="1" applyAlignment="1">
      <alignment vertical="top"/>
    </xf>
    <xf numFmtId="0" fontId="61" fillId="47" borderId="0" xfId="0" applyFont="1" applyFill="1" applyAlignment="1">
      <alignment vertical="top"/>
    </xf>
    <xf numFmtId="0" fontId="63" fillId="47" borderId="0" xfId="0" applyFont="1" applyFill="1" applyAlignment="1">
      <alignment vertical="top"/>
    </xf>
    <xf numFmtId="8" fontId="52" fillId="48" borderId="0" xfId="0" applyNumberFormat="1" applyFont="1" applyFill="1" applyAlignment="1">
      <alignment horizontal="center" vertical="top"/>
    </xf>
    <xf numFmtId="8" fontId="49" fillId="48" borderId="0" xfId="0" applyNumberFormat="1" applyFont="1" applyFill="1" applyAlignment="1">
      <alignment horizontal="center" vertical="top"/>
    </xf>
    <xf numFmtId="6" fontId="50" fillId="48" borderId="0" xfId="0" applyNumberFormat="1" applyFont="1" applyFill="1" applyAlignment="1">
      <alignment horizontal="center" vertical="top"/>
    </xf>
    <xf numFmtId="6" fontId="51" fillId="48" borderId="0" xfId="0" applyNumberFormat="1" applyFont="1" applyFill="1" applyAlignment="1">
      <alignment horizontal="center" vertical="top"/>
    </xf>
    <xf numFmtId="8" fontId="53" fillId="48" borderId="0" xfId="0" applyNumberFormat="1" applyFont="1" applyFill="1" applyAlignment="1">
      <alignment horizontal="center" vertical="top"/>
    </xf>
    <xf numFmtId="0" fontId="1" fillId="47" borderId="0" xfId="0" applyFont="1" applyFill="1"/>
    <xf numFmtId="0" fontId="35" fillId="47" borderId="0" xfId="0" applyFont="1" applyFill="1"/>
    <xf numFmtId="169" fontId="62" fillId="47" borderId="0" xfId="0" applyNumberFormat="1" applyFont="1" applyFill="1" applyAlignment="1">
      <alignment vertical="top"/>
    </xf>
    <xf numFmtId="0" fontId="62" fillId="47" borderId="0" xfId="0" applyFont="1" applyFill="1" applyAlignment="1">
      <alignment vertical="top"/>
    </xf>
    <xf numFmtId="168" fontId="34" fillId="47" borderId="0" xfId="0" applyNumberFormat="1" applyFont="1" applyFill="1" applyAlignment="1">
      <alignment vertical="center"/>
    </xf>
    <xf numFmtId="4" fontId="37" fillId="47" borderId="0" xfId="0" applyNumberFormat="1" applyFont="1" applyFill="1"/>
    <xf numFmtId="4" fontId="36" fillId="47" borderId="0" xfId="0" applyNumberFormat="1" applyFont="1" applyFill="1"/>
    <xf numFmtId="0" fontId="40" fillId="47" borderId="0" xfId="0" applyFont="1" applyFill="1"/>
    <xf numFmtId="4" fontId="40" fillId="47" borderId="0" xfId="0" applyNumberFormat="1" applyFont="1" applyFill="1" applyAlignment="1">
      <alignment horizontal="left" vertical="center"/>
    </xf>
    <xf numFmtId="4" fontId="42" fillId="47" borderId="0" xfId="0" applyNumberFormat="1" applyFont="1" applyFill="1" applyAlignment="1">
      <alignment horizontal="left" vertical="center"/>
    </xf>
    <xf numFmtId="0" fontId="42" fillId="47" borderId="0" xfId="0" applyFont="1" applyFill="1"/>
    <xf numFmtId="4" fontId="43" fillId="47" borderId="0" xfId="0" applyNumberFormat="1" applyFont="1" applyFill="1" applyAlignment="1">
      <alignment horizontal="left" vertical="center"/>
    </xf>
    <xf numFmtId="177" fontId="100" fillId="9" borderId="0" xfId="0" applyNumberFormat="1" applyFont="1" applyFill="1" applyAlignment="1">
      <alignment vertical="center"/>
    </xf>
    <xf numFmtId="177" fontId="126" fillId="9" borderId="0" xfId="0" applyNumberFormat="1" applyFont="1" applyFill="1" applyAlignment="1">
      <alignment vertical="center"/>
    </xf>
    <xf numFmtId="0" fontId="115" fillId="45" borderId="25" xfId="0" applyFont="1" applyFill="1" applyBorder="1" applyAlignment="1">
      <alignment horizontal="center" vertical="center"/>
    </xf>
    <xf numFmtId="0" fontId="115" fillId="45" borderId="34" xfId="0" applyFont="1" applyFill="1" applyBorder="1" applyAlignment="1">
      <alignment horizontal="center" vertical="center"/>
    </xf>
    <xf numFmtId="0" fontId="115" fillId="45" borderId="26" xfId="0" applyFont="1" applyFill="1" applyBorder="1" applyAlignment="1">
      <alignment horizontal="center" vertical="center"/>
    </xf>
    <xf numFmtId="173" fontId="94" fillId="0" borderId="108" xfId="0" applyNumberFormat="1" applyFont="1" applyBorder="1" applyAlignment="1">
      <alignment horizontal="center" vertical="center"/>
    </xf>
    <xf numFmtId="173" fontId="94" fillId="25" borderId="108" xfId="0" applyNumberFormat="1" applyFont="1" applyFill="1" applyBorder="1" applyAlignment="1">
      <alignment horizontal="center" vertical="center"/>
    </xf>
    <xf numFmtId="173" fontId="94" fillId="46" borderId="108" xfId="0" applyNumberFormat="1" applyFont="1" applyFill="1" applyBorder="1" applyAlignment="1">
      <alignment horizontal="center" vertical="center"/>
    </xf>
    <xf numFmtId="177" fontId="125" fillId="0" borderId="108" xfId="0" applyNumberFormat="1" applyFont="1" applyBorder="1" applyAlignment="1">
      <alignment horizontal="center" vertical="center"/>
    </xf>
    <xf numFmtId="177" fontId="125" fillId="25" borderId="108" xfId="0" applyNumberFormat="1" applyFont="1" applyFill="1" applyBorder="1" applyAlignment="1">
      <alignment horizontal="center" vertical="center"/>
    </xf>
    <xf numFmtId="177" fontId="125" fillId="46" borderId="108" xfId="0" applyNumberFormat="1" applyFont="1" applyFill="1" applyBorder="1" applyAlignment="1">
      <alignment horizontal="center" vertical="center"/>
    </xf>
    <xf numFmtId="1" fontId="125" fillId="0" borderId="108" xfId="0" applyNumberFormat="1" applyFont="1" applyBorder="1" applyAlignment="1">
      <alignment horizontal="center" vertical="center"/>
    </xf>
    <xf numFmtId="174" fontId="56" fillId="45" borderId="109" xfId="0" applyNumberFormat="1" applyFont="1" applyFill="1" applyBorder="1" applyAlignment="1">
      <alignment horizontal="left" vertical="center"/>
    </xf>
    <xf numFmtId="0" fontId="56" fillId="45" borderId="110" xfId="0" applyFont="1" applyFill="1" applyBorder="1" applyAlignment="1">
      <alignment horizontal="center" vertical="center"/>
    </xf>
    <xf numFmtId="0" fontId="56" fillId="45" borderId="111" xfId="0" applyFont="1" applyFill="1" applyBorder="1" applyAlignment="1">
      <alignment horizontal="center" vertical="center"/>
    </xf>
    <xf numFmtId="172" fontId="56" fillId="45" borderId="112" xfId="0" applyNumberFormat="1" applyFont="1" applyFill="1" applyBorder="1" applyAlignment="1">
      <alignment horizontal="left" vertical="center"/>
    </xf>
    <xf numFmtId="173" fontId="94" fillId="0" borderId="113" xfId="0" applyNumberFormat="1" applyFont="1" applyBorder="1" applyAlignment="1">
      <alignment horizontal="center" vertical="center"/>
    </xf>
    <xf numFmtId="172" fontId="56" fillId="45" borderId="114" xfId="0" applyNumberFormat="1" applyFont="1" applyFill="1" applyBorder="1" applyAlignment="1">
      <alignment horizontal="left" vertical="center"/>
    </xf>
    <xf numFmtId="173" fontId="94" fillId="0" borderId="115" xfId="0" applyNumberFormat="1" applyFont="1" applyBorder="1" applyAlignment="1">
      <alignment horizontal="center" vertical="center"/>
    </xf>
    <xf numFmtId="173" fontId="94" fillId="46" borderId="115" xfId="0" applyNumberFormat="1" applyFont="1" applyFill="1" applyBorder="1" applyAlignment="1">
      <alignment horizontal="center" vertical="center"/>
    </xf>
    <xf numFmtId="173" fontId="94" fillId="25" borderId="115" xfId="0" applyNumberFormat="1" applyFont="1" applyFill="1" applyBorder="1" applyAlignment="1">
      <alignment horizontal="center" vertical="center"/>
    </xf>
    <xf numFmtId="173" fontId="94" fillId="42" borderId="115" xfId="0" applyNumberFormat="1" applyFont="1" applyFill="1" applyBorder="1" applyAlignment="1">
      <alignment horizontal="center" vertical="center"/>
    </xf>
    <xf numFmtId="173" fontId="94" fillId="0" borderId="116" xfId="0" applyNumberFormat="1" applyFont="1" applyBorder="1" applyAlignment="1">
      <alignment horizontal="center" vertical="center"/>
    </xf>
    <xf numFmtId="177" fontId="125" fillId="0" borderId="113" xfId="0" applyNumberFormat="1" applyFont="1" applyBorder="1" applyAlignment="1">
      <alignment horizontal="center" vertical="center"/>
    </xf>
    <xf numFmtId="177" fontId="125" fillId="0" borderId="115" xfId="0" applyNumberFormat="1" applyFont="1" applyBorder="1" applyAlignment="1">
      <alignment horizontal="center" vertical="center"/>
    </xf>
    <xf numFmtId="1" fontId="125" fillId="0" borderId="115" xfId="0" applyNumberFormat="1" applyFont="1" applyBorder="1" applyAlignment="1">
      <alignment horizontal="center" vertical="center"/>
    </xf>
    <xf numFmtId="177" fontId="125" fillId="46" borderId="115" xfId="0" applyNumberFormat="1" applyFont="1" applyFill="1" applyBorder="1" applyAlignment="1">
      <alignment horizontal="center" vertical="center"/>
    </xf>
    <xf numFmtId="177" fontId="125" fillId="42" borderId="115" xfId="0" applyNumberFormat="1" applyFont="1" applyFill="1" applyBorder="1" applyAlignment="1">
      <alignment horizontal="center" vertical="center"/>
    </xf>
    <xf numFmtId="177" fontId="125" fillId="0" borderId="116" xfId="0" applyNumberFormat="1" applyFont="1" applyBorder="1" applyAlignment="1">
      <alignment horizontal="center" vertical="center"/>
    </xf>
    <xf numFmtId="0" fontId="115" fillId="45" borderId="25" xfId="0" applyFont="1" applyFill="1" applyBorder="1" applyAlignment="1">
      <alignment horizontal="left" vertical="center"/>
    </xf>
    <xf numFmtId="0" fontId="97" fillId="49" borderId="0" xfId="0" applyFont="1" applyFill="1" applyAlignment="1">
      <alignment vertical="center"/>
    </xf>
    <xf numFmtId="171" fontId="97" fillId="49" borderId="0" xfId="0" applyNumberFormat="1" applyFont="1" applyFill="1" applyAlignment="1">
      <alignment vertical="center"/>
    </xf>
    <xf numFmtId="164" fontId="114" fillId="45" borderId="0" xfId="1" applyNumberFormat="1" applyFont="1" applyFill="1" applyBorder="1" applyAlignment="1">
      <alignment horizontal="centerContinuous" vertical="top" wrapText="1"/>
    </xf>
    <xf numFmtId="0" fontId="127" fillId="9" borderId="0" xfId="1" applyFont="1" applyFill="1" applyAlignment="1">
      <alignment vertical="center"/>
    </xf>
    <xf numFmtId="0" fontId="128" fillId="12" borderId="0" xfId="1" applyFont="1" applyFill="1" applyAlignment="1">
      <alignment vertical="center"/>
    </xf>
    <xf numFmtId="0" fontId="46" fillId="47" borderId="0" xfId="1" applyFont="1" applyFill="1" applyBorder="1" applyAlignment="1"/>
    <xf numFmtId="164" fontId="46" fillId="47" borderId="0" xfId="1" applyNumberFormat="1" applyFont="1" applyFill="1" applyBorder="1" applyAlignment="1">
      <alignment horizontal="centerContinuous" vertical="top" wrapText="1"/>
    </xf>
    <xf numFmtId="170" fontId="87" fillId="47" borderId="0" xfId="1" applyNumberFormat="1" applyFont="1" applyFill="1" applyAlignment="1">
      <alignment horizontal="left" vertical="center"/>
    </xf>
    <xf numFmtId="0" fontId="87" fillId="47" borderId="0" xfId="1" applyFont="1" applyFill="1" applyAlignment="1">
      <alignment horizontal="center" vertical="center"/>
    </xf>
    <xf numFmtId="0" fontId="47" fillId="47" borderId="0" xfId="1" applyFont="1" applyFill="1" applyAlignment="1">
      <alignment horizontal="center" vertical="center"/>
    </xf>
    <xf numFmtId="0" fontId="87" fillId="47" borderId="0" xfId="1" applyFont="1" applyFill="1" applyAlignment="1">
      <alignment horizontal="centerContinuous" vertical="center"/>
    </xf>
    <xf numFmtId="8" fontId="90" fillId="47" borderId="0" xfId="1" applyNumberFormat="1" applyFont="1" applyFill="1" applyAlignment="1">
      <alignment horizontal="right" vertical="center"/>
    </xf>
    <xf numFmtId="164" fontId="87" fillId="47" borderId="0" xfId="1" applyNumberFormat="1" applyFont="1" applyFill="1" applyAlignment="1">
      <alignment vertical="center"/>
    </xf>
    <xf numFmtId="43" fontId="93" fillId="47" borderId="0" xfId="6" applyFont="1" applyFill="1" applyAlignment="1">
      <alignment vertical="center"/>
    </xf>
    <xf numFmtId="43" fontId="93" fillId="47" borderId="0" xfId="6" applyFont="1" applyFill="1" applyAlignment="1">
      <alignment horizontal="center" vertical="center"/>
    </xf>
    <xf numFmtId="8" fontId="87" fillId="47" borderId="0" xfId="1" applyNumberFormat="1" applyFont="1" applyFill="1" applyAlignment="1">
      <alignment horizontal="centerContinuous" vertical="center"/>
    </xf>
    <xf numFmtId="0" fontId="87" fillId="47" borderId="35" xfId="1" applyFont="1" applyFill="1" applyBorder="1" applyAlignment="1">
      <alignment vertical="center" wrapText="1"/>
    </xf>
    <xf numFmtId="0" fontId="87" fillId="47" borderId="36" xfId="1" applyFont="1" applyFill="1" applyBorder="1" applyAlignment="1">
      <alignment vertical="center" wrapText="1"/>
    </xf>
    <xf numFmtId="0" fontId="87" fillId="47" borderId="45" xfId="1" applyFont="1" applyFill="1" applyBorder="1" applyAlignment="1">
      <alignment vertical="center" wrapText="1"/>
    </xf>
    <xf numFmtId="9" fontId="87" fillId="47" borderId="45" xfId="7" applyFont="1" applyFill="1" applyBorder="1" applyAlignment="1">
      <alignment horizontal="center" vertical="center" wrapText="1"/>
    </xf>
    <xf numFmtId="173" fontId="93" fillId="50" borderId="108" xfId="0" applyNumberFormat="1" applyFont="1" applyFill="1" applyBorder="1" applyAlignment="1">
      <alignment horizontal="center" vertical="center"/>
    </xf>
    <xf numFmtId="173" fontId="93" fillId="50" borderId="115" xfId="0" applyNumberFormat="1" applyFont="1" applyFill="1" applyBorder="1" applyAlignment="1">
      <alignment horizontal="center" vertical="center"/>
    </xf>
    <xf numFmtId="0" fontId="47" fillId="47" borderId="25" xfId="0" applyFont="1" applyFill="1" applyBorder="1" applyAlignment="1">
      <alignment horizontal="center" vertical="center"/>
    </xf>
    <xf numFmtId="0" fontId="47" fillId="47" borderId="34" xfId="0" applyFont="1" applyFill="1" applyBorder="1" applyAlignment="1">
      <alignment horizontal="center" vertical="center"/>
    </xf>
    <xf numFmtId="0" fontId="47" fillId="47" borderId="26" xfId="0" applyFont="1" applyFill="1" applyBorder="1" applyAlignment="1">
      <alignment horizontal="center" vertical="center"/>
    </xf>
    <xf numFmtId="174" fontId="93" fillId="47" borderId="109" xfId="0" applyNumberFormat="1" applyFont="1" applyFill="1" applyBorder="1" applyAlignment="1">
      <alignment horizontal="left" vertical="center"/>
    </xf>
    <xf numFmtId="0" fontId="93" fillId="47" borderId="110" xfId="0" applyFont="1" applyFill="1" applyBorder="1" applyAlignment="1">
      <alignment horizontal="center" vertical="center"/>
    </xf>
    <xf numFmtId="0" fontId="93" fillId="47" borderId="111" xfId="0" applyFont="1" applyFill="1" applyBorder="1" applyAlignment="1">
      <alignment horizontal="center" vertical="center"/>
    </xf>
    <xf numFmtId="172" fontId="93" fillId="47" borderId="112" xfId="0" applyNumberFormat="1" applyFont="1" applyFill="1" applyBorder="1" applyAlignment="1">
      <alignment horizontal="left" vertical="center"/>
    </xf>
    <xf numFmtId="172" fontId="93" fillId="47" borderId="114" xfId="0" applyNumberFormat="1" applyFont="1" applyFill="1" applyBorder="1" applyAlignment="1">
      <alignment horizontal="left" vertical="center"/>
    </xf>
    <xf numFmtId="2" fontId="97" fillId="9" borderId="47" xfId="0" applyNumberFormat="1" applyFont="1" applyFill="1" applyBorder="1" applyAlignment="1">
      <alignment horizontal="center" vertical="center"/>
    </xf>
    <xf numFmtId="4" fontId="81" fillId="51" borderId="85" xfId="0" applyNumberFormat="1" applyFont="1" applyFill="1" applyBorder="1" applyAlignment="1">
      <alignment horizontal="right" vertical="center" wrapText="1"/>
    </xf>
    <xf numFmtId="4" fontId="78" fillId="51" borderId="85" xfId="0" applyNumberFormat="1" applyFont="1" applyFill="1" applyBorder="1" applyAlignment="1">
      <alignment horizontal="right" vertical="center" wrapText="1"/>
    </xf>
    <xf numFmtId="4" fontId="121" fillId="51" borderId="85" xfId="0" applyNumberFormat="1" applyFont="1" applyFill="1" applyBorder="1" applyAlignment="1">
      <alignment horizontal="right" vertical="center" wrapText="1"/>
    </xf>
    <xf numFmtId="14" fontId="107" fillId="45" borderId="0" xfId="1" applyNumberFormat="1" applyFont="1" applyFill="1" applyAlignment="1">
      <alignment horizontal="left" vertical="center"/>
    </xf>
    <xf numFmtId="9" fontId="87" fillId="47" borderId="117" xfId="7" applyFont="1" applyFill="1" applyBorder="1" applyAlignment="1">
      <alignment horizontal="center" vertical="center" wrapText="1"/>
    </xf>
    <xf numFmtId="1" fontId="97" fillId="9" borderId="118" xfId="0" applyNumberFormat="1" applyFont="1" applyFill="1" applyBorder="1" applyAlignment="1">
      <alignment horizontal="center" vertical="center"/>
    </xf>
    <xf numFmtId="43" fontId="56" fillId="9" borderId="119" xfId="6" applyFont="1" applyFill="1" applyBorder="1" applyAlignment="1">
      <alignment horizontal="right" vertical="center"/>
    </xf>
    <xf numFmtId="171" fontId="56" fillId="9" borderId="120" xfId="6" applyNumberFormat="1" applyFont="1" applyFill="1" applyBorder="1" applyAlignment="1">
      <alignment horizontal="right" vertical="center"/>
    </xf>
    <xf numFmtId="171" fontId="56" fillId="9" borderId="119" xfId="6" applyNumberFormat="1" applyFont="1" applyFill="1" applyBorder="1" applyAlignment="1">
      <alignment horizontal="right" vertical="center"/>
    </xf>
    <xf numFmtId="171" fontId="98" fillId="9" borderId="119" xfId="6" applyNumberFormat="1" applyFont="1" applyFill="1" applyBorder="1" applyAlignment="1">
      <alignment horizontal="right" vertical="center"/>
    </xf>
    <xf numFmtId="171" fontId="97" fillId="50" borderId="122" xfId="0" applyNumberFormat="1" applyFont="1" applyFill="1" applyBorder="1" applyAlignment="1">
      <alignment vertical="center"/>
    </xf>
    <xf numFmtId="171" fontId="97" fillId="50" borderId="124" xfId="0" applyNumberFormat="1" applyFont="1" applyFill="1" applyBorder="1" applyAlignment="1">
      <alignment vertical="center"/>
    </xf>
    <xf numFmtId="0" fontId="97" fillId="50" borderId="121" xfId="0" applyFont="1" applyFill="1" applyBorder="1" applyAlignment="1">
      <alignment horizontal="left" vertical="center" indent="1"/>
    </xf>
    <xf numFmtId="0" fontId="97" fillId="50" borderId="123" xfId="0" applyFont="1" applyFill="1" applyBorder="1" applyAlignment="1">
      <alignment horizontal="left" vertical="center" indent="1"/>
    </xf>
    <xf numFmtId="4" fontId="89" fillId="52" borderId="0" xfId="1" applyNumberFormat="1" applyFont="1" applyFill="1" applyAlignment="1">
      <alignment horizontal="right" vertical="center"/>
    </xf>
    <xf numFmtId="4" fontId="89" fillId="52" borderId="0" xfId="1" applyNumberFormat="1" applyFont="1" applyFill="1" applyAlignment="1">
      <alignment horizontal="center" vertical="center"/>
    </xf>
    <xf numFmtId="8" fontId="91" fillId="52" borderId="0" xfId="1" applyNumberFormat="1" applyFont="1" applyFill="1" applyAlignment="1">
      <alignment horizontal="right" vertical="center"/>
    </xf>
    <xf numFmtId="4" fontId="97" fillId="0" borderId="126" xfId="0" applyNumberFormat="1" applyFont="1" applyBorder="1"/>
    <xf numFmtId="4" fontId="97" fillId="0" borderId="127" xfId="0" applyNumberFormat="1" applyFont="1" applyBorder="1"/>
    <xf numFmtId="4" fontId="97" fillId="0" borderId="128" xfId="0" applyNumberFormat="1" applyFont="1" applyBorder="1"/>
    <xf numFmtId="4" fontId="90" fillId="53" borderId="125" xfId="0" applyNumberFormat="1" applyFont="1" applyFill="1" applyBorder="1"/>
    <xf numFmtId="4" fontId="97" fillId="0" borderId="129" xfId="0" applyNumberFormat="1" applyFont="1" applyBorder="1"/>
    <xf numFmtId="0" fontId="90" fillId="53" borderId="0" xfId="0" applyFont="1" applyFill="1" applyAlignment="1">
      <alignment horizontal="center"/>
    </xf>
    <xf numFmtId="0" fontId="45" fillId="0" borderId="0" xfId="0" applyFont="1" applyAlignment="1">
      <alignment horizontal="center" vertical="center" textRotation="255"/>
    </xf>
    <xf numFmtId="43" fontId="97" fillId="0" borderId="0" xfId="6" applyFont="1" applyFill="1"/>
    <xf numFmtId="0" fontId="90" fillId="0" borderId="0" xfId="0" applyFont="1" applyAlignment="1">
      <alignment horizontal="right"/>
    </xf>
    <xf numFmtId="0" fontId="90" fillId="0" borderId="0" xfId="0" applyFont="1"/>
    <xf numFmtId="4" fontId="90" fillId="0" borderId="0" xfId="0" applyNumberFormat="1" applyFont="1"/>
    <xf numFmtId="43" fontId="105" fillId="0" borderId="0" xfId="6" applyFont="1" applyFill="1"/>
    <xf numFmtId="44" fontId="87" fillId="30" borderId="0" xfId="8" applyFont="1" applyFill="1"/>
    <xf numFmtId="44" fontId="47" fillId="30" borderId="0" xfId="8" applyFont="1" applyFill="1"/>
    <xf numFmtId="0" fontId="97" fillId="38" borderId="130" xfId="0" applyFont="1" applyFill="1" applyBorder="1" applyAlignment="1">
      <alignment horizontal="right"/>
    </xf>
    <xf numFmtId="0" fontId="97" fillId="38" borderId="131" xfId="0" applyFont="1" applyFill="1" applyBorder="1" applyAlignment="1">
      <alignment horizontal="center"/>
    </xf>
    <xf numFmtId="43" fontId="97" fillId="0" borderId="132" xfId="6" applyFont="1" applyBorder="1"/>
    <xf numFmtId="0" fontId="97" fillId="0" borderId="96" xfId="0" applyFont="1" applyBorder="1"/>
    <xf numFmtId="4" fontId="97" fillId="0" borderId="133" xfId="0" applyNumberFormat="1" applyFont="1" applyBorder="1"/>
    <xf numFmtId="4" fontId="97" fillId="0" borderId="134" xfId="0" applyNumberFormat="1" applyFont="1" applyBorder="1"/>
    <xf numFmtId="4" fontId="97" fillId="0" borderId="135" xfId="0" applyNumberFormat="1" applyFont="1" applyBorder="1"/>
    <xf numFmtId="0" fontId="90" fillId="37" borderId="136" xfId="0" applyFont="1" applyFill="1" applyBorder="1"/>
    <xf numFmtId="4" fontId="97" fillId="0" borderId="30" xfId="0" applyNumberFormat="1" applyFont="1" applyBorder="1"/>
    <xf numFmtId="4" fontId="97" fillId="0" borderId="48" xfId="0" applyNumberFormat="1" applyFont="1" applyBorder="1"/>
    <xf numFmtId="4" fontId="97" fillId="0" borderId="87" xfId="0" applyNumberFormat="1" applyFont="1" applyBorder="1"/>
    <xf numFmtId="4" fontId="97" fillId="0" borderId="139" xfId="0" applyNumberFormat="1" applyFont="1" applyBorder="1"/>
    <xf numFmtId="0" fontId="55" fillId="0" borderId="0" xfId="0" applyFont="1"/>
    <xf numFmtId="17" fontId="55" fillId="36" borderId="0" xfId="0" applyNumberFormat="1" applyFont="1" applyFill="1"/>
    <xf numFmtId="17" fontId="55" fillId="0" borderId="0" xfId="0" applyNumberFormat="1" applyFont="1"/>
    <xf numFmtId="43" fontId="55" fillId="36" borderId="0" xfId="0" applyNumberFormat="1" applyFont="1" applyFill="1"/>
    <xf numFmtId="43" fontId="55" fillId="36" borderId="0" xfId="6" applyFont="1" applyFill="1"/>
    <xf numFmtId="4" fontId="55" fillId="36" borderId="0" xfId="0" applyNumberFormat="1" applyFont="1" applyFill="1"/>
    <xf numFmtId="0" fontId="101" fillId="40" borderId="0" xfId="0" applyFont="1" applyFill="1" applyAlignment="1">
      <alignment horizontal="center"/>
    </xf>
    <xf numFmtId="0" fontId="101" fillId="40" borderId="87" xfId="0" applyFont="1" applyFill="1" applyBorder="1" applyAlignment="1">
      <alignment horizontal="center"/>
    </xf>
    <xf numFmtId="0" fontId="101" fillId="40" borderId="90" xfId="0" applyFont="1" applyFill="1" applyBorder="1" applyAlignment="1">
      <alignment horizontal="center"/>
    </xf>
    <xf numFmtId="0" fontId="101" fillId="40" borderId="87" xfId="0" applyFont="1" applyFill="1" applyBorder="1" applyAlignment="1">
      <alignment horizontal="right"/>
    </xf>
    <xf numFmtId="0" fontId="101" fillId="40" borderId="137" xfId="0" applyFont="1" applyFill="1" applyBorder="1" applyAlignment="1">
      <alignment horizontal="right"/>
    </xf>
    <xf numFmtId="0" fontId="101" fillId="40" borderId="88" xfId="0" applyFont="1" applyFill="1" applyBorder="1" applyAlignment="1">
      <alignment horizontal="right"/>
    </xf>
    <xf numFmtId="0" fontId="101" fillId="40" borderId="138" xfId="0" applyFont="1" applyFill="1" applyBorder="1" applyAlignment="1">
      <alignment horizontal="right"/>
    </xf>
    <xf numFmtId="0" fontId="101" fillId="40" borderId="89" xfId="0" applyFont="1" applyFill="1" applyBorder="1" applyAlignment="1">
      <alignment horizontal="right"/>
    </xf>
    <xf numFmtId="0" fontId="130" fillId="0" borderId="0" xfId="0" applyFont="1"/>
    <xf numFmtId="0" fontId="131" fillId="0" borderId="0" xfId="0" applyFont="1"/>
    <xf numFmtId="9" fontId="55" fillId="0" borderId="0" xfId="0" applyNumberFormat="1" applyFont="1"/>
    <xf numFmtId="43" fontId="132" fillId="0" borderId="0" xfId="6" applyFont="1"/>
    <xf numFmtId="2" fontId="132" fillId="0" borderId="0" xfId="0" applyNumberFormat="1" applyFont="1"/>
    <xf numFmtId="4" fontId="97" fillId="0" borderId="141" xfId="0" applyNumberFormat="1" applyFont="1" applyBorder="1"/>
    <xf numFmtId="0" fontId="90" fillId="54" borderId="140" xfId="0" applyFont="1" applyFill="1" applyBorder="1" applyAlignment="1">
      <alignment horizontal="right"/>
    </xf>
    <xf numFmtId="0" fontId="90" fillId="54" borderId="0" xfId="0" applyFont="1" applyFill="1" applyAlignment="1">
      <alignment horizontal="right"/>
    </xf>
    <xf numFmtId="17" fontId="55" fillId="55" borderId="0" xfId="0" applyNumberFormat="1" applyFont="1" applyFill="1"/>
    <xf numFmtId="43" fontId="132" fillId="55" borderId="0" xfId="6" applyFont="1" applyFill="1"/>
    <xf numFmtId="2" fontId="132" fillId="55" borderId="0" xfId="0" applyNumberFormat="1" applyFont="1" applyFill="1"/>
    <xf numFmtId="4" fontId="97" fillId="55" borderId="141" xfId="0" applyNumberFormat="1" applyFont="1" applyFill="1" applyBorder="1"/>
    <xf numFmtId="0" fontId="47" fillId="47" borderId="142" xfId="0" applyFont="1" applyFill="1" applyBorder="1" applyAlignment="1">
      <alignment horizontal="center" vertical="center"/>
    </xf>
    <xf numFmtId="0" fontId="47" fillId="47" borderId="143" xfId="0" applyFont="1" applyFill="1" applyBorder="1" applyAlignment="1">
      <alignment horizontal="center" vertical="center"/>
    </xf>
    <xf numFmtId="0" fontId="47" fillId="47" borderId="144" xfId="0" applyFont="1" applyFill="1" applyBorder="1" applyAlignment="1">
      <alignment horizontal="center" vertical="center"/>
    </xf>
    <xf numFmtId="174" fontId="93" fillId="47" borderId="145" xfId="0" applyNumberFormat="1" applyFont="1" applyFill="1" applyBorder="1" applyAlignment="1">
      <alignment horizontal="left" vertical="center"/>
    </xf>
    <xf numFmtId="0" fontId="93" fillId="47" borderId="146" xfId="0" applyFont="1" applyFill="1" applyBorder="1" applyAlignment="1">
      <alignment horizontal="center" vertical="center"/>
    </xf>
    <xf numFmtId="172" fontId="93" fillId="47" borderId="147" xfId="0" applyNumberFormat="1" applyFont="1" applyFill="1" applyBorder="1" applyAlignment="1">
      <alignment horizontal="left" vertical="center"/>
    </xf>
    <xf numFmtId="173" fontId="94" fillId="0" borderId="148" xfId="0" applyNumberFormat="1" applyFont="1" applyBorder="1" applyAlignment="1">
      <alignment horizontal="center" vertical="center"/>
    </xf>
    <xf numFmtId="172" fontId="93" fillId="47" borderId="149" xfId="0" applyNumberFormat="1" applyFont="1" applyFill="1" applyBorder="1" applyAlignment="1">
      <alignment horizontal="left" vertical="center"/>
    </xf>
    <xf numFmtId="173" fontId="94" fillId="0" borderId="150" xfId="0" applyNumberFormat="1" applyFont="1" applyBorder="1" applyAlignment="1">
      <alignment horizontal="center" vertical="center"/>
    </xf>
    <xf numFmtId="173" fontId="93" fillId="50" borderId="150" xfId="0" applyNumberFormat="1" applyFont="1" applyFill="1" applyBorder="1" applyAlignment="1">
      <alignment horizontal="center" vertical="center"/>
    </xf>
    <xf numFmtId="173" fontId="94" fillId="0" borderId="151" xfId="0" applyNumberFormat="1" applyFont="1" applyBorder="1" applyAlignment="1">
      <alignment horizontal="center" vertical="center"/>
    </xf>
    <xf numFmtId="173" fontId="94" fillId="25" borderId="150" xfId="0" applyNumberFormat="1" applyFont="1" applyFill="1" applyBorder="1" applyAlignment="1">
      <alignment horizontal="center" vertical="center"/>
    </xf>
    <xf numFmtId="173" fontId="94" fillId="56" borderId="108" xfId="0" applyNumberFormat="1" applyFont="1" applyFill="1" applyBorder="1" applyAlignment="1">
      <alignment horizontal="center" vertical="center"/>
    </xf>
    <xf numFmtId="173" fontId="94" fillId="56" borderId="150" xfId="0" applyNumberFormat="1" applyFont="1" applyFill="1" applyBorder="1" applyAlignment="1">
      <alignment horizontal="center" vertical="center"/>
    </xf>
    <xf numFmtId="173" fontId="94" fillId="56" borderId="115" xfId="0" applyNumberFormat="1" applyFont="1" applyFill="1" applyBorder="1" applyAlignment="1">
      <alignment horizontal="center" vertical="center"/>
    </xf>
    <xf numFmtId="173" fontId="94" fillId="17" borderId="115" xfId="0" applyNumberFormat="1" applyFont="1" applyFill="1" applyBorder="1" applyAlignment="1">
      <alignment horizontal="center" vertical="center"/>
    </xf>
    <xf numFmtId="9" fontId="44" fillId="0" borderId="0" xfId="0" applyNumberFormat="1" applyFont="1" applyAlignment="1">
      <alignment vertical="center"/>
    </xf>
    <xf numFmtId="0" fontId="90" fillId="30" borderId="140" xfId="0" applyFont="1" applyFill="1" applyBorder="1" applyAlignment="1">
      <alignment horizontal="right"/>
    </xf>
    <xf numFmtId="43" fontId="101" fillId="0" borderId="0" xfId="6" applyFont="1"/>
    <xf numFmtId="4" fontId="97" fillId="0" borderId="32" xfId="0" applyNumberFormat="1" applyFont="1" applyBorder="1"/>
    <xf numFmtId="4" fontId="97" fillId="0" borderId="29" xfId="0" applyNumberFormat="1" applyFont="1" applyBorder="1"/>
    <xf numFmtId="2" fontId="101" fillId="0" borderId="32" xfId="0" applyNumberFormat="1" applyFont="1" applyBorder="1"/>
    <xf numFmtId="4" fontId="74" fillId="9" borderId="65" xfId="0" applyNumberFormat="1" applyFont="1" applyFill="1" applyBorder="1" applyAlignment="1">
      <alignment horizontal="right" vertical="center"/>
    </xf>
    <xf numFmtId="173" fontId="94" fillId="52" borderId="108" xfId="0" applyNumberFormat="1" applyFont="1" applyFill="1" applyBorder="1" applyAlignment="1">
      <alignment horizontal="center" vertical="center"/>
    </xf>
    <xf numFmtId="0" fontId="90" fillId="0" borderId="0" xfId="0" applyFont="1" applyAlignment="1">
      <alignment horizontal="center"/>
    </xf>
    <xf numFmtId="2" fontId="55" fillId="0" borderId="0" xfId="0" applyNumberFormat="1" applyFont="1"/>
    <xf numFmtId="10" fontId="90" fillId="0" borderId="0" xfId="7" applyNumberFormat="1" applyFont="1" applyFill="1" applyAlignment="1">
      <alignment horizontal="center"/>
    </xf>
    <xf numFmtId="169" fontId="55" fillId="0" borderId="0" xfId="0" applyNumberFormat="1" applyFont="1"/>
    <xf numFmtId="0" fontId="90" fillId="37" borderId="0" xfId="0" applyFont="1" applyFill="1" applyAlignment="1">
      <alignment horizontal="center"/>
    </xf>
    <xf numFmtId="0" fontId="90" fillId="30" borderId="0" xfId="0" applyFont="1" applyFill="1" applyAlignment="1">
      <alignment horizontal="center"/>
    </xf>
    <xf numFmtId="0" fontId="90" fillId="31" borderId="0" xfId="0" applyFont="1" applyFill="1" applyAlignment="1">
      <alignment horizontal="center"/>
    </xf>
    <xf numFmtId="0" fontId="45" fillId="36" borderId="0" xfId="0" applyFont="1" applyFill="1" applyAlignment="1">
      <alignment horizontal="center" vertical="center" textRotation="255"/>
    </xf>
    <xf numFmtId="0" fontId="101" fillId="40" borderId="0" xfId="0" applyFont="1" applyFill="1" applyAlignment="1">
      <alignment horizontal="center"/>
    </xf>
    <xf numFmtId="0" fontId="101" fillId="38" borderId="0" xfId="0" applyFont="1" applyFill="1" applyAlignment="1">
      <alignment horizontal="center"/>
    </xf>
    <xf numFmtId="0" fontId="87" fillId="30" borderId="0" xfId="0" applyFont="1" applyFill="1" applyAlignment="1">
      <alignment horizontal="center"/>
    </xf>
    <xf numFmtId="0" fontId="82" fillId="47" borderId="0" xfId="1" applyFont="1" applyFill="1" applyBorder="1" applyAlignment="1">
      <alignment horizontal="center" vertical="center"/>
    </xf>
    <xf numFmtId="0" fontId="129" fillId="47" borderId="0" xfId="1" applyFont="1" applyFill="1" applyAlignment="1">
      <alignment horizontal="center" vertical="center" textRotation="90"/>
    </xf>
    <xf numFmtId="164" fontId="87" fillId="47" borderId="0" xfId="1" applyNumberFormat="1" applyFont="1" applyFill="1" applyAlignment="1">
      <alignment horizontal="center" vertical="center"/>
    </xf>
    <xf numFmtId="43" fontId="110" fillId="23" borderId="27" xfId="6" applyFont="1" applyFill="1" applyBorder="1" applyAlignment="1">
      <alignment horizontal="left" vertical="center" wrapText="1" indent="1"/>
    </xf>
    <xf numFmtId="43" fontId="110" fillId="23" borderId="28" xfId="6" applyFont="1" applyFill="1" applyBorder="1" applyAlignment="1">
      <alignment horizontal="left" vertical="center" wrapText="1" indent="1"/>
    </xf>
    <xf numFmtId="43" fontId="110" fillId="23" borderId="43" xfId="6" applyFont="1" applyFill="1" applyBorder="1" applyAlignment="1">
      <alignment horizontal="left" vertical="center" wrapText="1" indent="1"/>
    </xf>
    <xf numFmtId="43" fontId="107" fillId="22" borderId="27" xfId="6" applyFont="1" applyFill="1" applyBorder="1" applyAlignment="1">
      <alignment horizontal="center" vertical="center" wrapText="1"/>
    </xf>
    <xf numFmtId="43" fontId="107" fillId="22" borderId="28" xfId="6" applyFont="1" applyFill="1" applyBorder="1" applyAlignment="1">
      <alignment horizontal="center" vertical="center" wrapText="1"/>
    </xf>
    <xf numFmtId="0" fontId="87" fillId="22" borderId="25" xfId="5" applyFont="1" applyFill="1" applyBorder="1" applyAlignment="1">
      <alignment horizontal="center" vertical="center" wrapText="1"/>
    </xf>
    <xf numFmtId="0" fontId="87" fillId="22" borderId="34" xfId="5" applyFont="1" applyFill="1" applyBorder="1" applyAlignment="1">
      <alignment horizontal="center" vertical="center" wrapText="1"/>
    </xf>
    <xf numFmtId="0" fontId="87" fillId="22" borderId="26" xfId="5" applyFont="1" applyFill="1" applyBorder="1" applyAlignment="1">
      <alignment horizontal="center" vertical="center" wrapText="1"/>
    </xf>
    <xf numFmtId="43" fontId="110" fillId="9" borderId="24" xfId="6" applyFont="1" applyFill="1" applyBorder="1" applyAlignment="1">
      <alignment horizontal="left" vertical="center"/>
    </xf>
    <xf numFmtId="43" fontId="110" fillId="9" borderId="0" xfId="6" applyFont="1" applyFill="1" applyAlignment="1">
      <alignment horizontal="left" vertical="center"/>
    </xf>
    <xf numFmtId="43" fontId="101" fillId="9" borderId="24" xfId="6" applyFont="1" applyFill="1" applyBorder="1" applyAlignment="1">
      <alignment horizontal="left" vertical="center" wrapText="1" indent="1"/>
    </xf>
    <xf numFmtId="43" fontId="101" fillId="9" borderId="0" xfId="6" applyFont="1" applyFill="1" applyAlignment="1">
      <alignment horizontal="left" vertical="center" wrapText="1" indent="1"/>
    </xf>
    <xf numFmtId="43" fontId="87" fillId="21" borderId="24" xfId="6" applyFont="1" applyFill="1" applyBorder="1" applyAlignment="1">
      <alignment horizontal="center" vertical="center" wrapText="1"/>
    </xf>
    <xf numFmtId="43" fontId="87" fillId="21" borderId="0" xfId="6" applyFont="1" applyFill="1" applyAlignment="1">
      <alignment horizontal="center" vertical="center" wrapText="1"/>
    </xf>
    <xf numFmtId="43" fontId="87" fillId="21" borderId="32" xfId="6" applyFont="1" applyFill="1" applyBorder="1" applyAlignment="1">
      <alignment horizontal="center" vertical="center" wrapText="1"/>
    </xf>
    <xf numFmtId="43" fontId="101" fillId="9" borderId="37" xfId="6" applyFont="1" applyFill="1" applyBorder="1" applyAlignment="1">
      <alignment horizontal="left" vertical="center" wrapText="1" indent="1"/>
    </xf>
    <xf numFmtId="43" fontId="110" fillId="9" borderId="24" xfId="6" applyFont="1" applyFill="1" applyBorder="1" applyAlignment="1">
      <alignment horizontal="left" vertical="center" wrapText="1" indent="1"/>
    </xf>
    <xf numFmtId="43" fontId="110" fillId="9" borderId="0" xfId="6" applyFont="1" applyFill="1" applyAlignment="1">
      <alignment horizontal="left" vertical="center" wrapText="1" indent="1"/>
    </xf>
    <xf numFmtId="43" fontId="110" fillId="9" borderId="37" xfId="6" applyFont="1" applyFill="1" applyBorder="1" applyAlignment="1">
      <alignment horizontal="left" vertical="center" wrapText="1" indent="1"/>
    </xf>
    <xf numFmtId="43" fontId="107" fillId="9" borderId="24" xfId="6" applyFont="1" applyFill="1" applyBorder="1" applyAlignment="1">
      <alignment horizontal="left" vertical="center" wrapText="1" indent="1"/>
    </xf>
    <xf numFmtId="43" fontId="107" fillId="9" borderId="0" xfId="6" applyFont="1" applyFill="1" applyAlignment="1">
      <alignment horizontal="left" vertical="center" wrapText="1" indent="1"/>
    </xf>
    <xf numFmtId="43" fontId="101" fillId="23" borderId="42" xfId="6" applyFont="1" applyFill="1" applyBorder="1" applyAlignment="1">
      <alignment horizontal="left" vertical="center" wrapText="1" indent="1"/>
    </xf>
    <xf numFmtId="43" fontId="101" fillId="23" borderId="37" xfId="6" applyFont="1" applyFill="1" applyBorder="1" applyAlignment="1">
      <alignment horizontal="left" vertical="center" wrapText="1" indent="1"/>
    </xf>
    <xf numFmtId="43" fontId="101" fillId="23" borderId="24" xfId="6" applyFont="1" applyFill="1" applyBorder="1" applyAlignment="1">
      <alignment horizontal="left" vertical="center" wrapText="1"/>
    </xf>
    <xf numFmtId="43" fontId="101" fillId="23" borderId="0" xfId="6" applyFont="1" applyFill="1" applyAlignment="1">
      <alignment horizontal="left" vertical="center" wrapText="1"/>
    </xf>
    <xf numFmtId="43" fontId="101" fillId="23" borderId="37" xfId="6" applyFont="1" applyFill="1" applyBorder="1" applyAlignment="1">
      <alignment horizontal="left" vertical="center" wrapText="1"/>
    </xf>
    <xf numFmtId="43" fontId="110" fillId="9" borderId="24" xfId="6" applyFont="1" applyFill="1" applyBorder="1" applyAlignment="1">
      <alignment horizontal="left" vertical="center" indent="1"/>
    </xf>
    <xf numFmtId="43" fontId="110" fillId="9" borderId="0" xfId="6" applyFont="1" applyFill="1" applyAlignment="1">
      <alignment horizontal="left" vertical="center" indent="1"/>
    </xf>
    <xf numFmtId="43" fontId="101" fillId="19" borderId="24" xfId="6" applyFont="1" applyFill="1" applyBorder="1" applyAlignment="1">
      <alignment horizontal="left" vertical="center" wrapText="1" indent="1"/>
    </xf>
    <xf numFmtId="43" fontId="101" fillId="19" borderId="0" xfId="6" applyFont="1" applyFill="1" applyAlignment="1">
      <alignment horizontal="left" vertical="center" wrapText="1" indent="1"/>
    </xf>
    <xf numFmtId="43" fontId="87" fillId="22" borderId="24" xfId="6" applyFont="1" applyFill="1" applyBorder="1" applyAlignment="1">
      <alignment horizontal="center" vertical="center" wrapText="1"/>
    </xf>
    <xf numFmtId="43" fontId="87" fillId="22" borderId="0" xfId="6" applyFont="1" applyFill="1" applyAlignment="1">
      <alignment horizontal="center" vertical="center" wrapText="1"/>
    </xf>
    <xf numFmtId="43" fontId="87" fillId="22" borderId="32" xfId="6" applyFont="1" applyFill="1" applyBorder="1" applyAlignment="1">
      <alignment horizontal="center" vertical="center" wrapText="1"/>
    </xf>
    <xf numFmtId="43" fontId="101" fillId="23" borderId="24" xfId="6" applyFont="1" applyFill="1" applyBorder="1" applyAlignment="1">
      <alignment horizontal="left" vertical="center" wrapText="1" indent="1"/>
    </xf>
    <xf numFmtId="43" fontId="101" fillId="23" borderId="0" xfId="6" applyFont="1" applyFill="1" applyAlignment="1">
      <alignment horizontal="left" vertical="center" wrapText="1" indent="1"/>
    </xf>
    <xf numFmtId="43" fontId="109" fillId="23" borderId="24" xfId="6" applyFont="1" applyFill="1" applyBorder="1" applyAlignment="1">
      <alignment horizontal="left" vertical="center" wrapText="1" indent="1"/>
    </xf>
    <xf numFmtId="0" fontId="107" fillId="22" borderId="24" xfId="5" applyFont="1" applyFill="1" applyBorder="1" applyAlignment="1">
      <alignment horizontal="center" vertical="center" wrapText="1"/>
    </xf>
    <xf numFmtId="0" fontId="107" fillId="22" borderId="0" xfId="5" applyFont="1" applyFill="1" applyAlignment="1">
      <alignment horizontal="center" vertical="center" wrapText="1"/>
    </xf>
    <xf numFmtId="0" fontId="107" fillId="22" borderId="32" xfId="5" applyFont="1" applyFill="1" applyBorder="1" applyAlignment="1">
      <alignment horizontal="center" vertical="center" wrapText="1"/>
    </xf>
    <xf numFmtId="0" fontId="101" fillId="9" borderId="24" xfId="5" applyFont="1" applyFill="1" applyBorder="1" applyAlignment="1">
      <alignment horizontal="left" vertical="center" wrapText="1" indent="1"/>
    </xf>
    <xf numFmtId="0" fontId="101" fillId="9" borderId="0" xfId="5" applyFont="1" applyFill="1" applyAlignment="1">
      <alignment horizontal="left" vertical="center" wrapText="1" indent="1"/>
    </xf>
    <xf numFmtId="0" fontId="101" fillId="9" borderId="37" xfId="5" applyFont="1" applyFill="1" applyBorder="1" applyAlignment="1">
      <alignment horizontal="left" vertical="center" wrapText="1" indent="1"/>
    </xf>
    <xf numFmtId="0" fontId="107" fillId="21" borderId="24" xfId="5" applyFont="1" applyFill="1" applyBorder="1" applyAlignment="1">
      <alignment horizontal="center" vertical="center" wrapText="1"/>
    </xf>
    <xf numFmtId="0" fontId="107" fillId="21" borderId="0" xfId="5" applyFont="1" applyFill="1" applyAlignment="1">
      <alignment horizontal="center" vertical="center" wrapText="1"/>
    </xf>
    <xf numFmtId="0" fontId="107" fillId="21" borderId="32" xfId="5" applyFont="1" applyFill="1" applyBorder="1" applyAlignment="1">
      <alignment horizontal="center" vertical="center" wrapText="1"/>
    </xf>
    <xf numFmtId="0" fontId="101" fillId="23" borderId="24" xfId="5" applyFont="1" applyFill="1" applyBorder="1" applyAlignment="1">
      <alignment horizontal="left" vertical="center" wrapText="1" indent="1"/>
    </xf>
    <xf numFmtId="0" fontId="101" fillId="23" borderId="0" xfId="5" applyFont="1" applyFill="1" applyAlignment="1">
      <alignment horizontal="left" vertical="center" wrapText="1" indent="1"/>
    </xf>
    <xf numFmtId="0" fontId="101" fillId="23" borderId="37" xfId="5" applyFont="1" applyFill="1" applyBorder="1" applyAlignment="1">
      <alignment horizontal="left" vertical="center" wrapText="1" indent="1"/>
    </xf>
    <xf numFmtId="43" fontId="109" fillId="9" borderId="24" xfId="6" applyFont="1" applyFill="1" applyBorder="1" applyAlignment="1">
      <alignment horizontal="left" vertical="center" wrapText="1" indent="1"/>
    </xf>
    <xf numFmtId="0" fontId="106" fillId="22" borderId="25" xfId="5" applyFont="1" applyFill="1" applyBorder="1" applyAlignment="1">
      <alignment horizontal="center" vertical="center" wrapText="1"/>
    </xf>
    <xf numFmtId="0" fontId="106" fillId="22" borderId="34" xfId="5" applyFont="1" applyFill="1" applyBorder="1" applyAlignment="1">
      <alignment horizontal="center" vertical="center" wrapText="1"/>
    </xf>
    <xf numFmtId="0" fontId="106" fillId="22" borderId="26" xfId="5" applyFont="1" applyFill="1" applyBorder="1" applyAlignment="1">
      <alignment horizontal="center" vertical="center" wrapText="1"/>
    </xf>
    <xf numFmtId="0" fontId="106" fillId="22" borderId="24" xfId="5" applyFont="1" applyFill="1" applyBorder="1" applyAlignment="1">
      <alignment horizontal="center" vertical="center" wrapText="1"/>
    </xf>
    <xf numFmtId="0" fontId="106" fillId="22" borderId="0" xfId="5" applyFont="1" applyFill="1" applyAlignment="1">
      <alignment horizontal="center" vertical="center" wrapText="1"/>
    </xf>
    <xf numFmtId="0" fontId="106" fillId="22" borderId="32" xfId="5" applyFont="1" applyFill="1" applyBorder="1" applyAlignment="1">
      <alignment horizontal="center" vertical="center" wrapText="1"/>
    </xf>
    <xf numFmtId="0" fontId="107" fillId="22" borderId="25" xfId="5" applyFont="1" applyFill="1" applyBorder="1" applyAlignment="1">
      <alignment horizontal="center" vertical="center" wrapText="1"/>
    </xf>
    <xf numFmtId="0" fontId="107" fillId="22" borderId="34" xfId="5" applyFont="1" applyFill="1" applyBorder="1" applyAlignment="1">
      <alignment horizontal="center" vertical="center" wrapText="1"/>
    </xf>
    <xf numFmtId="0" fontId="107" fillId="22" borderId="26" xfId="5" applyFont="1" applyFill="1" applyBorder="1" applyAlignment="1">
      <alignment horizontal="center" vertical="center" wrapText="1"/>
    </xf>
    <xf numFmtId="0" fontId="101" fillId="0" borderId="24" xfId="5" applyFont="1" applyBorder="1" applyAlignment="1">
      <alignment horizontal="left" vertical="center" wrapText="1"/>
    </xf>
    <xf numFmtId="0" fontId="101" fillId="0" borderId="0" xfId="5" applyFont="1" applyAlignment="1">
      <alignment horizontal="left" vertical="center" wrapText="1"/>
    </xf>
    <xf numFmtId="0" fontId="116" fillId="45" borderId="0" xfId="1" applyFont="1" applyFill="1" applyAlignment="1">
      <alignment horizontal="center" vertical="center" textRotation="90"/>
    </xf>
    <xf numFmtId="0" fontId="113" fillId="45" borderId="0" xfId="1" applyFont="1" applyFill="1" applyBorder="1" applyAlignment="1">
      <alignment horizontal="center" vertical="center"/>
    </xf>
    <xf numFmtId="0" fontId="47" fillId="24" borderId="49" xfId="0" applyFont="1" applyFill="1" applyBorder="1" applyAlignment="1">
      <alignment horizontal="center" vertical="center"/>
    </xf>
    <xf numFmtId="0" fontId="47" fillId="24" borderId="64" xfId="0" applyFont="1" applyFill="1" applyBorder="1" applyAlignment="1">
      <alignment horizontal="center" vertical="center"/>
    </xf>
    <xf numFmtId="0" fontId="47" fillId="24" borderId="50" xfId="0" applyFont="1" applyFill="1" applyBorder="1" applyAlignment="1">
      <alignment horizontal="center" vertical="center"/>
    </xf>
    <xf numFmtId="0" fontId="88" fillId="24" borderId="0" xfId="1" applyFont="1" applyFill="1" applyBorder="1" applyAlignment="1">
      <alignment horizontal="center" vertical="center" textRotation="90"/>
    </xf>
    <xf numFmtId="8" fontId="87" fillId="24" borderId="0" xfId="1" applyNumberFormat="1" applyFont="1" applyFill="1" applyBorder="1" applyAlignment="1">
      <alignment horizontal="center" vertical="center"/>
    </xf>
    <xf numFmtId="0" fontId="82" fillId="24" borderId="0" xfId="1" applyFont="1" applyFill="1" applyBorder="1" applyAlignment="1">
      <alignment horizontal="center" vertical="center"/>
    </xf>
    <xf numFmtId="0" fontId="88" fillId="24" borderId="0" xfId="1" applyFont="1" applyFill="1" applyAlignment="1">
      <alignment horizontal="center" vertical="center" textRotation="90"/>
    </xf>
    <xf numFmtId="6" fontId="51" fillId="35" borderId="0" xfId="0" applyNumberFormat="1" applyFont="1" applyFill="1" applyAlignment="1">
      <alignment horizontal="center" vertical="top"/>
    </xf>
    <xf numFmtId="6" fontId="50" fillId="35" borderId="0" xfId="0" applyNumberFormat="1" applyFont="1" applyFill="1" applyAlignment="1">
      <alignment horizontal="center" vertical="top"/>
    </xf>
    <xf numFmtId="8" fontId="53" fillId="35" borderId="0" xfId="0" applyNumberFormat="1" applyFont="1" applyFill="1" applyAlignment="1">
      <alignment horizontal="center" vertical="top"/>
    </xf>
    <xf numFmtId="0" fontId="63" fillId="30" borderId="0" xfId="0" applyFont="1" applyFill="1" applyAlignment="1">
      <alignment vertical="top"/>
    </xf>
    <xf numFmtId="8" fontId="52" fillId="35" borderId="0" xfId="0" applyNumberFormat="1" applyFont="1" applyFill="1" applyAlignment="1">
      <alignment horizontal="center" vertical="top"/>
    </xf>
    <xf numFmtId="8" fontId="49" fillId="35" borderId="0" xfId="0" applyNumberFormat="1" applyFont="1" applyFill="1" applyAlignment="1">
      <alignment horizontal="center" vertical="top"/>
    </xf>
    <xf numFmtId="0" fontId="32" fillId="15" borderId="0" xfId="1" applyFont="1" applyFill="1" applyAlignment="1">
      <alignment horizontal="center" vertical="center"/>
    </xf>
    <xf numFmtId="165" fontId="13" fillId="9" borderId="0" xfId="1" applyNumberFormat="1" applyFont="1" applyFill="1" applyAlignment="1">
      <alignment horizontal="center" vertical="center"/>
    </xf>
    <xf numFmtId="0" fontId="13" fillId="9" borderId="0" xfId="1" applyFont="1" applyFill="1" applyAlignment="1">
      <alignment horizontal="center" vertical="center"/>
    </xf>
    <xf numFmtId="0" fontId="8" fillId="16" borderId="14" xfId="1" applyFont="1" applyFill="1" applyBorder="1" applyAlignment="1">
      <alignment horizontal="center" vertical="center"/>
    </xf>
    <xf numFmtId="165" fontId="18" fillId="16" borderId="18" xfId="1" applyNumberFormat="1" applyFont="1" applyFill="1" applyBorder="1" applyAlignment="1">
      <alignment horizontal="center" vertical="center"/>
    </xf>
    <xf numFmtId="165" fontId="18" fillId="16" borderId="19" xfId="1" applyNumberFormat="1" applyFont="1" applyFill="1" applyBorder="1" applyAlignment="1">
      <alignment horizontal="center" vertical="center"/>
    </xf>
    <xf numFmtId="165" fontId="18" fillId="16" borderId="20" xfId="1" applyNumberFormat="1" applyFont="1" applyFill="1" applyBorder="1" applyAlignment="1">
      <alignment horizontal="center" vertical="center"/>
    </xf>
    <xf numFmtId="0" fontId="15" fillId="16" borderId="14" xfId="1" applyFont="1" applyFill="1" applyBorder="1" applyAlignment="1">
      <alignment horizontal="center" vertical="center"/>
    </xf>
    <xf numFmtId="0" fontId="15" fillId="16" borderId="15" xfId="1" applyFont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165" fontId="13" fillId="3" borderId="0" xfId="1" applyNumberFormat="1" applyFont="1" applyFill="1" applyAlignment="1">
      <alignment horizontal="center" vertical="center"/>
    </xf>
    <xf numFmtId="0" fontId="15" fillId="4" borderId="0" xfId="1" applyFont="1" applyFill="1" applyAlignment="1">
      <alignment horizontal="center" vertical="center"/>
    </xf>
    <xf numFmtId="8" fontId="18" fillId="4" borderId="0" xfId="1" applyNumberFormat="1" applyFont="1" applyFill="1" applyAlignment="1">
      <alignment horizontal="center" vertical="center"/>
    </xf>
    <xf numFmtId="0" fontId="24" fillId="9" borderId="1" xfId="1" applyFont="1" applyFill="1" applyBorder="1" applyAlignment="1">
      <alignment horizontal="center" vertical="center"/>
    </xf>
    <xf numFmtId="0" fontId="24" fillId="9" borderId="2" xfId="1" applyFont="1" applyFill="1" applyBorder="1" applyAlignment="1">
      <alignment horizontal="center" vertical="center"/>
    </xf>
    <xf numFmtId="0" fontId="24" fillId="9" borderId="3" xfId="1" applyFont="1" applyFill="1" applyBorder="1" applyAlignment="1">
      <alignment horizontal="center" vertical="center"/>
    </xf>
    <xf numFmtId="0" fontId="24" fillId="9" borderId="4" xfId="1" applyFont="1" applyFill="1" applyBorder="1" applyAlignment="1">
      <alignment horizontal="center" vertical="center"/>
    </xf>
    <xf numFmtId="0" fontId="24" fillId="9" borderId="0" xfId="1" applyFont="1" applyFill="1" applyAlignment="1">
      <alignment horizontal="center" vertical="center"/>
    </xf>
    <xf numFmtId="0" fontId="24" fillId="9" borderId="5" xfId="1" applyFont="1" applyFill="1" applyBorder="1" applyAlignment="1">
      <alignment horizontal="center" vertical="center"/>
    </xf>
    <xf numFmtId="0" fontId="24" fillId="9" borderId="6" xfId="1" applyFont="1" applyFill="1" applyBorder="1" applyAlignment="1">
      <alignment horizontal="center" vertical="center"/>
    </xf>
    <xf numFmtId="0" fontId="24" fillId="9" borderId="7" xfId="1" applyFont="1" applyFill="1" applyBorder="1" applyAlignment="1">
      <alignment horizontal="center" vertical="center"/>
    </xf>
    <xf numFmtId="0" fontId="24" fillId="9" borderId="8" xfId="1" applyFont="1" applyFill="1" applyBorder="1" applyAlignment="1">
      <alignment horizontal="center" vertical="center"/>
    </xf>
    <xf numFmtId="0" fontId="8" fillId="14" borderId="10" xfId="1" applyFont="1" applyFill="1" applyBorder="1" applyAlignment="1">
      <alignment horizontal="center" vertical="center"/>
    </xf>
    <xf numFmtId="0" fontId="8" fillId="14" borderId="11" xfId="1" applyFont="1" applyFill="1" applyBorder="1" applyAlignment="1">
      <alignment horizontal="center" vertical="center"/>
    </xf>
    <xf numFmtId="0" fontId="15" fillId="14" borderId="6" xfId="1" applyFont="1" applyFill="1" applyBorder="1" applyAlignment="1">
      <alignment horizontal="center" vertical="center"/>
    </xf>
    <xf numFmtId="0" fontId="15" fillId="14" borderId="7" xfId="1" applyFont="1" applyFill="1" applyBorder="1" applyAlignment="1">
      <alignment horizontal="center" vertical="center"/>
    </xf>
    <xf numFmtId="8" fontId="18" fillId="14" borderId="9" xfId="1" applyNumberFormat="1" applyFont="1" applyFill="1" applyBorder="1" applyAlignment="1">
      <alignment horizontal="center" vertical="center"/>
    </xf>
    <xf numFmtId="8" fontId="18" fillId="14" borderId="10" xfId="1" applyNumberFormat="1" applyFont="1" applyFill="1" applyBorder="1" applyAlignment="1">
      <alignment horizontal="center" vertical="center"/>
    </xf>
    <xf numFmtId="8" fontId="18" fillId="14" borderId="11" xfId="1" applyNumberFormat="1" applyFont="1" applyFill="1" applyBorder="1" applyAlignment="1">
      <alignment horizontal="center" vertical="center"/>
    </xf>
    <xf numFmtId="2" fontId="132" fillId="0" borderId="32" xfId="0" applyNumberFormat="1" applyFont="1" applyBorder="1"/>
    <xf numFmtId="0" fontId="90" fillId="57" borderId="140" xfId="0" applyFont="1" applyFill="1" applyBorder="1" applyAlignment="1">
      <alignment horizontal="right"/>
    </xf>
    <xf numFmtId="0" fontId="90" fillId="58" borderId="140" xfId="0" applyFont="1" applyFill="1" applyBorder="1" applyAlignment="1">
      <alignment horizontal="right"/>
    </xf>
    <xf numFmtId="0" fontId="90" fillId="57" borderId="0" xfId="0" applyFont="1" applyFill="1" applyAlignment="1">
      <alignment horizontal="center" vertical="center"/>
    </xf>
  </cellXfs>
  <cellStyles count="9">
    <cellStyle name="Bueno" xfId="3" builtinId="26"/>
    <cellStyle name="Énfasis5" xfId="1" builtinId="45" customBuiltin="1"/>
    <cellStyle name="Incorrecto" xfId="4" builtinId="27"/>
    <cellStyle name="Millares" xfId="6" builtinId="3"/>
    <cellStyle name="Moneda" xfId="8" builtinId="4"/>
    <cellStyle name="Normal" xfId="0" builtinId="0"/>
    <cellStyle name="Normal 2" xfId="2" xr:uid="{00000000-0005-0000-0000-000004000000}"/>
    <cellStyle name="Normal 3" xfId="5" xr:uid="{A1F1E275-9BAB-4EF3-B629-6ACA71335BCA}"/>
    <cellStyle name="Porcentaje" xfId="7" builtinId="5"/>
  </cellStyles>
  <dxfs count="7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8000"/>
      </font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8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8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8000"/>
      </font>
    </dxf>
    <dxf>
      <font>
        <b/>
        <i val="0"/>
        <color theme="0"/>
      </font>
      <fill>
        <patternFill>
          <bgColor rgb="FF33CC33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33CC33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33CC33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33CC33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33CC33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33CC33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33CC33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CC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8000"/>
      </font>
    </dxf>
    <dxf>
      <font>
        <color rgb="FF008000"/>
      </font>
      <fill>
        <patternFill>
          <bgColor rgb="FFACB9CA"/>
        </patternFill>
      </fill>
    </dxf>
    <dxf>
      <font>
        <color rgb="FFFF0000"/>
      </font>
      <fill>
        <patternFill>
          <bgColor rgb="FFACB9CA"/>
        </patternFill>
      </fill>
    </dxf>
  </dxfs>
  <tableStyles count="0" defaultTableStyle="TableStyleMedium2" defaultPivotStyle="PivotStyleLight16"/>
  <colors>
    <mruColors>
      <color rgb="FFFFCCFF"/>
      <color rgb="FFFF0066"/>
      <color rgb="FF000066"/>
      <color rgb="FFACB9CA"/>
      <color rgb="FFFFFF99"/>
      <color rgb="FFDAD500"/>
      <color rgb="FFFFFDAF"/>
      <color rgb="FFB4B000"/>
      <color rgb="FFF4EE00"/>
      <color rgb="FFB108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eetMetadata" Target="metadata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031811663664674E-2"/>
          <c:y val="2.4546012968447568E-2"/>
          <c:w val="0.9260941208188066"/>
          <c:h val="0.89803319141040649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rgbClr val="00CC99"/>
              </a:solidFill>
              <a:miter lim="800000"/>
            </a:ln>
            <a:effectLst>
              <a:glow rad="63500">
                <a:srgbClr val="00CC99">
                  <a:alpha val="25000"/>
                </a:srgbClr>
              </a:glow>
            </a:effectLst>
          </c:spPr>
          <c:invertIfNegative val="1"/>
          <c:cat>
            <c:numRef>
              <c:f>'Ahorro BBVA'!$A$8:$A$178</c:f>
              <c:numCache>
                <c:formatCode>[$-C0A]mmmyy;@</c:formatCode>
                <c:ptCount val="171"/>
                <c:pt idx="0">
                  <c:v>46357</c:v>
                </c:pt>
                <c:pt idx="1">
                  <c:v>46327</c:v>
                </c:pt>
                <c:pt idx="2">
                  <c:v>46296</c:v>
                </c:pt>
                <c:pt idx="3">
                  <c:v>46266</c:v>
                </c:pt>
                <c:pt idx="4">
                  <c:v>46235</c:v>
                </c:pt>
                <c:pt idx="5">
                  <c:v>46204</c:v>
                </c:pt>
                <c:pt idx="6">
                  <c:v>46174</c:v>
                </c:pt>
                <c:pt idx="7">
                  <c:v>46143</c:v>
                </c:pt>
                <c:pt idx="8">
                  <c:v>46113</c:v>
                </c:pt>
                <c:pt idx="9">
                  <c:v>46082</c:v>
                </c:pt>
                <c:pt idx="10">
                  <c:v>46054</c:v>
                </c:pt>
                <c:pt idx="11">
                  <c:v>46023</c:v>
                </c:pt>
                <c:pt idx="12">
                  <c:v>45992</c:v>
                </c:pt>
                <c:pt idx="13">
                  <c:v>45962</c:v>
                </c:pt>
                <c:pt idx="14">
                  <c:v>45931</c:v>
                </c:pt>
                <c:pt idx="15">
                  <c:v>45901</c:v>
                </c:pt>
                <c:pt idx="16">
                  <c:v>45870</c:v>
                </c:pt>
                <c:pt idx="17">
                  <c:v>45839</c:v>
                </c:pt>
                <c:pt idx="18">
                  <c:v>45809</c:v>
                </c:pt>
                <c:pt idx="19">
                  <c:v>45778</c:v>
                </c:pt>
                <c:pt idx="20">
                  <c:v>45748</c:v>
                </c:pt>
                <c:pt idx="21">
                  <c:v>45717</c:v>
                </c:pt>
                <c:pt idx="22">
                  <c:v>45689</c:v>
                </c:pt>
                <c:pt idx="23">
                  <c:v>45658</c:v>
                </c:pt>
                <c:pt idx="24">
                  <c:v>45627</c:v>
                </c:pt>
                <c:pt idx="25">
                  <c:v>45597</c:v>
                </c:pt>
                <c:pt idx="26">
                  <c:v>45566</c:v>
                </c:pt>
                <c:pt idx="27">
                  <c:v>45536</c:v>
                </c:pt>
                <c:pt idx="28">
                  <c:v>45505</c:v>
                </c:pt>
                <c:pt idx="29">
                  <c:v>45474</c:v>
                </c:pt>
                <c:pt idx="30">
                  <c:v>45444</c:v>
                </c:pt>
                <c:pt idx="31">
                  <c:v>45413</c:v>
                </c:pt>
                <c:pt idx="32">
                  <c:v>45383</c:v>
                </c:pt>
                <c:pt idx="33">
                  <c:v>45352</c:v>
                </c:pt>
                <c:pt idx="34">
                  <c:v>45323</c:v>
                </c:pt>
                <c:pt idx="35">
                  <c:v>45292</c:v>
                </c:pt>
                <c:pt idx="36">
                  <c:v>45261</c:v>
                </c:pt>
                <c:pt idx="37">
                  <c:v>45231</c:v>
                </c:pt>
                <c:pt idx="38">
                  <c:v>45200</c:v>
                </c:pt>
                <c:pt idx="39">
                  <c:v>45170</c:v>
                </c:pt>
                <c:pt idx="40">
                  <c:v>45139</c:v>
                </c:pt>
                <c:pt idx="41">
                  <c:v>45108</c:v>
                </c:pt>
                <c:pt idx="42">
                  <c:v>45078</c:v>
                </c:pt>
                <c:pt idx="43">
                  <c:v>45047</c:v>
                </c:pt>
                <c:pt idx="44">
                  <c:v>45017</c:v>
                </c:pt>
                <c:pt idx="45">
                  <c:v>44986</c:v>
                </c:pt>
                <c:pt idx="46">
                  <c:v>44958</c:v>
                </c:pt>
                <c:pt idx="47">
                  <c:v>44927</c:v>
                </c:pt>
                <c:pt idx="48">
                  <c:v>44896</c:v>
                </c:pt>
                <c:pt idx="49">
                  <c:v>44866</c:v>
                </c:pt>
                <c:pt idx="50">
                  <c:v>44835</c:v>
                </c:pt>
                <c:pt idx="51">
                  <c:v>44805</c:v>
                </c:pt>
                <c:pt idx="52">
                  <c:v>44774</c:v>
                </c:pt>
                <c:pt idx="53">
                  <c:v>44743</c:v>
                </c:pt>
                <c:pt idx="54">
                  <c:v>44713</c:v>
                </c:pt>
                <c:pt idx="55">
                  <c:v>44682</c:v>
                </c:pt>
                <c:pt idx="56">
                  <c:v>44652</c:v>
                </c:pt>
                <c:pt idx="57">
                  <c:v>44621</c:v>
                </c:pt>
                <c:pt idx="58">
                  <c:v>44593</c:v>
                </c:pt>
                <c:pt idx="59">
                  <c:v>44562</c:v>
                </c:pt>
                <c:pt idx="60">
                  <c:v>44531</c:v>
                </c:pt>
                <c:pt idx="61">
                  <c:v>44501</c:v>
                </c:pt>
                <c:pt idx="62">
                  <c:v>44470</c:v>
                </c:pt>
                <c:pt idx="63">
                  <c:v>44440</c:v>
                </c:pt>
                <c:pt idx="64">
                  <c:v>44409</c:v>
                </c:pt>
                <c:pt idx="65">
                  <c:v>44378</c:v>
                </c:pt>
                <c:pt idx="66">
                  <c:v>44348</c:v>
                </c:pt>
                <c:pt idx="67">
                  <c:v>44317</c:v>
                </c:pt>
                <c:pt idx="68">
                  <c:v>44287</c:v>
                </c:pt>
                <c:pt idx="69">
                  <c:v>44256</c:v>
                </c:pt>
                <c:pt idx="70">
                  <c:v>44228</c:v>
                </c:pt>
                <c:pt idx="71">
                  <c:v>44197</c:v>
                </c:pt>
                <c:pt idx="72">
                  <c:v>44166</c:v>
                </c:pt>
                <c:pt idx="73">
                  <c:v>44136</c:v>
                </c:pt>
                <c:pt idx="74">
                  <c:v>44105</c:v>
                </c:pt>
                <c:pt idx="75">
                  <c:v>44075</c:v>
                </c:pt>
                <c:pt idx="76">
                  <c:v>44044</c:v>
                </c:pt>
                <c:pt idx="77">
                  <c:v>44013</c:v>
                </c:pt>
                <c:pt idx="78">
                  <c:v>43983</c:v>
                </c:pt>
                <c:pt idx="79">
                  <c:v>43952</c:v>
                </c:pt>
                <c:pt idx="80">
                  <c:v>43922</c:v>
                </c:pt>
                <c:pt idx="81">
                  <c:v>43891</c:v>
                </c:pt>
                <c:pt idx="82">
                  <c:v>43862</c:v>
                </c:pt>
                <c:pt idx="83">
                  <c:v>43831</c:v>
                </c:pt>
                <c:pt idx="84">
                  <c:v>43800</c:v>
                </c:pt>
                <c:pt idx="85">
                  <c:v>43770</c:v>
                </c:pt>
                <c:pt idx="86">
                  <c:v>43739</c:v>
                </c:pt>
                <c:pt idx="87">
                  <c:v>43709</c:v>
                </c:pt>
                <c:pt idx="88">
                  <c:v>43678</c:v>
                </c:pt>
                <c:pt idx="89">
                  <c:v>43647</c:v>
                </c:pt>
                <c:pt idx="90">
                  <c:v>43617</c:v>
                </c:pt>
                <c:pt idx="91">
                  <c:v>43586</c:v>
                </c:pt>
                <c:pt idx="92">
                  <c:v>43556</c:v>
                </c:pt>
                <c:pt idx="93">
                  <c:v>43525</c:v>
                </c:pt>
                <c:pt idx="94">
                  <c:v>43497</c:v>
                </c:pt>
                <c:pt idx="95">
                  <c:v>43466</c:v>
                </c:pt>
                <c:pt idx="96">
                  <c:v>43435</c:v>
                </c:pt>
                <c:pt idx="97">
                  <c:v>43405</c:v>
                </c:pt>
                <c:pt idx="98">
                  <c:v>43374</c:v>
                </c:pt>
                <c:pt idx="99">
                  <c:v>43344</c:v>
                </c:pt>
                <c:pt idx="100">
                  <c:v>43313</c:v>
                </c:pt>
                <c:pt idx="101">
                  <c:v>43282</c:v>
                </c:pt>
                <c:pt idx="102">
                  <c:v>43252</c:v>
                </c:pt>
                <c:pt idx="103">
                  <c:v>43221</c:v>
                </c:pt>
                <c:pt idx="104">
                  <c:v>43191</c:v>
                </c:pt>
                <c:pt idx="105">
                  <c:v>43160</c:v>
                </c:pt>
                <c:pt idx="106">
                  <c:v>43132</c:v>
                </c:pt>
                <c:pt idx="107">
                  <c:v>43101</c:v>
                </c:pt>
                <c:pt idx="108">
                  <c:v>43070</c:v>
                </c:pt>
                <c:pt idx="109">
                  <c:v>43040</c:v>
                </c:pt>
                <c:pt idx="110">
                  <c:v>43009</c:v>
                </c:pt>
                <c:pt idx="111">
                  <c:v>42979</c:v>
                </c:pt>
                <c:pt idx="112">
                  <c:v>42948</c:v>
                </c:pt>
                <c:pt idx="113">
                  <c:v>42917</c:v>
                </c:pt>
                <c:pt idx="114">
                  <c:v>42887</c:v>
                </c:pt>
                <c:pt idx="115">
                  <c:v>42856</c:v>
                </c:pt>
                <c:pt idx="116">
                  <c:v>42826</c:v>
                </c:pt>
                <c:pt idx="117">
                  <c:v>42795</c:v>
                </c:pt>
                <c:pt idx="118">
                  <c:v>42767</c:v>
                </c:pt>
                <c:pt idx="119">
                  <c:v>42736</c:v>
                </c:pt>
                <c:pt idx="120">
                  <c:v>42705</c:v>
                </c:pt>
                <c:pt idx="121">
                  <c:v>42675</c:v>
                </c:pt>
                <c:pt idx="122">
                  <c:v>42644</c:v>
                </c:pt>
                <c:pt idx="123">
                  <c:v>42614</c:v>
                </c:pt>
                <c:pt idx="124">
                  <c:v>42583</c:v>
                </c:pt>
                <c:pt idx="125">
                  <c:v>42552</c:v>
                </c:pt>
                <c:pt idx="126">
                  <c:v>42522</c:v>
                </c:pt>
                <c:pt idx="127">
                  <c:v>42491</c:v>
                </c:pt>
                <c:pt idx="128">
                  <c:v>42461</c:v>
                </c:pt>
                <c:pt idx="129">
                  <c:v>42430</c:v>
                </c:pt>
                <c:pt idx="130">
                  <c:v>42401</c:v>
                </c:pt>
                <c:pt idx="131">
                  <c:v>42370</c:v>
                </c:pt>
                <c:pt idx="132">
                  <c:v>42339</c:v>
                </c:pt>
                <c:pt idx="133">
                  <c:v>42309</c:v>
                </c:pt>
                <c:pt idx="134">
                  <c:v>42278</c:v>
                </c:pt>
                <c:pt idx="135">
                  <c:v>42248</c:v>
                </c:pt>
                <c:pt idx="136">
                  <c:v>42217</c:v>
                </c:pt>
                <c:pt idx="137">
                  <c:v>42186</c:v>
                </c:pt>
                <c:pt idx="138">
                  <c:v>42156</c:v>
                </c:pt>
                <c:pt idx="139">
                  <c:v>42125</c:v>
                </c:pt>
                <c:pt idx="140">
                  <c:v>42095</c:v>
                </c:pt>
                <c:pt idx="141">
                  <c:v>42064</c:v>
                </c:pt>
                <c:pt idx="142">
                  <c:v>42036</c:v>
                </c:pt>
                <c:pt idx="143">
                  <c:v>42005</c:v>
                </c:pt>
                <c:pt idx="144">
                  <c:v>41974</c:v>
                </c:pt>
                <c:pt idx="145">
                  <c:v>41944</c:v>
                </c:pt>
                <c:pt idx="146">
                  <c:v>41913</c:v>
                </c:pt>
                <c:pt idx="147">
                  <c:v>41883</c:v>
                </c:pt>
                <c:pt idx="148">
                  <c:v>41852</c:v>
                </c:pt>
                <c:pt idx="149">
                  <c:v>41821</c:v>
                </c:pt>
                <c:pt idx="150">
                  <c:v>41791</c:v>
                </c:pt>
                <c:pt idx="151">
                  <c:v>41760</c:v>
                </c:pt>
                <c:pt idx="152">
                  <c:v>41730</c:v>
                </c:pt>
                <c:pt idx="153">
                  <c:v>41699</c:v>
                </c:pt>
                <c:pt idx="154">
                  <c:v>41671</c:v>
                </c:pt>
                <c:pt idx="155">
                  <c:v>41640</c:v>
                </c:pt>
                <c:pt idx="156">
                  <c:v>41609</c:v>
                </c:pt>
                <c:pt idx="157">
                  <c:v>41579</c:v>
                </c:pt>
                <c:pt idx="158">
                  <c:v>41548</c:v>
                </c:pt>
                <c:pt idx="159">
                  <c:v>41518</c:v>
                </c:pt>
                <c:pt idx="160">
                  <c:v>41487</c:v>
                </c:pt>
                <c:pt idx="161">
                  <c:v>41456</c:v>
                </c:pt>
                <c:pt idx="162">
                  <c:v>41426</c:v>
                </c:pt>
                <c:pt idx="163">
                  <c:v>41395</c:v>
                </c:pt>
                <c:pt idx="164">
                  <c:v>41365</c:v>
                </c:pt>
                <c:pt idx="165">
                  <c:v>41334</c:v>
                </c:pt>
                <c:pt idx="166">
                  <c:v>41306</c:v>
                </c:pt>
                <c:pt idx="167">
                  <c:v>41275</c:v>
                </c:pt>
                <c:pt idx="168">
                  <c:v>41244</c:v>
                </c:pt>
                <c:pt idx="169">
                  <c:v>41214</c:v>
                </c:pt>
                <c:pt idx="170">
                  <c:v>41183</c:v>
                </c:pt>
              </c:numCache>
            </c:numRef>
          </c:cat>
          <c:val>
            <c:numRef>
              <c:f>'Ahorro BBVA'!$J$8:$J$178</c:f>
              <c:numCache>
                <c:formatCode>#,##0.00</c:formatCode>
                <c:ptCount val="1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1530.1800000000076</c:v>
                </c:pt>
                <c:pt idx="8">
                  <c:v>-27681.12000000001</c:v>
                </c:pt>
                <c:pt idx="9">
                  <c:v>1968.3600000000151</c:v>
                </c:pt>
                <c:pt idx="10">
                  <c:v>1811.6999999999825</c:v>
                </c:pt>
                <c:pt idx="11">
                  <c:v>1844.179999999993</c:v>
                </c:pt>
                <c:pt idx="12">
                  <c:v>2070.1300000000047</c:v>
                </c:pt>
                <c:pt idx="13">
                  <c:v>1846.4300000000221</c:v>
                </c:pt>
                <c:pt idx="14">
                  <c:v>1696.4099999999744</c:v>
                </c:pt>
                <c:pt idx="15">
                  <c:v>1645.1700000000128</c:v>
                </c:pt>
                <c:pt idx="16">
                  <c:v>-4.6000000000058208</c:v>
                </c:pt>
                <c:pt idx="17">
                  <c:v>-121.88999999998487</c:v>
                </c:pt>
                <c:pt idx="18">
                  <c:v>2203.75</c:v>
                </c:pt>
                <c:pt idx="19">
                  <c:v>1953.1699999999837</c:v>
                </c:pt>
                <c:pt idx="20">
                  <c:v>1834.5400000000081</c:v>
                </c:pt>
                <c:pt idx="21">
                  <c:v>949.92999999999302</c:v>
                </c:pt>
                <c:pt idx="22">
                  <c:v>2472.3399999999965</c:v>
                </c:pt>
                <c:pt idx="23">
                  <c:v>1495.8400000000111</c:v>
                </c:pt>
                <c:pt idx="24">
                  <c:v>3249.0899999999965</c:v>
                </c:pt>
                <c:pt idx="25">
                  <c:v>7467.2400000000052</c:v>
                </c:pt>
                <c:pt idx="26">
                  <c:v>1716.7099999999919</c:v>
                </c:pt>
                <c:pt idx="27">
                  <c:v>1551.9400000000023</c:v>
                </c:pt>
                <c:pt idx="28">
                  <c:v>2716.4400000000023</c:v>
                </c:pt>
                <c:pt idx="29">
                  <c:v>2847.929999999993</c:v>
                </c:pt>
                <c:pt idx="30">
                  <c:v>826.77000000000407</c:v>
                </c:pt>
                <c:pt idx="31">
                  <c:v>1460.2899999999936</c:v>
                </c:pt>
                <c:pt idx="32">
                  <c:v>1955.3600000000151</c:v>
                </c:pt>
                <c:pt idx="33">
                  <c:v>1263.6699999999837</c:v>
                </c:pt>
                <c:pt idx="34">
                  <c:v>1304.2300000000105</c:v>
                </c:pt>
                <c:pt idx="35">
                  <c:v>1415.7200000000012</c:v>
                </c:pt>
                <c:pt idx="36">
                  <c:v>2589.3699999999953</c:v>
                </c:pt>
                <c:pt idx="37">
                  <c:v>1618.1900000000023</c:v>
                </c:pt>
                <c:pt idx="38">
                  <c:v>1254.1100000000006</c:v>
                </c:pt>
                <c:pt idx="39">
                  <c:v>1384.6999999999971</c:v>
                </c:pt>
                <c:pt idx="40">
                  <c:v>1249.8300000000017</c:v>
                </c:pt>
                <c:pt idx="41">
                  <c:v>2684.75</c:v>
                </c:pt>
                <c:pt idx="42">
                  <c:v>1188.4400000000023</c:v>
                </c:pt>
                <c:pt idx="43">
                  <c:v>1176.2899999999936</c:v>
                </c:pt>
                <c:pt idx="44">
                  <c:v>1322.3400000000111</c:v>
                </c:pt>
                <c:pt idx="45">
                  <c:v>1361.8899999999994</c:v>
                </c:pt>
                <c:pt idx="46">
                  <c:v>1408.6399999999994</c:v>
                </c:pt>
                <c:pt idx="47">
                  <c:v>1278.3999999999942</c:v>
                </c:pt>
                <c:pt idx="48">
                  <c:v>2827.9000000000087</c:v>
                </c:pt>
                <c:pt idx="49">
                  <c:v>1359.4799999999959</c:v>
                </c:pt>
                <c:pt idx="50">
                  <c:v>1336.3899999999994</c:v>
                </c:pt>
                <c:pt idx="51">
                  <c:v>1328.4899999999907</c:v>
                </c:pt>
                <c:pt idx="52">
                  <c:v>1349.8100000000122</c:v>
                </c:pt>
                <c:pt idx="53">
                  <c:v>2062.8099999999977</c:v>
                </c:pt>
                <c:pt idx="54">
                  <c:v>1120.0299999999988</c:v>
                </c:pt>
                <c:pt idx="55">
                  <c:v>1323.6399999999994</c:v>
                </c:pt>
                <c:pt idx="56">
                  <c:v>248.58000000000175</c:v>
                </c:pt>
                <c:pt idx="57">
                  <c:v>81.569999999992433</c:v>
                </c:pt>
                <c:pt idx="58">
                  <c:v>22.389999999999418</c:v>
                </c:pt>
                <c:pt idx="59">
                  <c:v>17.400000000008731</c:v>
                </c:pt>
                <c:pt idx="60">
                  <c:v>-61.790000000008149</c:v>
                </c:pt>
                <c:pt idx="61">
                  <c:v>1022.0800000000017</c:v>
                </c:pt>
                <c:pt idx="62">
                  <c:v>756.26000000000931</c:v>
                </c:pt>
                <c:pt idx="63">
                  <c:v>1794.6499999999942</c:v>
                </c:pt>
                <c:pt idx="64">
                  <c:v>1171.0299999999988</c:v>
                </c:pt>
                <c:pt idx="65">
                  <c:v>2440.0500000000029</c:v>
                </c:pt>
                <c:pt idx="66">
                  <c:v>747.39999999999418</c:v>
                </c:pt>
                <c:pt idx="67">
                  <c:v>909.47000000000116</c:v>
                </c:pt>
                <c:pt idx="68">
                  <c:v>1803.25</c:v>
                </c:pt>
                <c:pt idx="69">
                  <c:v>-26.209999999999127</c:v>
                </c:pt>
                <c:pt idx="70">
                  <c:v>-69</c:v>
                </c:pt>
                <c:pt idx="71">
                  <c:v>-71.059999999997672</c:v>
                </c:pt>
                <c:pt idx="72">
                  <c:v>-93.419999999998254</c:v>
                </c:pt>
                <c:pt idx="73">
                  <c:v>662.95999999999913</c:v>
                </c:pt>
                <c:pt idx="74">
                  <c:v>705.48999999999796</c:v>
                </c:pt>
                <c:pt idx="75">
                  <c:v>1010.6399999999994</c:v>
                </c:pt>
                <c:pt idx="76">
                  <c:v>853.70999999999913</c:v>
                </c:pt>
                <c:pt idx="77">
                  <c:v>804.19000000000233</c:v>
                </c:pt>
                <c:pt idx="78">
                  <c:v>930.26000000000204</c:v>
                </c:pt>
                <c:pt idx="79">
                  <c:v>795.75</c:v>
                </c:pt>
                <c:pt idx="80">
                  <c:v>562.2699999999968</c:v>
                </c:pt>
                <c:pt idx="81">
                  <c:v>533.16000000000349</c:v>
                </c:pt>
                <c:pt idx="82">
                  <c:v>776.83999999999651</c:v>
                </c:pt>
                <c:pt idx="83">
                  <c:v>1223.3199999999997</c:v>
                </c:pt>
                <c:pt idx="84">
                  <c:v>934.22000000000116</c:v>
                </c:pt>
                <c:pt idx="85">
                  <c:v>733.58000000000175</c:v>
                </c:pt>
                <c:pt idx="86">
                  <c:v>1017.0899999999965</c:v>
                </c:pt>
                <c:pt idx="87">
                  <c:v>831.09999999999854</c:v>
                </c:pt>
                <c:pt idx="88">
                  <c:v>792</c:v>
                </c:pt>
                <c:pt idx="89">
                  <c:v>1631.2700000000041</c:v>
                </c:pt>
                <c:pt idx="90">
                  <c:v>505.29999999999563</c:v>
                </c:pt>
                <c:pt idx="91">
                  <c:v>966.26000000000204</c:v>
                </c:pt>
                <c:pt idx="92">
                  <c:v>975.41999999999825</c:v>
                </c:pt>
                <c:pt idx="93">
                  <c:v>726.63999999999942</c:v>
                </c:pt>
                <c:pt idx="94">
                  <c:v>1177.7300000000032</c:v>
                </c:pt>
                <c:pt idx="95">
                  <c:v>797.01000000000204</c:v>
                </c:pt>
                <c:pt idx="96">
                  <c:v>1017.5899999999965</c:v>
                </c:pt>
                <c:pt idx="97">
                  <c:v>930.31000000000495</c:v>
                </c:pt>
                <c:pt idx="98">
                  <c:v>1360.7899999999936</c:v>
                </c:pt>
                <c:pt idx="99">
                  <c:v>705.06999999999971</c:v>
                </c:pt>
                <c:pt idx="100">
                  <c:v>966.65000000000146</c:v>
                </c:pt>
                <c:pt idx="101">
                  <c:v>541.72000000000116</c:v>
                </c:pt>
                <c:pt idx="102">
                  <c:v>2.4599999999991269</c:v>
                </c:pt>
                <c:pt idx="103">
                  <c:v>-268.60999999999694</c:v>
                </c:pt>
                <c:pt idx="104">
                  <c:v>144.22999999999956</c:v>
                </c:pt>
                <c:pt idx="105">
                  <c:v>24.629999999997381</c:v>
                </c:pt>
                <c:pt idx="106">
                  <c:v>6.3400000000001455</c:v>
                </c:pt>
                <c:pt idx="107">
                  <c:v>709.29000000000087</c:v>
                </c:pt>
                <c:pt idx="108">
                  <c:v>999.72000000000116</c:v>
                </c:pt>
                <c:pt idx="109">
                  <c:v>108.40999999999985</c:v>
                </c:pt>
                <c:pt idx="110">
                  <c:v>683.65000000000146</c:v>
                </c:pt>
                <c:pt idx="111">
                  <c:v>530.69999999999709</c:v>
                </c:pt>
                <c:pt idx="112">
                  <c:v>447.21000000000276</c:v>
                </c:pt>
                <c:pt idx="113">
                  <c:v>289.27999999999884</c:v>
                </c:pt>
                <c:pt idx="114">
                  <c:v>619.04000000000087</c:v>
                </c:pt>
                <c:pt idx="115">
                  <c:v>55.590000000000146</c:v>
                </c:pt>
                <c:pt idx="116">
                  <c:v>41.43999999999869</c:v>
                </c:pt>
                <c:pt idx="117">
                  <c:v>26.340000000000146</c:v>
                </c:pt>
                <c:pt idx="118">
                  <c:v>-8.5</c:v>
                </c:pt>
                <c:pt idx="119">
                  <c:v>876.93999999999869</c:v>
                </c:pt>
                <c:pt idx="120">
                  <c:v>1171.3100000000013</c:v>
                </c:pt>
                <c:pt idx="121">
                  <c:v>770.45999999999913</c:v>
                </c:pt>
                <c:pt idx="122">
                  <c:v>1089.6100000000006</c:v>
                </c:pt>
                <c:pt idx="123">
                  <c:v>704.88000000000102</c:v>
                </c:pt>
                <c:pt idx="124">
                  <c:v>596.13999999999942</c:v>
                </c:pt>
                <c:pt idx="125">
                  <c:v>393.04999999999927</c:v>
                </c:pt>
                <c:pt idx="126">
                  <c:v>-181.36999999999898</c:v>
                </c:pt>
                <c:pt idx="127">
                  <c:v>1610.8199999999997</c:v>
                </c:pt>
                <c:pt idx="128">
                  <c:v>940.59000000000015</c:v>
                </c:pt>
                <c:pt idx="129">
                  <c:v>923.09999999999854</c:v>
                </c:pt>
                <c:pt idx="130">
                  <c:v>529.67000000000189</c:v>
                </c:pt>
                <c:pt idx="131">
                  <c:v>468.5</c:v>
                </c:pt>
                <c:pt idx="132">
                  <c:v>618.59999999999854</c:v>
                </c:pt>
                <c:pt idx="133">
                  <c:v>475.5</c:v>
                </c:pt>
                <c:pt idx="134">
                  <c:v>494.76000000000022</c:v>
                </c:pt>
                <c:pt idx="135">
                  <c:v>7.9699999999993452</c:v>
                </c:pt>
                <c:pt idx="136">
                  <c:v>-99.680000000000291</c:v>
                </c:pt>
                <c:pt idx="137">
                  <c:v>966.8700000000008</c:v>
                </c:pt>
                <c:pt idx="138">
                  <c:v>500.98000000000138</c:v>
                </c:pt>
                <c:pt idx="139">
                  <c:v>522.47999999999956</c:v>
                </c:pt>
                <c:pt idx="140">
                  <c:v>435.34999999999854</c:v>
                </c:pt>
                <c:pt idx="141">
                  <c:v>533.15000000000146</c:v>
                </c:pt>
                <c:pt idx="142">
                  <c:v>442.93000000000029</c:v>
                </c:pt>
                <c:pt idx="143">
                  <c:v>224.56999999999971</c:v>
                </c:pt>
                <c:pt idx="144">
                  <c:v>164.13999999999942</c:v>
                </c:pt>
                <c:pt idx="145">
                  <c:v>159.40999999999985</c:v>
                </c:pt>
                <c:pt idx="146">
                  <c:v>154.89999999999964</c:v>
                </c:pt>
                <c:pt idx="147">
                  <c:v>201.13000000000102</c:v>
                </c:pt>
                <c:pt idx="148">
                  <c:v>208.31999999999789</c:v>
                </c:pt>
                <c:pt idx="149">
                  <c:v>694.52000000000044</c:v>
                </c:pt>
                <c:pt idx="150">
                  <c:v>669.07000000000153</c:v>
                </c:pt>
                <c:pt idx="151">
                  <c:v>628.60999999999876</c:v>
                </c:pt>
                <c:pt idx="152">
                  <c:v>209.86000000000058</c:v>
                </c:pt>
                <c:pt idx="153">
                  <c:v>598.32999999999993</c:v>
                </c:pt>
                <c:pt idx="154">
                  <c:v>584.42000000000007</c:v>
                </c:pt>
                <c:pt idx="155">
                  <c:v>546.3700000000008</c:v>
                </c:pt>
                <c:pt idx="156">
                  <c:v>663.95999999999913</c:v>
                </c:pt>
                <c:pt idx="157">
                  <c:v>353.16000000000076</c:v>
                </c:pt>
                <c:pt idx="158">
                  <c:v>192.15999999999985</c:v>
                </c:pt>
                <c:pt idx="159">
                  <c:v>198.01999999999953</c:v>
                </c:pt>
                <c:pt idx="160">
                  <c:v>225.60000000000036</c:v>
                </c:pt>
                <c:pt idx="161">
                  <c:v>165</c:v>
                </c:pt>
                <c:pt idx="162">
                  <c:v>-13.480000000000473</c:v>
                </c:pt>
                <c:pt idx="163">
                  <c:v>244</c:v>
                </c:pt>
                <c:pt idx="164">
                  <c:v>65</c:v>
                </c:pt>
                <c:pt idx="165">
                  <c:v>205.01000000000022</c:v>
                </c:pt>
                <c:pt idx="166">
                  <c:v>192.15999999999985</c:v>
                </c:pt>
                <c:pt idx="167">
                  <c:v>74.289999999999964</c:v>
                </c:pt>
                <c:pt idx="168">
                  <c:v>-250.09000000000015</c:v>
                </c:pt>
                <c:pt idx="169">
                  <c:v>-38.509999999999309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4-4CD8-A92E-6C0DCC58E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146780128"/>
        <c:axId val="-1146789920"/>
      </c:barChart>
      <c:dateAx>
        <c:axId val="-1146780128"/>
        <c:scaling>
          <c:orientation val="minMax"/>
        </c:scaling>
        <c:delete val="0"/>
        <c:axPos val="b"/>
        <c:numFmt formatCode="[$-C0A]mmmyy;@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Livvic" pitchFamily="2" charset="0"/>
                <a:ea typeface="+mn-ea"/>
                <a:cs typeface="+mn-cs"/>
              </a:defRPr>
            </a:pPr>
            <a:endParaRPr lang="es-ES"/>
          </a:p>
        </c:txPr>
        <c:crossAx val="-1146789920"/>
        <c:crosses val="autoZero"/>
        <c:auto val="1"/>
        <c:lblOffset val="100"/>
        <c:baseTimeUnit val="months"/>
      </c:dateAx>
      <c:valAx>
        <c:axId val="-1146789920"/>
        <c:scaling>
          <c:orientation val="minMax"/>
          <c:max val="3000"/>
          <c:min val="-2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Livvic" pitchFamily="2" charset="0"/>
                <a:ea typeface="+mn-ea"/>
                <a:cs typeface="+mn-cs"/>
              </a:defRPr>
            </a:pPr>
            <a:endParaRPr lang="es-ES"/>
          </a:p>
        </c:txPr>
        <c:crossAx val="-1146780128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'Ahorro BBVA'!$I$7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rgbClr val="00B050"/>
              </a:solidFill>
            </a:ln>
            <a:effectLst>
              <a:glow rad="139700">
                <a:srgbClr val="00CC99">
                  <a:alpha val="14000"/>
                </a:srgbClr>
              </a:glow>
            </a:effectLst>
          </c:spPr>
          <c:marker>
            <c:symbol val="none"/>
          </c:marker>
          <c:cat>
            <c:numRef>
              <c:f>'Ahorro BBVA'!$A$8:$A$178</c:f>
              <c:numCache>
                <c:formatCode>[$-C0A]mmmyy;@</c:formatCode>
                <c:ptCount val="171"/>
                <c:pt idx="0">
                  <c:v>46357</c:v>
                </c:pt>
                <c:pt idx="1">
                  <c:v>46327</c:v>
                </c:pt>
                <c:pt idx="2">
                  <c:v>46296</c:v>
                </c:pt>
                <c:pt idx="3">
                  <c:v>46266</c:v>
                </c:pt>
                <c:pt idx="4">
                  <c:v>46235</c:v>
                </c:pt>
                <c:pt idx="5">
                  <c:v>46204</c:v>
                </c:pt>
                <c:pt idx="6">
                  <c:v>46174</c:v>
                </c:pt>
                <c:pt idx="7">
                  <c:v>46143</c:v>
                </c:pt>
                <c:pt idx="8">
                  <c:v>46113</c:v>
                </c:pt>
                <c:pt idx="9">
                  <c:v>46082</c:v>
                </c:pt>
                <c:pt idx="10">
                  <c:v>46054</c:v>
                </c:pt>
                <c:pt idx="11">
                  <c:v>46023</c:v>
                </c:pt>
                <c:pt idx="12">
                  <c:v>45992</c:v>
                </c:pt>
                <c:pt idx="13">
                  <c:v>45962</c:v>
                </c:pt>
                <c:pt idx="14">
                  <c:v>45931</c:v>
                </c:pt>
                <c:pt idx="15">
                  <c:v>45901</c:v>
                </c:pt>
                <c:pt idx="16">
                  <c:v>45870</c:v>
                </c:pt>
                <c:pt idx="17">
                  <c:v>45839</c:v>
                </c:pt>
                <c:pt idx="18">
                  <c:v>45809</c:v>
                </c:pt>
                <c:pt idx="19">
                  <c:v>45778</c:v>
                </c:pt>
                <c:pt idx="20">
                  <c:v>45748</c:v>
                </c:pt>
                <c:pt idx="21">
                  <c:v>45717</c:v>
                </c:pt>
                <c:pt idx="22">
                  <c:v>45689</c:v>
                </c:pt>
                <c:pt idx="23">
                  <c:v>45658</c:v>
                </c:pt>
                <c:pt idx="24">
                  <c:v>45627</c:v>
                </c:pt>
                <c:pt idx="25">
                  <c:v>45597</c:v>
                </c:pt>
                <c:pt idx="26">
                  <c:v>45566</c:v>
                </c:pt>
                <c:pt idx="27">
                  <c:v>45536</c:v>
                </c:pt>
                <c:pt idx="28">
                  <c:v>45505</c:v>
                </c:pt>
                <c:pt idx="29">
                  <c:v>45474</c:v>
                </c:pt>
                <c:pt idx="30">
                  <c:v>45444</c:v>
                </c:pt>
                <c:pt idx="31">
                  <c:v>45413</c:v>
                </c:pt>
                <c:pt idx="32">
                  <c:v>45383</c:v>
                </c:pt>
                <c:pt idx="33">
                  <c:v>45352</c:v>
                </c:pt>
                <c:pt idx="34">
                  <c:v>45323</c:v>
                </c:pt>
                <c:pt idx="35">
                  <c:v>45292</c:v>
                </c:pt>
                <c:pt idx="36">
                  <c:v>45261</c:v>
                </c:pt>
                <c:pt idx="37">
                  <c:v>45231</c:v>
                </c:pt>
                <c:pt idx="38">
                  <c:v>45200</c:v>
                </c:pt>
                <c:pt idx="39">
                  <c:v>45170</c:v>
                </c:pt>
                <c:pt idx="40">
                  <c:v>45139</c:v>
                </c:pt>
                <c:pt idx="41">
                  <c:v>45108</c:v>
                </c:pt>
                <c:pt idx="42">
                  <c:v>45078</c:v>
                </c:pt>
                <c:pt idx="43">
                  <c:v>45047</c:v>
                </c:pt>
                <c:pt idx="44">
                  <c:v>45017</c:v>
                </c:pt>
                <c:pt idx="45">
                  <c:v>44986</c:v>
                </c:pt>
                <c:pt idx="46">
                  <c:v>44958</c:v>
                </c:pt>
                <c:pt idx="47">
                  <c:v>44927</c:v>
                </c:pt>
                <c:pt idx="48">
                  <c:v>44896</c:v>
                </c:pt>
                <c:pt idx="49">
                  <c:v>44866</c:v>
                </c:pt>
                <c:pt idx="50">
                  <c:v>44835</c:v>
                </c:pt>
                <c:pt idx="51">
                  <c:v>44805</c:v>
                </c:pt>
                <c:pt idx="52">
                  <c:v>44774</c:v>
                </c:pt>
                <c:pt idx="53">
                  <c:v>44743</c:v>
                </c:pt>
                <c:pt idx="54">
                  <c:v>44713</c:v>
                </c:pt>
                <c:pt idx="55">
                  <c:v>44682</c:v>
                </c:pt>
                <c:pt idx="56">
                  <c:v>44652</c:v>
                </c:pt>
                <c:pt idx="57">
                  <c:v>44621</c:v>
                </c:pt>
                <c:pt idx="58">
                  <c:v>44593</c:v>
                </c:pt>
                <c:pt idx="59">
                  <c:v>44562</c:v>
                </c:pt>
                <c:pt idx="60">
                  <c:v>44531</c:v>
                </c:pt>
                <c:pt idx="61">
                  <c:v>44501</c:v>
                </c:pt>
                <c:pt idx="62">
                  <c:v>44470</c:v>
                </c:pt>
                <c:pt idx="63">
                  <c:v>44440</c:v>
                </c:pt>
                <c:pt idx="64">
                  <c:v>44409</c:v>
                </c:pt>
                <c:pt idx="65">
                  <c:v>44378</c:v>
                </c:pt>
                <c:pt idx="66">
                  <c:v>44348</c:v>
                </c:pt>
                <c:pt idx="67">
                  <c:v>44317</c:v>
                </c:pt>
                <c:pt idx="68">
                  <c:v>44287</c:v>
                </c:pt>
                <c:pt idx="69">
                  <c:v>44256</c:v>
                </c:pt>
                <c:pt idx="70">
                  <c:v>44228</c:v>
                </c:pt>
                <c:pt idx="71">
                  <c:v>44197</c:v>
                </c:pt>
                <c:pt idx="72">
                  <c:v>44166</c:v>
                </c:pt>
                <c:pt idx="73">
                  <c:v>44136</c:v>
                </c:pt>
                <c:pt idx="74">
                  <c:v>44105</c:v>
                </c:pt>
                <c:pt idx="75">
                  <c:v>44075</c:v>
                </c:pt>
                <c:pt idx="76">
                  <c:v>44044</c:v>
                </c:pt>
                <c:pt idx="77">
                  <c:v>44013</c:v>
                </c:pt>
                <c:pt idx="78">
                  <c:v>43983</c:v>
                </c:pt>
                <c:pt idx="79">
                  <c:v>43952</c:v>
                </c:pt>
                <c:pt idx="80">
                  <c:v>43922</c:v>
                </c:pt>
                <c:pt idx="81">
                  <c:v>43891</c:v>
                </c:pt>
                <c:pt idx="82">
                  <c:v>43862</c:v>
                </c:pt>
                <c:pt idx="83">
                  <c:v>43831</c:v>
                </c:pt>
                <c:pt idx="84">
                  <c:v>43800</c:v>
                </c:pt>
                <c:pt idx="85">
                  <c:v>43770</c:v>
                </c:pt>
                <c:pt idx="86">
                  <c:v>43739</c:v>
                </c:pt>
                <c:pt idx="87">
                  <c:v>43709</c:v>
                </c:pt>
                <c:pt idx="88">
                  <c:v>43678</c:v>
                </c:pt>
                <c:pt idx="89">
                  <c:v>43647</c:v>
                </c:pt>
                <c:pt idx="90">
                  <c:v>43617</c:v>
                </c:pt>
                <c:pt idx="91">
                  <c:v>43586</c:v>
                </c:pt>
                <c:pt idx="92">
                  <c:v>43556</c:v>
                </c:pt>
                <c:pt idx="93">
                  <c:v>43525</c:v>
                </c:pt>
                <c:pt idx="94">
                  <c:v>43497</c:v>
                </c:pt>
                <c:pt idx="95">
                  <c:v>43466</c:v>
                </c:pt>
                <c:pt idx="96">
                  <c:v>43435</c:v>
                </c:pt>
                <c:pt idx="97">
                  <c:v>43405</c:v>
                </c:pt>
                <c:pt idx="98">
                  <c:v>43374</c:v>
                </c:pt>
                <c:pt idx="99">
                  <c:v>43344</c:v>
                </c:pt>
                <c:pt idx="100">
                  <c:v>43313</c:v>
                </c:pt>
                <c:pt idx="101">
                  <c:v>43282</c:v>
                </c:pt>
                <c:pt idx="102">
                  <c:v>43252</c:v>
                </c:pt>
                <c:pt idx="103">
                  <c:v>43221</c:v>
                </c:pt>
                <c:pt idx="104">
                  <c:v>43191</c:v>
                </c:pt>
                <c:pt idx="105">
                  <c:v>43160</c:v>
                </c:pt>
                <c:pt idx="106">
                  <c:v>43132</c:v>
                </c:pt>
                <c:pt idx="107">
                  <c:v>43101</c:v>
                </c:pt>
                <c:pt idx="108">
                  <c:v>43070</c:v>
                </c:pt>
                <c:pt idx="109">
                  <c:v>43040</c:v>
                </c:pt>
                <c:pt idx="110">
                  <c:v>43009</c:v>
                </c:pt>
                <c:pt idx="111">
                  <c:v>42979</c:v>
                </c:pt>
                <c:pt idx="112">
                  <c:v>42948</c:v>
                </c:pt>
                <c:pt idx="113">
                  <c:v>42917</c:v>
                </c:pt>
                <c:pt idx="114">
                  <c:v>42887</c:v>
                </c:pt>
                <c:pt idx="115">
                  <c:v>42856</c:v>
                </c:pt>
                <c:pt idx="116">
                  <c:v>42826</c:v>
                </c:pt>
                <c:pt idx="117">
                  <c:v>42795</c:v>
                </c:pt>
                <c:pt idx="118">
                  <c:v>42767</c:v>
                </c:pt>
                <c:pt idx="119">
                  <c:v>42736</c:v>
                </c:pt>
                <c:pt idx="120">
                  <c:v>42705</c:v>
                </c:pt>
                <c:pt idx="121">
                  <c:v>42675</c:v>
                </c:pt>
                <c:pt idx="122">
                  <c:v>42644</c:v>
                </c:pt>
                <c:pt idx="123">
                  <c:v>42614</c:v>
                </c:pt>
                <c:pt idx="124">
                  <c:v>42583</c:v>
                </c:pt>
                <c:pt idx="125">
                  <c:v>42552</c:v>
                </c:pt>
                <c:pt idx="126">
                  <c:v>42522</c:v>
                </c:pt>
                <c:pt idx="127">
                  <c:v>42491</c:v>
                </c:pt>
                <c:pt idx="128">
                  <c:v>42461</c:v>
                </c:pt>
                <c:pt idx="129">
                  <c:v>42430</c:v>
                </c:pt>
                <c:pt idx="130">
                  <c:v>42401</c:v>
                </c:pt>
                <c:pt idx="131">
                  <c:v>42370</c:v>
                </c:pt>
                <c:pt idx="132">
                  <c:v>42339</c:v>
                </c:pt>
                <c:pt idx="133">
                  <c:v>42309</c:v>
                </c:pt>
                <c:pt idx="134">
                  <c:v>42278</c:v>
                </c:pt>
                <c:pt idx="135">
                  <c:v>42248</c:v>
                </c:pt>
                <c:pt idx="136">
                  <c:v>42217</c:v>
                </c:pt>
                <c:pt idx="137">
                  <c:v>42186</c:v>
                </c:pt>
                <c:pt idx="138">
                  <c:v>42156</c:v>
                </c:pt>
                <c:pt idx="139">
                  <c:v>42125</c:v>
                </c:pt>
                <c:pt idx="140">
                  <c:v>42095</c:v>
                </c:pt>
                <c:pt idx="141">
                  <c:v>42064</c:v>
                </c:pt>
                <c:pt idx="142">
                  <c:v>42036</c:v>
                </c:pt>
                <c:pt idx="143">
                  <c:v>42005</c:v>
                </c:pt>
                <c:pt idx="144">
                  <c:v>41974</c:v>
                </c:pt>
                <c:pt idx="145">
                  <c:v>41944</c:v>
                </c:pt>
                <c:pt idx="146">
                  <c:v>41913</c:v>
                </c:pt>
                <c:pt idx="147">
                  <c:v>41883</c:v>
                </c:pt>
                <c:pt idx="148">
                  <c:v>41852</c:v>
                </c:pt>
                <c:pt idx="149">
                  <c:v>41821</c:v>
                </c:pt>
                <c:pt idx="150">
                  <c:v>41791</c:v>
                </c:pt>
                <c:pt idx="151">
                  <c:v>41760</c:v>
                </c:pt>
                <c:pt idx="152">
                  <c:v>41730</c:v>
                </c:pt>
                <c:pt idx="153">
                  <c:v>41699</c:v>
                </c:pt>
                <c:pt idx="154">
                  <c:v>41671</c:v>
                </c:pt>
                <c:pt idx="155">
                  <c:v>41640</c:v>
                </c:pt>
                <c:pt idx="156">
                  <c:v>41609</c:v>
                </c:pt>
                <c:pt idx="157">
                  <c:v>41579</c:v>
                </c:pt>
                <c:pt idx="158">
                  <c:v>41548</c:v>
                </c:pt>
                <c:pt idx="159">
                  <c:v>41518</c:v>
                </c:pt>
                <c:pt idx="160">
                  <c:v>41487</c:v>
                </c:pt>
                <c:pt idx="161">
                  <c:v>41456</c:v>
                </c:pt>
                <c:pt idx="162">
                  <c:v>41426</c:v>
                </c:pt>
                <c:pt idx="163">
                  <c:v>41395</c:v>
                </c:pt>
                <c:pt idx="164">
                  <c:v>41365</c:v>
                </c:pt>
                <c:pt idx="165">
                  <c:v>41334</c:v>
                </c:pt>
                <c:pt idx="166">
                  <c:v>41306</c:v>
                </c:pt>
                <c:pt idx="167">
                  <c:v>41275</c:v>
                </c:pt>
                <c:pt idx="168">
                  <c:v>41244</c:v>
                </c:pt>
                <c:pt idx="169">
                  <c:v>41214</c:v>
                </c:pt>
                <c:pt idx="170">
                  <c:v>41183</c:v>
                </c:pt>
              </c:numCache>
            </c:numRef>
          </c:cat>
          <c:val>
            <c:numRef>
              <c:f>'Ahorro BBVA'!$I$8:$I$178</c:f>
              <c:numCache>
                <c:formatCode>#,##0.00</c:formatCode>
                <c:ptCount val="1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124946.69</c:v>
                </c:pt>
                <c:pt idx="8">
                  <c:v>123416.51</c:v>
                </c:pt>
                <c:pt idx="9">
                  <c:v>151097.63</c:v>
                </c:pt>
                <c:pt idx="10">
                  <c:v>149129.26999999999</c:v>
                </c:pt>
                <c:pt idx="11">
                  <c:v>147317.57</c:v>
                </c:pt>
                <c:pt idx="12">
                  <c:v>145473.39000000001</c:v>
                </c:pt>
                <c:pt idx="13">
                  <c:v>143403.26</c:v>
                </c:pt>
                <c:pt idx="14">
                  <c:v>141556.82999999999</c:v>
                </c:pt>
                <c:pt idx="15">
                  <c:v>139860.42000000001</c:v>
                </c:pt>
                <c:pt idx="16">
                  <c:v>138215.25</c:v>
                </c:pt>
                <c:pt idx="17">
                  <c:v>138219.85</c:v>
                </c:pt>
                <c:pt idx="18">
                  <c:v>138341.74</c:v>
                </c:pt>
                <c:pt idx="19">
                  <c:v>136137.99</c:v>
                </c:pt>
                <c:pt idx="20">
                  <c:v>134184.82</c:v>
                </c:pt>
                <c:pt idx="21">
                  <c:v>132350.28</c:v>
                </c:pt>
                <c:pt idx="22">
                  <c:v>131400.35</c:v>
                </c:pt>
                <c:pt idx="23">
                  <c:v>128928.01000000001</c:v>
                </c:pt>
                <c:pt idx="24">
                  <c:v>127432.17</c:v>
                </c:pt>
                <c:pt idx="25">
                  <c:v>124183.08</c:v>
                </c:pt>
                <c:pt idx="26">
                  <c:v>116715.84</c:v>
                </c:pt>
                <c:pt idx="27">
                  <c:v>114999.13</c:v>
                </c:pt>
                <c:pt idx="28">
                  <c:v>113447.19</c:v>
                </c:pt>
                <c:pt idx="29">
                  <c:v>110730.75</c:v>
                </c:pt>
                <c:pt idx="30">
                  <c:v>107882.82</c:v>
                </c:pt>
                <c:pt idx="31">
                  <c:v>107056.05</c:v>
                </c:pt>
                <c:pt idx="32">
                  <c:v>105595.76000000001</c:v>
                </c:pt>
                <c:pt idx="33">
                  <c:v>103640.4</c:v>
                </c:pt>
                <c:pt idx="34">
                  <c:v>102376.73000000001</c:v>
                </c:pt>
                <c:pt idx="35">
                  <c:v>101072.5</c:v>
                </c:pt>
                <c:pt idx="36">
                  <c:v>99656.78</c:v>
                </c:pt>
                <c:pt idx="37">
                  <c:v>97067.41</c:v>
                </c:pt>
                <c:pt idx="38">
                  <c:v>95449.22</c:v>
                </c:pt>
                <c:pt idx="39">
                  <c:v>94195.11</c:v>
                </c:pt>
                <c:pt idx="40">
                  <c:v>92810.41</c:v>
                </c:pt>
                <c:pt idx="41">
                  <c:v>91560.58</c:v>
                </c:pt>
                <c:pt idx="42">
                  <c:v>88875.83</c:v>
                </c:pt>
                <c:pt idx="43">
                  <c:v>87687.39</c:v>
                </c:pt>
                <c:pt idx="44">
                  <c:v>86511.1</c:v>
                </c:pt>
                <c:pt idx="45">
                  <c:v>85188.76</c:v>
                </c:pt>
                <c:pt idx="46">
                  <c:v>83826.87</c:v>
                </c:pt>
                <c:pt idx="47">
                  <c:v>82418.23</c:v>
                </c:pt>
                <c:pt idx="48">
                  <c:v>81139.83</c:v>
                </c:pt>
                <c:pt idx="49">
                  <c:v>78311.929999999993</c:v>
                </c:pt>
                <c:pt idx="50">
                  <c:v>76952.45</c:v>
                </c:pt>
                <c:pt idx="51">
                  <c:v>75616.06</c:v>
                </c:pt>
                <c:pt idx="52">
                  <c:v>74287.570000000007</c:v>
                </c:pt>
                <c:pt idx="53">
                  <c:v>72937.759999999995</c:v>
                </c:pt>
                <c:pt idx="54">
                  <c:v>70874.95</c:v>
                </c:pt>
                <c:pt idx="55">
                  <c:v>69754.92</c:v>
                </c:pt>
                <c:pt idx="56">
                  <c:v>68431.28</c:v>
                </c:pt>
                <c:pt idx="57">
                  <c:v>68182.7</c:v>
                </c:pt>
                <c:pt idx="58">
                  <c:v>68101.13</c:v>
                </c:pt>
                <c:pt idx="59">
                  <c:v>68078.740000000005</c:v>
                </c:pt>
                <c:pt idx="60">
                  <c:v>68061.34</c:v>
                </c:pt>
                <c:pt idx="61">
                  <c:v>68123.13</c:v>
                </c:pt>
                <c:pt idx="62">
                  <c:v>67101.05</c:v>
                </c:pt>
                <c:pt idx="63">
                  <c:v>66344.789999999994</c:v>
                </c:pt>
                <c:pt idx="64">
                  <c:v>64550.14</c:v>
                </c:pt>
                <c:pt idx="65">
                  <c:v>63379.11</c:v>
                </c:pt>
                <c:pt idx="66">
                  <c:v>60939.06</c:v>
                </c:pt>
                <c:pt idx="67">
                  <c:v>60191.66</c:v>
                </c:pt>
                <c:pt idx="68">
                  <c:v>59282.19</c:v>
                </c:pt>
                <c:pt idx="69">
                  <c:v>57478.94</c:v>
                </c:pt>
                <c:pt idx="70">
                  <c:v>57505.15</c:v>
                </c:pt>
                <c:pt idx="71">
                  <c:v>57574.15</c:v>
                </c:pt>
                <c:pt idx="72">
                  <c:v>57645.21</c:v>
                </c:pt>
                <c:pt idx="73">
                  <c:v>57738.63</c:v>
                </c:pt>
                <c:pt idx="74">
                  <c:v>57075.67</c:v>
                </c:pt>
                <c:pt idx="75">
                  <c:v>56370.18</c:v>
                </c:pt>
                <c:pt idx="76">
                  <c:v>55359.54</c:v>
                </c:pt>
                <c:pt idx="77">
                  <c:v>54505.83</c:v>
                </c:pt>
                <c:pt idx="78">
                  <c:v>53701.64</c:v>
                </c:pt>
                <c:pt idx="79">
                  <c:v>52771.38</c:v>
                </c:pt>
                <c:pt idx="80">
                  <c:v>51975.63</c:v>
                </c:pt>
                <c:pt idx="81">
                  <c:v>51413.36</c:v>
                </c:pt>
                <c:pt idx="82">
                  <c:v>50880.2</c:v>
                </c:pt>
                <c:pt idx="83">
                  <c:v>50103.360000000001</c:v>
                </c:pt>
                <c:pt idx="84">
                  <c:v>48880.04</c:v>
                </c:pt>
                <c:pt idx="85">
                  <c:v>47945.82</c:v>
                </c:pt>
                <c:pt idx="86">
                  <c:v>47212.24</c:v>
                </c:pt>
                <c:pt idx="87">
                  <c:v>46195.15</c:v>
                </c:pt>
                <c:pt idx="88">
                  <c:v>45364.05</c:v>
                </c:pt>
                <c:pt idx="89">
                  <c:v>44572.05</c:v>
                </c:pt>
                <c:pt idx="90">
                  <c:v>42940.78</c:v>
                </c:pt>
                <c:pt idx="91">
                  <c:v>42435.48</c:v>
                </c:pt>
                <c:pt idx="92">
                  <c:v>41469.22</c:v>
                </c:pt>
                <c:pt idx="93">
                  <c:v>40493.800000000003</c:v>
                </c:pt>
                <c:pt idx="94">
                  <c:v>39767.160000000003</c:v>
                </c:pt>
                <c:pt idx="95">
                  <c:v>38589.43</c:v>
                </c:pt>
                <c:pt idx="96">
                  <c:v>37792.42</c:v>
                </c:pt>
                <c:pt idx="97">
                  <c:v>36774.83</c:v>
                </c:pt>
                <c:pt idx="98">
                  <c:v>35844.519999999997</c:v>
                </c:pt>
                <c:pt idx="99">
                  <c:v>34483.730000000003</c:v>
                </c:pt>
                <c:pt idx="100">
                  <c:v>33778.660000000003</c:v>
                </c:pt>
                <c:pt idx="101">
                  <c:v>32812.01</c:v>
                </c:pt>
                <c:pt idx="102">
                  <c:v>32270.29</c:v>
                </c:pt>
                <c:pt idx="103">
                  <c:v>32267.83</c:v>
                </c:pt>
                <c:pt idx="104">
                  <c:v>32536.44</c:v>
                </c:pt>
                <c:pt idx="105">
                  <c:v>32392.21</c:v>
                </c:pt>
                <c:pt idx="106">
                  <c:v>32367.58</c:v>
                </c:pt>
                <c:pt idx="107">
                  <c:v>32361.24</c:v>
                </c:pt>
                <c:pt idx="108">
                  <c:v>31651.95</c:v>
                </c:pt>
                <c:pt idx="109">
                  <c:v>30652.23</c:v>
                </c:pt>
                <c:pt idx="110">
                  <c:v>30543.82</c:v>
                </c:pt>
                <c:pt idx="111">
                  <c:v>29860.17</c:v>
                </c:pt>
                <c:pt idx="112">
                  <c:v>29329.47</c:v>
                </c:pt>
                <c:pt idx="113">
                  <c:v>28882.26</c:v>
                </c:pt>
                <c:pt idx="114">
                  <c:v>28592.98</c:v>
                </c:pt>
                <c:pt idx="115">
                  <c:v>27973.94</c:v>
                </c:pt>
                <c:pt idx="116">
                  <c:v>27918.35</c:v>
                </c:pt>
                <c:pt idx="117">
                  <c:v>27876.91</c:v>
                </c:pt>
                <c:pt idx="118">
                  <c:v>27850.57</c:v>
                </c:pt>
                <c:pt idx="119">
                  <c:v>27859.07</c:v>
                </c:pt>
                <c:pt idx="120">
                  <c:v>26982.13</c:v>
                </c:pt>
                <c:pt idx="121">
                  <c:v>25810.82</c:v>
                </c:pt>
                <c:pt idx="122">
                  <c:v>25040.36</c:v>
                </c:pt>
                <c:pt idx="123">
                  <c:v>23950.75</c:v>
                </c:pt>
                <c:pt idx="124">
                  <c:v>23245.87</c:v>
                </c:pt>
                <c:pt idx="125">
                  <c:v>22649.73</c:v>
                </c:pt>
                <c:pt idx="126">
                  <c:v>22256.68</c:v>
                </c:pt>
                <c:pt idx="127">
                  <c:v>22438.05</c:v>
                </c:pt>
                <c:pt idx="128">
                  <c:v>20827.23</c:v>
                </c:pt>
                <c:pt idx="129">
                  <c:v>19886.64</c:v>
                </c:pt>
                <c:pt idx="130">
                  <c:v>18963.54</c:v>
                </c:pt>
                <c:pt idx="131">
                  <c:v>18433.87</c:v>
                </c:pt>
                <c:pt idx="132">
                  <c:v>17965.37</c:v>
                </c:pt>
                <c:pt idx="133">
                  <c:v>17346.77</c:v>
                </c:pt>
                <c:pt idx="134">
                  <c:v>16871.27</c:v>
                </c:pt>
                <c:pt idx="135">
                  <c:v>16376.51</c:v>
                </c:pt>
                <c:pt idx="136">
                  <c:v>16368.54</c:v>
                </c:pt>
                <c:pt idx="137">
                  <c:v>16468.22</c:v>
                </c:pt>
                <c:pt idx="138">
                  <c:v>15501.35</c:v>
                </c:pt>
                <c:pt idx="139">
                  <c:v>15000.369999999999</c:v>
                </c:pt>
                <c:pt idx="140">
                  <c:v>14477.89</c:v>
                </c:pt>
                <c:pt idx="141">
                  <c:v>14042.54</c:v>
                </c:pt>
                <c:pt idx="142">
                  <c:v>13509.39</c:v>
                </c:pt>
                <c:pt idx="143">
                  <c:v>13066.46</c:v>
                </c:pt>
                <c:pt idx="144">
                  <c:v>12841.89</c:v>
                </c:pt>
                <c:pt idx="145">
                  <c:v>12677.75</c:v>
                </c:pt>
                <c:pt idx="146">
                  <c:v>12518.34</c:v>
                </c:pt>
                <c:pt idx="147">
                  <c:v>12363.44</c:v>
                </c:pt>
                <c:pt idx="148">
                  <c:v>12162.31</c:v>
                </c:pt>
                <c:pt idx="149">
                  <c:v>11953.990000000002</c:v>
                </c:pt>
                <c:pt idx="150">
                  <c:v>11259.470000000001</c:v>
                </c:pt>
                <c:pt idx="151">
                  <c:v>10590.4</c:v>
                </c:pt>
                <c:pt idx="152">
                  <c:v>9961.7900000000009</c:v>
                </c:pt>
                <c:pt idx="153">
                  <c:v>9751.93</c:v>
                </c:pt>
                <c:pt idx="154">
                  <c:v>9153.6</c:v>
                </c:pt>
                <c:pt idx="155">
                  <c:v>8569.18</c:v>
                </c:pt>
                <c:pt idx="156">
                  <c:v>8022.8099999999995</c:v>
                </c:pt>
                <c:pt idx="157">
                  <c:v>7358.85</c:v>
                </c:pt>
                <c:pt idx="158">
                  <c:v>7005.69</c:v>
                </c:pt>
                <c:pt idx="159">
                  <c:v>6813.53</c:v>
                </c:pt>
                <c:pt idx="160">
                  <c:v>6615.51</c:v>
                </c:pt>
                <c:pt idx="161">
                  <c:v>6389.91</c:v>
                </c:pt>
                <c:pt idx="162">
                  <c:v>6224.91</c:v>
                </c:pt>
                <c:pt idx="163">
                  <c:v>6238.39</c:v>
                </c:pt>
                <c:pt idx="164">
                  <c:v>5994.39</c:v>
                </c:pt>
                <c:pt idx="165">
                  <c:v>5929.39</c:v>
                </c:pt>
                <c:pt idx="166">
                  <c:v>5724.38</c:v>
                </c:pt>
                <c:pt idx="167">
                  <c:v>5532.22</c:v>
                </c:pt>
                <c:pt idx="168">
                  <c:v>5457.93</c:v>
                </c:pt>
                <c:pt idx="169">
                  <c:v>5708.02</c:v>
                </c:pt>
                <c:pt idx="170">
                  <c:v>5746.53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6-47B2-8937-EF8C7BFCA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46785568"/>
        <c:axId val="-1146782848"/>
      </c:lineChart>
      <c:dateAx>
        <c:axId val="-1146785568"/>
        <c:scaling>
          <c:orientation val="minMax"/>
        </c:scaling>
        <c:delete val="0"/>
        <c:axPos val="b"/>
        <c:numFmt formatCode="[$-C0A]mmm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Livvic" pitchFamily="2" charset="0"/>
                <a:ea typeface="+mn-ea"/>
                <a:cs typeface="+mn-cs"/>
              </a:defRPr>
            </a:pPr>
            <a:endParaRPr lang="es-ES"/>
          </a:p>
        </c:txPr>
        <c:crossAx val="-1146782848"/>
        <c:crosses val="autoZero"/>
        <c:auto val="1"/>
        <c:lblOffset val="100"/>
        <c:baseTimeUnit val="months"/>
      </c:dateAx>
      <c:valAx>
        <c:axId val="-1146782848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Livvic" pitchFamily="2" charset="0"/>
                <a:ea typeface="+mn-ea"/>
                <a:cs typeface="+mn-cs"/>
              </a:defRPr>
            </a:pPr>
            <a:endParaRPr lang="es-ES"/>
          </a:p>
        </c:txPr>
        <c:crossAx val="-1146785568"/>
        <c:crosses val="autoZero"/>
        <c:crossBetween val="between"/>
        <c:majorUnit val="10000"/>
        <c:minorUnit val="2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031811663664674E-2"/>
          <c:y val="2.4546012968447568E-2"/>
          <c:w val="0.9260941208188066"/>
          <c:h val="0.898033191410406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'Ahorro BBVA antiguo'!$J$4</c:f>
              <c:strCache>
                <c:ptCount val="1"/>
                <c:pt idx="0">
                  <c:v>Balance</c:v>
                </c:pt>
              </c:strCache>
            </c:strRef>
          </c:tx>
          <c:spPr>
            <a:noFill/>
            <a:ln w="9525" cap="flat" cmpd="sng" algn="ctr">
              <a:solidFill>
                <a:srgbClr val="00CC99"/>
              </a:solidFill>
              <a:miter lim="800000"/>
            </a:ln>
            <a:effectLst>
              <a:glow rad="63500">
                <a:srgbClr val="00CC99">
                  <a:alpha val="25000"/>
                </a:srgbClr>
              </a:glow>
            </a:effectLst>
          </c:spPr>
          <c:invertIfNegative val="1"/>
          <c:cat>
            <c:numRef>
              <c:f>'Ahorro BBVA antiguo'!$A$97:$A$158</c:f>
              <c:numCache>
                <c:formatCode>[$-C0A]mmmyy;@</c:formatCode>
                <c:ptCount val="62"/>
                <c:pt idx="0">
                  <c:v>43983</c:v>
                </c:pt>
                <c:pt idx="1">
                  <c:v>44013</c:v>
                </c:pt>
                <c:pt idx="2">
                  <c:v>44044</c:v>
                </c:pt>
                <c:pt idx="3">
                  <c:v>44075</c:v>
                </c:pt>
                <c:pt idx="4">
                  <c:v>44105</c:v>
                </c:pt>
                <c:pt idx="5">
                  <c:v>44136</c:v>
                </c:pt>
                <c:pt idx="6">
                  <c:v>44166</c:v>
                </c:pt>
                <c:pt idx="7">
                  <c:v>44197</c:v>
                </c:pt>
                <c:pt idx="8">
                  <c:v>44228</c:v>
                </c:pt>
                <c:pt idx="9">
                  <c:v>44256</c:v>
                </c:pt>
                <c:pt idx="10">
                  <c:v>44287</c:v>
                </c:pt>
                <c:pt idx="11">
                  <c:v>44317</c:v>
                </c:pt>
                <c:pt idx="12">
                  <c:v>44348</c:v>
                </c:pt>
                <c:pt idx="13">
                  <c:v>44378</c:v>
                </c:pt>
                <c:pt idx="14">
                  <c:v>44409</c:v>
                </c:pt>
                <c:pt idx="15">
                  <c:v>44440</c:v>
                </c:pt>
                <c:pt idx="16">
                  <c:v>44470</c:v>
                </c:pt>
                <c:pt idx="17">
                  <c:v>44501</c:v>
                </c:pt>
                <c:pt idx="18">
                  <c:v>44531</c:v>
                </c:pt>
                <c:pt idx="19">
                  <c:v>44562</c:v>
                </c:pt>
                <c:pt idx="20">
                  <c:v>44593</c:v>
                </c:pt>
                <c:pt idx="21">
                  <c:v>44621</c:v>
                </c:pt>
                <c:pt idx="22">
                  <c:v>44652</c:v>
                </c:pt>
                <c:pt idx="23">
                  <c:v>44682</c:v>
                </c:pt>
                <c:pt idx="24">
                  <c:v>44713</c:v>
                </c:pt>
                <c:pt idx="25">
                  <c:v>44743</c:v>
                </c:pt>
                <c:pt idx="26">
                  <c:v>44774</c:v>
                </c:pt>
                <c:pt idx="27">
                  <c:v>44805</c:v>
                </c:pt>
                <c:pt idx="28">
                  <c:v>44835</c:v>
                </c:pt>
                <c:pt idx="29">
                  <c:v>44866</c:v>
                </c:pt>
                <c:pt idx="30">
                  <c:v>44896</c:v>
                </c:pt>
                <c:pt idx="31">
                  <c:v>44927</c:v>
                </c:pt>
                <c:pt idx="32">
                  <c:v>44958</c:v>
                </c:pt>
                <c:pt idx="33">
                  <c:v>44986</c:v>
                </c:pt>
                <c:pt idx="34">
                  <c:v>45017</c:v>
                </c:pt>
                <c:pt idx="35">
                  <c:v>45047</c:v>
                </c:pt>
                <c:pt idx="36">
                  <c:v>45078</c:v>
                </c:pt>
                <c:pt idx="37">
                  <c:v>45108</c:v>
                </c:pt>
                <c:pt idx="38">
                  <c:v>45139</c:v>
                </c:pt>
                <c:pt idx="39">
                  <c:v>45170</c:v>
                </c:pt>
                <c:pt idx="40">
                  <c:v>45200</c:v>
                </c:pt>
                <c:pt idx="41">
                  <c:v>45231</c:v>
                </c:pt>
                <c:pt idx="42">
                  <c:v>45261</c:v>
                </c:pt>
                <c:pt idx="43">
                  <c:v>45292</c:v>
                </c:pt>
                <c:pt idx="44">
                  <c:v>45323</c:v>
                </c:pt>
                <c:pt idx="45">
                  <c:v>45352</c:v>
                </c:pt>
                <c:pt idx="46">
                  <c:v>45383</c:v>
                </c:pt>
                <c:pt idx="47">
                  <c:v>45413</c:v>
                </c:pt>
                <c:pt idx="48">
                  <c:v>45444</c:v>
                </c:pt>
                <c:pt idx="49">
                  <c:v>45474</c:v>
                </c:pt>
                <c:pt idx="50">
                  <c:v>45505</c:v>
                </c:pt>
                <c:pt idx="51">
                  <c:v>45536</c:v>
                </c:pt>
                <c:pt idx="52">
                  <c:v>45566</c:v>
                </c:pt>
                <c:pt idx="53">
                  <c:v>45597</c:v>
                </c:pt>
                <c:pt idx="54">
                  <c:v>45627</c:v>
                </c:pt>
                <c:pt idx="55">
                  <c:v>45658</c:v>
                </c:pt>
                <c:pt idx="56">
                  <c:v>45689</c:v>
                </c:pt>
                <c:pt idx="57">
                  <c:v>45717</c:v>
                </c:pt>
                <c:pt idx="58">
                  <c:v>45748</c:v>
                </c:pt>
                <c:pt idx="59">
                  <c:v>45778</c:v>
                </c:pt>
                <c:pt idx="60">
                  <c:v>45809</c:v>
                </c:pt>
                <c:pt idx="61">
                  <c:v>45839</c:v>
                </c:pt>
              </c:numCache>
            </c:numRef>
          </c:cat>
          <c:val>
            <c:numRef>
              <c:f>'Ahorro BBVA antiguo'!$J$97:$J$158</c:f>
              <c:numCache>
                <c:formatCode>#,##0.00</c:formatCode>
                <c:ptCount val="62"/>
                <c:pt idx="0">
                  <c:v>930.26000000000204</c:v>
                </c:pt>
                <c:pt idx="1">
                  <c:v>804.19000000000233</c:v>
                </c:pt>
                <c:pt idx="2">
                  <c:v>853.70999999999913</c:v>
                </c:pt>
                <c:pt idx="3">
                  <c:v>1010.6399999999994</c:v>
                </c:pt>
                <c:pt idx="4">
                  <c:v>705.48999999999796</c:v>
                </c:pt>
                <c:pt idx="5">
                  <c:v>662.95999999999913</c:v>
                </c:pt>
                <c:pt idx="6">
                  <c:v>-93.419999999998254</c:v>
                </c:pt>
                <c:pt idx="7">
                  <c:v>-71.059999999997672</c:v>
                </c:pt>
                <c:pt idx="8">
                  <c:v>-69</c:v>
                </c:pt>
                <c:pt idx="9">
                  <c:v>-26.209999999999127</c:v>
                </c:pt>
                <c:pt idx="10">
                  <c:v>1803.25</c:v>
                </c:pt>
                <c:pt idx="11">
                  <c:v>909.47000000000116</c:v>
                </c:pt>
                <c:pt idx="12">
                  <c:v>747.39999999999418</c:v>
                </c:pt>
                <c:pt idx="13">
                  <c:v>2440.0500000000029</c:v>
                </c:pt>
                <c:pt idx="14">
                  <c:v>1171.0299999999988</c:v>
                </c:pt>
                <c:pt idx="15">
                  <c:v>1794.6499999999942</c:v>
                </c:pt>
                <c:pt idx="16">
                  <c:v>756.26000000000931</c:v>
                </c:pt>
                <c:pt idx="17">
                  <c:v>1022.0800000000017</c:v>
                </c:pt>
                <c:pt idx="18">
                  <c:v>-61.790000000008149</c:v>
                </c:pt>
                <c:pt idx="19">
                  <c:v>17.400000000008731</c:v>
                </c:pt>
                <c:pt idx="20">
                  <c:v>22.389999999999418</c:v>
                </c:pt>
                <c:pt idx="21">
                  <c:v>81.569999999992433</c:v>
                </c:pt>
                <c:pt idx="22">
                  <c:v>248.58000000000175</c:v>
                </c:pt>
                <c:pt idx="23">
                  <c:v>1323.6399999999994</c:v>
                </c:pt>
                <c:pt idx="24">
                  <c:v>1120.0299999999988</c:v>
                </c:pt>
                <c:pt idx="25">
                  <c:v>2062.8099999999977</c:v>
                </c:pt>
                <c:pt idx="26">
                  <c:v>1349.8100000000122</c:v>
                </c:pt>
                <c:pt idx="27">
                  <c:v>1328.4899999999907</c:v>
                </c:pt>
                <c:pt idx="28">
                  <c:v>1336.3899999999994</c:v>
                </c:pt>
                <c:pt idx="29">
                  <c:v>1359.4799999999959</c:v>
                </c:pt>
                <c:pt idx="30">
                  <c:v>2827.9000000000087</c:v>
                </c:pt>
                <c:pt idx="31">
                  <c:v>1278.3999999999942</c:v>
                </c:pt>
                <c:pt idx="32">
                  <c:v>1408.6399999999994</c:v>
                </c:pt>
                <c:pt idx="33">
                  <c:v>1361.8899999999994</c:v>
                </c:pt>
                <c:pt idx="34">
                  <c:v>1322.3400000000111</c:v>
                </c:pt>
                <c:pt idx="35">
                  <c:v>1176.2899999999936</c:v>
                </c:pt>
                <c:pt idx="36">
                  <c:v>1188.4400000000023</c:v>
                </c:pt>
                <c:pt idx="37">
                  <c:v>2684.75</c:v>
                </c:pt>
                <c:pt idx="38">
                  <c:v>1249.8300000000017</c:v>
                </c:pt>
                <c:pt idx="39">
                  <c:v>1384.6999999999971</c:v>
                </c:pt>
                <c:pt idx="40">
                  <c:v>1254.1100000000006</c:v>
                </c:pt>
                <c:pt idx="41">
                  <c:v>1618.1900000000023</c:v>
                </c:pt>
                <c:pt idx="42">
                  <c:v>2589.3699999999953</c:v>
                </c:pt>
                <c:pt idx="43">
                  <c:v>1415.7200000000012</c:v>
                </c:pt>
                <c:pt idx="44">
                  <c:v>1304.2300000000105</c:v>
                </c:pt>
                <c:pt idx="45">
                  <c:v>1263.6699999999837</c:v>
                </c:pt>
                <c:pt idx="46">
                  <c:v>1955.3600000000151</c:v>
                </c:pt>
                <c:pt idx="47">
                  <c:v>1460.2899999999936</c:v>
                </c:pt>
                <c:pt idx="48">
                  <c:v>826.77000000000407</c:v>
                </c:pt>
                <c:pt idx="49">
                  <c:v>2847.929999999993</c:v>
                </c:pt>
                <c:pt idx="50">
                  <c:v>2716.4400000000023</c:v>
                </c:pt>
                <c:pt idx="51">
                  <c:v>1551.9400000000023</c:v>
                </c:pt>
                <c:pt idx="52">
                  <c:v>1716.7099999999919</c:v>
                </c:pt>
                <c:pt idx="53">
                  <c:v>7467.2400000000052</c:v>
                </c:pt>
                <c:pt idx="54">
                  <c:v>3249.0899999999965</c:v>
                </c:pt>
                <c:pt idx="55">
                  <c:v>1495.8400000000111</c:v>
                </c:pt>
                <c:pt idx="56">
                  <c:v>2472.3399999999965</c:v>
                </c:pt>
                <c:pt idx="57">
                  <c:v>949.92999999999302</c:v>
                </c:pt>
                <c:pt idx="58">
                  <c:v>1834.5400000000081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3-4136-A879-D40634506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146780128"/>
        <c:axId val="-1146789920"/>
      </c:barChart>
      <c:dateAx>
        <c:axId val="-1146780128"/>
        <c:scaling>
          <c:orientation val="minMax"/>
        </c:scaling>
        <c:delete val="0"/>
        <c:axPos val="b"/>
        <c:numFmt formatCode="[$-C0A]mmmyy;@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Livvic" pitchFamily="2" charset="0"/>
                <a:ea typeface="+mn-ea"/>
                <a:cs typeface="+mn-cs"/>
              </a:defRPr>
            </a:pPr>
            <a:endParaRPr lang="es-ES"/>
          </a:p>
        </c:txPr>
        <c:crossAx val="-1146789920"/>
        <c:crosses val="autoZero"/>
        <c:auto val="1"/>
        <c:lblOffset val="100"/>
        <c:baseTimeUnit val="months"/>
      </c:dateAx>
      <c:valAx>
        <c:axId val="-1146789920"/>
        <c:scaling>
          <c:orientation val="minMax"/>
          <c:max val="3000"/>
          <c:min val="-2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Livvic" pitchFamily="2" charset="0"/>
                <a:ea typeface="+mn-ea"/>
                <a:cs typeface="+mn-cs"/>
              </a:defRPr>
            </a:pPr>
            <a:endParaRPr lang="es-ES"/>
          </a:p>
        </c:txPr>
        <c:crossAx val="-1146780128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85000"/>
        <a:lumOff val="1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'Ahorro BBVA antiguo'!$I$4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rgbClr val="00B050"/>
              </a:solidFill>
            </a:ln>
            <a:effectLst>
              <a:glow rad="139700">
                <a:srgbClr val="00CC99">
                  <a:alpha val="14000"/>
                </a:srgbClr>
              </a:glow>
            </a:effectLst>
          </c:spPr>
          <c:marker>
            <c:symbol val="none"/>
          </c:marker>
          <c:cat>
            <c:numRef>
              <c:f>'Ahorro BBVA antiguo'!$A$5:$A$163</c:f>
              <c:numCache>
                <c:formatCode>[$-C0A]mmmyy;@</c:formatCode>
                <c:ptCount val="159"/>
                <c:pt idx="0">
                  <c:v>41183</c:v>
                </c:pt>
                <c:pt idx="1">
                  <c:v>41214</c:v>
                </c:pt>
                <c:pt idx="2">
                  <c:v>41244</c:v>
                </c:pt>
                <c:pt idx="3">
                  <c:v>41275</c:v>
                </c:pt>
                <c:pt idx="4">
                  <c:v>41306</c:v>
                </c:pt>
                <c:pt idx="5">
                  <c:v>41334</c:v>
                </c:pt>
                <c:pt idx="6">
                  <c:v>41365</c:v>
                </c:pt>
                <c:pt idx="7">
                  <c:v>41395</c:v>
                </c:pt>
                <c:pt idx="8">
                  <c:v>41426</c:v>
                </c:pt>
                <c:pt idx="9">
                  <c:v>41456</c:v>
                </c:pt>
                <c:pt idx="10">
                  <c:v>41487</c:v>
                </c:pt>
                <c:pt idx="11">
                  <c:v>41518</c:v>
                </c:pt>
                <c:pt idx="12">
                  <c:v>41548</c:v>
                </c:pt>
                <c:pt idx="13">
                  <c:v>41579</c:v>
                </c:pt>
                <c:pt idx="14">
                  <c:v>41609</c:v>
                </c:pt>
                <c:pt idx="15">
                  <c:v>41640</c:v>
                </c:pt>
                <c:pt idx="16">
                  <c:v>41671</c:v>
                </c:pt>
                <c:pt idx="17">
                  <c:v>41699</c:v>
                </c:pt>
                <c:pt idx="18">
                  <c:v>41730</c:v>
                </c:pt>
                <c:pt idx="19">
                  <c:v>41760</c:v>
                </c:pt>
                <c:pt idx="20">
                  <c:v>41791</c:v>
                </c:pt>
                <c:pt idx="21">
                  <c:v>41821</c:v>
                </c:pt>
                <c:pt idx="22">
                  <c:v>41852</c:v>
                </c:pt>
                <c:pt idx="23">
                  <c:v>41883</c:v>
                </c:pt>
                <c:pt idx="24">
                  <c:v>41913</c:v>
                </c:pt>
                <c:pt idx="25">
                  <c:v>41944</c:v>
                </c:pt>
                <c:pt idx="26">
                  <c:v>41974</c:v>
                </c:pt>
                <c:pt idx="27">
                  <c:v>42005</c:v>
                </c:pt>
                <c:pt idx="28">
                  <c:v>42036</c:v>
                </c:pt>
                <c:pt idx="29">
                  <c:v>42064</c:v>
                </c:pt>
                <c:pt idx="30">
                  <c:v>42095</c:v>
                </c:pt>
                <c:pt idx="31">
                  <c:v>42125</c:v>
                </c:pt>
                <c:pt idx="32">
                  <c:v>42156</c:v>
                </c:pt>
                <c:pt idx="33">
                  <c:v>42186</c:v>
                </c:pt>
                <c:pt idx="34">
                  <c:v>42217</c:v>
                </c:pt>
                <c:pt idx="35">
                  <c:v>42248</c:v>
                </c:pt>
                <c:pt idx="36">
                  <c:v>42278</c:v>
                </c:pt>
                <c:pt idx="37">
                  <c:v>42309</c:v>
                </c:pt>
                <c:pt idx="38">
                  <c:v>42339</c:v>
                </c:pt>
                <c:pt idx="39">
                  <c:v>42370</c:v>
                </c:pt>
                <c:pt idx="40">
                  <c:v>42401</c:v>
                </c:pt>
                <c:pt idx="41">
                  <c:v>42430</c:v>
                </c:pt>
                <c:pt idx="42">
                  <c:v>42461</c:v>
                </c:pt>
                <c:pt idx="43">
                  <c:v>42491</c:v>
                </c:pt>
                <c:pt idx="44">
                  <c:v>42522</c:v>
                </c:pt>
                <c:pt idx="45">
                  <c:v>42552</c:v>
                </c:pt>
                <c:pt idx="46">
                  <c:v>42583</c:v>
                </c:pt>
                <c:pt idx="47">
                  <c:v>42614</c:v>
                </c:pt>
                <c:pt idx="48">
                  <c:v>42644</c:v>
                </c:pt>
                <c:pt idx="49">
                  <c:v>42675</c:v>
                </c:pt>
                <c:pt idx="50">
                  <c:v>42705</c:v>
                </c:pt>
                <c:pt idx="51">
                  <c:v>42736</c:v>
                </c:pt>
                <c:pt idx="52">
                  <c:v>42767</c:v>
                </c:pt>
                <c:pt idx="53">
                  <c:v>42795</c:v>
                </c:pt>
                <c:pt idx="54">
                  <c:v>42826</c:v>
                </c:pt>
                <c:pt idx="55">
                  <c:v>42856</c:v>
                </c:pt>
                <c:pt idx="56">
                  <c:v>42887</c:v>
                </c:pt>
                <c:pt idx="57">
                  <c:v>42917</c:v>
                </c:pt>
                <c:pt idx="58">
                  <c:v>42948</c:v>
                </c:pt>
                <c:pt idx="59">
                  <c:v>42979</c:v>
                </c:pt>
                <c:pt idx="60">
                  <c:v>43009</c:v>
                </c:pt>
                <c:pt idx="61">
                  <c:v>43040</c:v>
                </c:pt>
                <c:pt idx="62">
                  <c:v>43070</c:v>
                </c:pt>
                <c:pt idx="63">
                  <c:v>43101</c:v>
                </c:pt>
                <c:pt idx="64">
                  <c:v>43132</c:v>
                </c:pt>
                <c:pt idx="65">
                  <c:v>43160</c:v>
                </c:pt>
                <c:pt idx="66">
                  <c:v>43191</c:v>
                </c:pt>
                <c:pt idx="67">
                  <c:v>43221</c:v>
                </c:pt>
                <c:pt idx="68">
                  <c:v>43252</c:v>
                </c:pt>
                <c:pt idx="69">
                  <c:v>43282</c:v>
                </c:pt>
                <c:pt idx="70">
                  <c:v>43313</c:v>
                </c:pt>
                <c:pt idx="71">
                  <c:v>43344</c:v>
                </c:pt>
                <c:pt idx="72">
                  <c:v>43374</c:v>
                </c:pt>
                <c:pt idx="73">
                  <c:v>43405</c:v>
                </c:pt>
                <c:pt idx="74">
                  <c:v>43435</c:v>
                </c:pt>
                <c:pt idx="75">
                  <c:v>43466</c:v>
                </c:pt>
                <c:pt idx="76">
                  <c:v>43497</c:v>
                </c:pt>
                <c:pt idx="77">
                  <c:v>43525</c:v>
                </c:pt>
                <c:pt idx="78">
                  <c:v>43556</c:v>
                </c:pt>
                <c:pt idx="79">
                  <c:v>43586</c:v>
                </c:pt>
                <c:pt idx="80">
                  <c:v>43617</c:v>
                </c:pt>
                <c:pt idx="81">
                  <c:v>43647</c:v>
                </c:pt>
                <c:pt idx="82">
                  <c:v>43678</c:v>
                </c:pt>
                <c:pt idx="83">
                  <c:v>43709</c:v>
                </c:pt>
                <c:pt idx="84">
                  <c:v>43739</c:v>
                </c:pt>
                <c:pt idx="85">
                  <c:v>43770</c:v>
                </c:pt>
                <c:pt idx="86">
                  <c:v>43800</c:v>
                </c:pt>
                <c:pt idx="87">
                  <c:v>43831</c:v>
                </c:pt>
                <c:pt idx="88">
                  <c:v>43862</c:v>
                </c:pt>
                <c:pt idx="89">
                  <c:v>43891</c:v>
                </c:pt>
                <c:pt idx="90">
                  <c:v>43922</c:v>
                </c:pt>
                <c:pt idx="91">
                  <c:v>43952</c:v>
                </c:pt>
                <c:pt idx="92">
                  <c:v>43983</c:v>
                </c:pt>
                <c:pt idx="93">
                  <c:v>44013</c:v>
                </c:pt>
                <c:pt idx="94">
                  <c:v>44044</c:v>
                </c:pt>
                <c:pt idx="95">
                  <c:v>44075</c:v>
                </c:pt>
                <c:pt idx="96">
                  <c:v>44105</c:v>
                </c:pt>
                <c:pt idx="97">
                  <c:v>44136</c:v>
                </c:pt>
                <c:pt idx="98">
                  <c:v>44166</c:v>
                </c:pt>
                <c:pt idx="99">
                  <c:v>44197</c:v>
                </c:pt>
                <c:pt idx="100">
                  <c:v>44228</c:v>
                </c:pt>
                <c:pt idx="101">
                  <c:v>44256</c:v>
                </c:pt>
                <c:pt idx="102">
                  <c:v>44287</c:v>
                </c:pt>
                <c:pt idx="103">
                  <c:v>44317</c:v>
                </c:pt>
                <c:pt idx="104">
                  <c:v>44348</c:v>
                </c:pt>
                <c:pt idx="105">
                  <c:v>44378</c:v>
                </c:pt>
                <c:pt idx="106">
                  <c:v>44409</c:v>
                </c:pt>
                <c:pt idx="107">
                  <c:v>44440</c:v>
                </c:pt>
                <c:pt idx="108">
                  <c:v>44470</c:v>
                </c:pt>
                <c:pt idx="109">
                  <c:v>44501</c:v>
                </c:pt>
                <c:pt idx="110">
                  <c:v>44531</c:v>
                </c:pt>
                <c:pt idx="111">
                  <c:v>44562</c:v>
                </c:pt>
                <c:pt idx="112">
                  <c:v>44593</c:v>
                </c:pt>
                <c:pt idx="113">
                  <c:v>44621</c:v>
                </c:pt>
                <c:pt idx="114">
                  <c:v>44652</c:v>
                </c:pt>
                <c:pt idx="115">
                  <c:v>44682</c:v>
                </c:pt>
                <c:pt idx="116">
                  <c:v>44713</c:v>
                </c:pt>
                <c:pt idx="117">
                  <c:v>44743</c:v>
                </c:pt>
                <c:pt idx="118">
                  <c:v>44774</c:v>
                </c:pt>
                <c:pt idx="119">
                  <c:v>44805</c:v>
                </c:pt>
                <c:pt idx="120">
                  <c:v>44835</c:v>
                </c:pt>
                <c:pt idx="121">
                  <c:v>44866</c:v>
                </c:pt>
                <c:pt idx="122">
                  <c:v>44896</c:v>
                </c:pt>
                <c:pt idx="123">
                  <c:v>44927</c:v>
                </c:pt>
                <c:pt idx="124">
                  <c:v>44958</c:v>
                </c:pt>
                <c:pt idx="125">
                  <c:v>44986</c:v>
                </c:pt>
                <c:pt idx="126">
                  <c:v>45017</c:v>
                </c:pt>
                <c:pt idx="127">
                  <c:v>45047</c:v>
                </c:pt>
                <c:pt idx="128">
                  <c:v>45078</c:v>
                </c:pt>
                <c:pt idx="129">
                  <c:v>45108</c:v>
                </c:pt>
                <c:pt idx="130">
                  <c:v>45139</c:v>
                </c:pt>
                <c:pt idx="131">
                  <c:v>45170</c:v>
                </c:pt>
                <c:pt idx="132">
                  <c:v>45200</c:v>
                </c:pt>
                <c:pt idx="133">
                  <c:v>45231</c:v>
                </c:pt>
                <c:pt idx="134">
                  <c:v>45261</c:v>
                </c:pt>
                <c:pt idx="135">
                  <c:v>45292</c:v>
                </c:pt>
                <c:pt idx="136">
                  <c:v>45323</c:v>
                </c:pt>
                <c:pt idx="137">
                  <c:v>45352</c:v>
                </c:pt>
                <c:pt idx="138">
                  <c:v>45383</c:v>
                </c:pt>
                <c:pt idx="139">
                  <c:v>45413</c:v>
                </c:pt>
                <c:pt idx="140">
                  <c:v>45444</c:v>
                </c:pt>
                <c:pt idx="141">
                  <c:v>45474</c:v>
                </c:pt>
                <c:pt idx="142">
                  <c:v>45505</c:v>
                </c:pt>
                <c:pt idx="143">
                  <c:v>45536</c:v>
                </c:pt>
                <c:pt idx="144">
                  <c:v>45566</c:v>
                </c:pt>
                <c:pt idx="145">
                  <c:v>45597</c:v>
                </c:pt>
                <c:pt idx="146">
                  <c:v>45627</c:v>
                </c:pt>
                <c:pt idx="147">
                  <c:v>45658</c:v>
                </c:pt>
                <c:pt idx="148">
                  <c:v>45689</c:v>
                </c:pt>
                <c:pt idx="149">
                  <c:v>45717</c:v>
                </c:pt>
                <c:pt idx="150">
                  <c:v>45748</c:v>
                </c:pt>
                <c:pt idx="151">
                  <c:v>45778</c:v>
                </c:pt>
                <c:pt idx="152">
                  <c:v>45809</c:v>
                </c:pt>
                <c:pt idx="153">
                  <c:v>45839</c:v>
                </c:pt>
                <c:pt idx="154">
                  <c:v>45870</c:v>
                </c:pt>
                <c:pt idx="155">
                  <c:v>45901</c:v>
                </c:pt>
                <c:pt idx="156">
                  <c:v>45931</c:v>
                </c:pt>
                <c:pt idx="157">
                  <c:v>45962</c:v>
                </c:pt>
                <c:pt idx="158">
                  <c:v>45992</c:v>
                </c:pt>
              </c:numCache>
            </c:numRef>
          </c:cat>
          <c:val>
            <c:numRef>
              <c:f>'Ahorro BBVA antiguo'!$I$5:$I$163</c:f>
              <c:numCache>
                <c:formatCode>#,##0.00</c:formatCode>
                <c:ptCount val="159"/>
                <c:pt idx="0">
                  <c:v>5746.53</c:v>
                </c:pt>
                <c:pt idx="1">
                  <c:v>5708.02</c:v>
                </c:pt>
                <c:pt idx="2">
                  <c:v>5457.93</c:v>
                </c:pt>
                <c:pt idx="3">
                  <c:v>5532.22</c:v>
                </c:pt>
                <c:pt idx="4">
                  <c:v>5724.38</c:v>
                </c:pt>
                <c:pt idx="5">
                  <c:v>5929.39</c:v>
                </c:pt>
                <c:pt idx="6">
                  <c:v>5994.39</c:v>
                </c:pt>
                <c:pt idx="7">
                  <c:v>6238.39</c:v>
                </c:pt>
                <c:pt idx="8">
                  <c:v>6224.91</c:v>
                </c:pt>
                <c:pt idx="9">
                  <c:v>6389.91</c:v>
                </c:pt>
                <c:pt idx="10">
                  <c:v>6615.51</c:v>
                </c:pt>
                <c:pt idx="11">
                  <c:v>6813.53</c:v>
                </c:pt>
                <c:pt idx="12">
                  <c:v>7005.69</c:v>
                </c:pt>
                <c:pt idx="13">
                  <c:v>7358.85</c:v>
                </c:pt>
                <c:pt idx="14">
                  <c:v>8022.8099999999995</c:v>
                </c:pt>
                <c:pt idx="15">
                  <c:v>8569.18</c:v>
                </c:pt>
                <c:pt idx="16">
                  <c:v>9153.6</c:v>
                </c:pt>
                <c:pt idx="17">
                  <c:v>9751.93</c:v>
                </c:pt>
                <c:pt idx="18">
                  <c:v>9961.7900000000009</c:v>
                </c:pt>
                <c:pt idx="19">
                  <c:v>10590.4</c:v>
                </c:pt>
                <c:pt idx="20">
                  <c:v>11259.47</c:v>
                </c:pt>
                <c:pt idx="21">
                  <c:v>11953.990000000002</c:v>
                </c:pt>
                <c:pt idx="22">
                  <c:v>12162.31</c:v>
                </c:pt>
                <c:pt idx="23">
                  <c:v>12363.44</c:v>
                </c:pt>
                <c:pt idx="24">
                  <c:v>12518.34</c:v>
                </c:pt>
                <c:pt idx="25">
                  <c:v>12677.75</c:v>
                </c:pt>
                <c:pt idx="26">
                  <c:v>12841.89</c:v>
                </c:pt>
                <c:pt idx="27">
                  <c:v>13066.46</c:v>
                </c:pt>
                <c:pt idx="28">
                  <c:v>13509.39</c:v>
                </c:pt>
                <c:pt idx="29">
                  <c:v>14042.54</c:v>
                </c:pt>
                <c:pt idx="30">
                  <c:v>14477.89</c:v>
                </c:pt>
                <c:pt idx="31">
                  <c:v>15000.369999999999</c:v>
                </c:pt>
                <c:pt idx="32">
                  <c:v>15501.35</c:v>
                </c:pt>
                <c:pt idx="33">
                  <c:v>16468.22</c:v>
                </c:pt>
                <c:pt idx="34">
                  <c:v>16368.54</c:v>
                </c:pt>
                <c:pt idx="35">
                  <c:v>16376.51</c:v>
                </c:pt>
                <c:pt idx="36">
                  <c:v>16871.27</c:v>
                </c:pt>
                <c:pt idx="37">
                  <c:v>17346.77</c:v>
                </c:pt>
                <c:pt idx="38">
                  <c:v>17965.37</c:v>
                </c:pt>
                <c:pt idx="39">
                  <c:v>18433.87</c:v>
                </c:pt>
                <c:pt idx="40">
                  <c:v>18963.54</c:v>
                </c:pt>
                <c:pt idx="41">
                  <c:v>19886.64</c:v>
                </c:pt>
                <c:pt idx="42">
                  <c:v>20827.23</c:v>
                </c:pt>
                <c:pt idx="43">
                  <c:v>22438.05</c:v>
                </c:pt>
                <c:pt idx="44">
                  <c:v>22256.68</c:v>
                </c:pt>
                <c:pt idx="45">
                  <c:v>22649.73</c:v>
                </c:pt>
                <c:pt idx="46">
                  <c:v>23245.87</c:v>
                </c:pt>
                <c:pt idx="47">
                  <c:v>23950.75</c:v>
                </c:pt>
                <c:pt idx="48">
                  <c:v>25040.36</c:v>
                </c:pt>
                <c:pt idx="49">
                  <c:v>25810.82</c:v>
                </c:pt>
                <c:pt idx="50">
                  <c:v>26982.13</c:v>
                </c:pt>
                <c:pt idx="51">
                  <c:v>27859.07</c:v>
                </c:pt>
                <c:pt idx="52">
                  <c:v>27850.57</c:v>
                </c:pt>
                <c:pt idx="53">
                  <c:v>27876.91</c:v>
                </c:pt>
                <c:pt idx="54">
                  <c:v>27918.35</c:v>
                </c:pt>
                <c:pt idx="55">
                  <c:v>27973.94</c:v>
                </c:pt>
                <c:pt idx="56">
                  <c:v>28592.98</c:v>
                </c:pt>
                <c:pt idx="57">
                  <c:v>28882.26</c:v>
                </c:pt>
                <c:pt idx="58">
                  <c:v>29329.47</c:v>
                </c:pt>
                <c:pt idx="59">
                  <c:v>29860.17</c:v>
                </c:pt>
                <c:pt idx="60">
                  <c:v>30543.82</c:v>
                </c:pt>
                <c:pt idx="61">
                  <c:v>30652.23</c:v>
                </c:pt>
                <c:pt idx="62">
                  <c:v>31651.95</c:v>
                </c:pt>
                <c:pt idx="63">
                  <c:v>32361.24</c:v>
                </c:pt>
                <c:pt idx="64">
                  <c:v>32367.58</c:v>
                </c:pt>
                <c:pt idx="65">
                  <c:v>32392.21</c:v>
                </c:pt>
                <c:pt idx="66">
                  <c:v>32536.44</c:v>
                </c:pt>
                <c:pt idx="67">
                  <c:v>32267.83</c:v>
                </c:pt>
                <c:pt idx="68">
                  <c:v>32270.29</c:v>
                </c:pt>
                <c:pt idx="69">
                  <c:v>32812.01</c:v>
                </c:pt>
                <c:pt idx="70">
                  <c:v>33778.660000000003</c:v>
                </c:pt>
                <c:pt idx="71">
                  <c:v>34483.730000000003</c:v>
                </c:pt>
                <c:pt idx="72">
                  <c:v>35844.519999999997</c:v>
                </c:pt>
                <c:pt idx="73">
                  <c:v>36774.83</c:v>
                </c:pt>
                <c:pt idx="74">
                  <c:v>37792.42</c:v>
                </c:pt>
                <c:pt idx="75">
                  <c:v>38589.43</c:v>
                </c:pt>
                <c:pt idx="76">
                  <c:v>39767.160000000003</c:v>
                </c:pt>
                <c:pt idx="77">
                  <c:v>40493.800000000003</c:v>
                </c:pt>
                <c:pt idx="78">
                  <c:v>41469.22</c:v>
                </c:pt>
                <c:pt idx="79">
                  <c:v>42435.48</c:v>
                </c:pt>
                <c:pt idx="80">
                  <c:v>42940.78</c:v>
                </c:pt>
                <c:pt idx="81">
                  <c:v>44572.05</c:v>
                </c:pt>
                <c:pt idx="82">
                  <c:v>45364.05</c:v>
                </c:pt>
                <c:pt idx="83">
                  <c:v>46195.15</c:v>
                </c:pt>
                <c:pt idx="84">
                  <c:v>47212.24</c:v>
                </c:pt>
                <c:pt idx="85">
                  <c:v>47945.82</c:v>
                </c:pt>
                <c:pt idx="86">
                  <c:v>48880.04</c:v>
                </c:pt>
                <c:pt idx="87">
                  <c:v>50103.360000000001</c:v>
                </c:pt>
                <c:pt idx="88">
                  <c:v>50880.2</c:v>
                </c:pt>
                <c:pt idx="89">
                  <c:v>51413.36</c:v>
                </c:pt>
                <c:pt idx="90">
                  <c:v>51975.63</c:v>
                </c:pt>
                <c:pt idx="91">
                  <c:v>52771.38</c:v>
                </c:pt>
                <c:pt idx="92">
                  <c:v>53701.64</c:v>
                </c:pt>
                <c:pt idx="93">
                  <c:v>54505.83</c:v>
                </c:pt>
                <c:pt idx="94">
                  <c:v>55359.54</c:v>
                </c:pt>
                <c:pt idx="95">
                  <c:v>56370.18</c:v>
                </c:pt>
                <c:pt idx="96">
                  <c:v>57075.67</c:v>
                </c:pt>
                <c:pt idx="97">
                  <c:v>57738.63</c:v>
                </c:pt>
                <c:pt idx="98">
                  <c:v>57645.21</c:v>
                </c:pt>
                <c:pt idx="99">
                  <c:v>57574.15</c:v>
                </c:pt>
                <c:pt idx="100">
                  <c:v>57505.15</c:v>
                </c:pt>
                <c:pt idx="101">
                  <c:v>57478.94</c:v>
                </c:pt>
                <c:pt idx="102">
                  <c:v>59282.19</c:v>
                </c:pt>
                <c:pt idx="103">
                  <c:v>60191.66</c:v>
                </c:pt>
                <c:pt idx="104">
                  <c:v>60939.06</c:v>
                </c:pt>
                <c:pt idx="105">
                  <c:v>63379.11</c:v>
                </c:pt>
                <c:pt idx="106">
                  <c:v>64550.14</c:v>
                </c:pt>
                <c:pt idx="107">
                  <c:v>66344.789999999994</c:v>
                </c:pt>
                <c:pt idx="108">
                  <c:v>67101.05</c:v>
                </c:pt>
                <c:pt idx="109">
                  <c:v>68123.13</c:v>
                </c:pt>
                <c:pt idx="110">
                  <c:v>68061.34</c:v>
                </c:pt>
                <c:pt idx="111">
                  <c:v>68078.740000000005</c:v>
                </c:pt>
                <c:pt idx="112">
                  <c:v>68101.13</c:v>
                </c:pt>
                <c:pt idx="113">
                  <c:v>68182.7</c:v>
                </c:pt>
                <c:pt idx="114">
                  <c:v>68431.28</c:v>
                </c:pt>
                <c:pt idx="115">
                  <c:v>69754.92</c:v>
                </c:pt>
                <c:pt idx="116">
                  <c:v>70874.95</c:v>
                </c:pt>
                <c:pt idx="117">
                  <c:v>72937.759999999995</c:v>
                </c:pt>
                <c:pt idx="118">
                  <c:v>74287.570000000007</c:v>
                </c:pt>
                <c:pt idx="119">
                  <c:v>75616.06</c:v>
                </c:pt>
                <c:pt idx="120">
                  <c:v>76952.45</c:v>
                </c:pt>
                <c:pt idx="121">
                  <c:v>78311.929999999993</c:v>
                </c:pt>
                <c:pt idx="122">
                  <c:v>81139.83</c:v>
                </c:pt>
                <c:pt idx="123">
                  <c:v>82418.23</c:v>
                </c:pt>
                <c:pt idx="124">
                  <c:v>83826.87</c:v>
                </c:pt>
                <c:pt idx="125">
                  <c:v>85188.76</c:v>
                </c:pt>
                <c:pt idx="126">
                  <c:v>86511.1</c:v>
                </c:pt>
                <c:pt idx="127">
                  <c:v>87687.39</c:v>
                </c:pt>
                <c:pt idx="128">
                  <c:v>88875.83</c:v>
                </c:pt>
                <c:pt idx="129">
                  <c:v>91560.58</c:v>
                </c:pt>
                <c:pt idx="130">
                  <c:v>92810.41</c:v>
                </c:pt>
                <c:pt idx="131">
                  <c:v>94195.11</c:v>
                </c:pt>
                <c:pt idx="132">
                  <c:v>95449.22</c:v>
                </c:pt>
                <c:pt idx="133">
                  <c:v>97067.41</c:v>
                </c:pt>
                <c:pt idx="134">
                  <c:v>99656.78</c:v>
                </c:pt>
                <c:pt idx="135">
                  <c:v>101072.5</c:v>
                </c:pt>
                <c:pt idx="136">
                  <c:v>102376.73000000001</c:v>
                </c:pt>
                <c:pt idx="137">
                  <c:v>103640.4</c:v>
                </c:pt>
                <c:pt idx="138">
                  <c:v>105595.76000000001</c:v>
                </c:pt>
                <c:pt idx="139">
                  <c:v>107056.05</c:v>
                </c:pt>
                <c:pt idx="140">
                  <c:v>107882.82</c:v>
                </c:pt>
                <c:pt idx="141">
                  <c:v>110730.75</c:v>
                </c:pt>
                <c:pt idx="142">
                  <c:v>113447.19</c:v>
                </c:pt>
                <c:pt idx="143">
                  <c:v>114999.13</c:v>
                </c:pt>
                <c:pt idx="144">
                  <c:v>116715.84</c:v>
                </c:pt>
                <c:pt idx="145">
                  <c:v>124183.08</c:v>
                </c:pt>
                <c:pt idx="146">
                  <c:v>127432.17</c:v>
                </c:pt>
                <c:pt idx="147">
                  <c:v>128928.01000000001</c:v>
                </c:pt>
                <c:pt idx="148">
                  <c:v>131400.35</c:v>
                </c:pt>
                <c:pt idx="149">
                  <c:v>132350.28</c:v>
                </c:pt>
                <c:pt idx="150">
                  <c:v>134184.82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C-44B5-A586-04EAEE9FE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46785568"/>
        <c:axId val="-1146782848"/>
      </c:lineChart>
      <c:dateAx>
        <c:axId val="-1146785568"/>
        <c:scaling>
          <c:orientation val="minMax"/>
        </c:scaling>
        <c:delete val="0"/>
        <c:axPos val="b"/>
        <c:numFmt formatCode="[$-C0A]mmmyy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Livvic" pitchFamily="2" charset="0"/>
                <a:ea typeface="+mn-ea"/>
                <a:cs typeface="+mn-cs"/>
              </a:defRPr>
            </a:pPr>
            <a:endParaRPr lang="es-ES"/>
          </a:p>
        </c:txPr>
        <c:crossAx val="-1146782848"/>
        <c:crosses val="autoZero"/>
        <c:auto val="1"/>
        <c:lblOffset val="100"/>
        <c:baseTimeUnit val="months"/>
      </c:dateAx>
      <c:valAx>
        <c:axId val="-1146782848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Livvic" pitchFamily="2" charset="0"/>
                <a:ea typeface="+mn-ea"/>
                <a:cs typeface="+mn-cs"/>
              </a:defRPr>
            </a:pPr>
            <a:endParaRPr lang="es-ES"/>
          </a:p>
        </c:txPr>
        <c:crossAx val="-1146785568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85000"/>
        <a:lumOff val="1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 /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5316</xdr:colOff>
      <xdr:row>20</xdr:row>
      <xdr:rowOff>167217</xdr:rowOff>
    </xdr:from>
    <xdr:to>
      <xdr:col>50</xdr:col>
      <xdr:colOff>94214</xdr:colOff>
      <xdr:row>37</xdr:row>
      <xdr:rowOff>62443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A6746495-2EE4-4477-A769-7C54295EF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12</xdr:col>
      <xdr:colOff>26484</xdr:colOff>
      <xdr:row>2</xdr:row>
      <xdr:rowOff>77023</xdr:rowOff>
    </xdr:from>
    <xdr:to>
      <xdr:col>33</xdr:col>
      <xdr:colOff>224392</xdr:colOff>
      <xdr:row>21</xdr:row>
      <xdr:rowOff>14817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C81D9B-73CE-4D4A-88A0-CF21207088BB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21</xdr:col>
      <xdr:colOff>371475</xdr:colOff>
      <xdr:row>47</xdr:row>
      <xdr:rowOff>13754</xdr:rowOff>
    </xdr:from>
    <xdr:to>
      <xdr:col>31</xdr:col>
      <xdr:colOff>314325</xdr:colOff>
      <xdr:row>155</xdr:row>
      <xdr:rowOff>162427</xdr:rowOff>
    </xdr:to>
    <xdr:graphicFrame macro="">
      <xdr:nvGraphicFramePr>
        <xdr:cNvPr id="1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11</xdr:col>
      <xdr:colOff>104775</xdr:colOff>
      <xdr:row>64</xdr:row>
      <xdr:rowOff>1880</xdr:rowOff>
    </xdr:from>
    <xdr:to>
      <xdr:col>21</xdr:col>
      <xdr:colOff>323850</xdr:colOff>
      <xdr:row>155</xdr:row>
      <xdr:rowOff>162427</xdr:rowOff>
    </xdr:to>
    <xdr:graphicFrame macro="">
      <xdr:nvGraphicFramePr>
        <xdr:cNvPr id="12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7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8887-F14D-421A-893A-A9F2722F8F55}">
  <sheetPr>
    <tabColor theme="8" tint="-0.249977111117893"/>
  </sheetPr>
  <dimension ref="A1:AF1005"/>
  <sheetViews>
    <sheetView showGridLines="0" tabSelected="1" zoomScaleNormal="100" workbookViewId="0">
      <selection activeCell="H14" sqref="H14"/>
    </sheetView>
  </sheetViews>
  <sheetFormatPr defaultColWidth="5.37890625" defaultRowHeight="15" x14ac:dyDescent="0.2"/>
  <cols>
    <col min="1" max="1" width="9.14453125" style="494" customWidth="1"/>
    <col min="2" max="2" width="9.14453125" style="186" customWidth="1"/>
    <col min="3" max="7" width="9.14453125" style="186" hidden="1" customWidth="1"/>
    <col min="8" max="8" width="9.14453125" style="186" customWidth="1"/>
    <col min="9" max="9" width="9.81640625" style="186" bestFit="1" customWidth="1"/>
    <col min="10" max="10" width="9.55078125" style="187" bestFit="1" customWidth="1"/>
    <col min="11" max="11" width="5.37890625" style="135"/>
    <col min="12" max="30" width="5.37890625" style="132"/>
    <col min="31" max="32" width="5.37890625" style="135"/>
    <col min="33" max="16384" width="5.37890625" style="132"/>
  </cols>
  <sheetData>
    <row r="1" spans="1:32" s="501" customFormat="1" x14ac:dyDescent="0.2">
      <c r="A1" s="498"/>
      <c r="B1" s="499"/>
      <c r="C1" s="499"/>
      <c r="D1" s="499"/>
      <c r="E1" s="499"/>
      <c r="F1" s="499"/>
      <c r="G1" s="499"/>
      <c r="H1" s="499"/>
      <c r="I1" s="499"/>
      <c r="J1" s="500"/>
    </row>
    <row r="2" spans="1:32" s="166" customFormat="1" ht="20.25" x14ac:dyDescent="0.2">
      <c r="A2" s="493"/>
      <c r="B2" s="169"/>
      <c r="C2" s="188"/>
      <c r="D2" s="495"/>
      <c r="E2" s="170"/>
      <c r="F2" s="170"/>
      <c r="G2" s="170"/>
      <c r="H2" s="495" t="s">
        <v>63</v>
      </c>
      <c r="I2" s="171"/>
      <c r="J2" s="172"/>
      <c r="K2" s="164"/>
      <c r="L2" s="165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</row>
    <row r="3" spans="1:32" s="501" customFormat="1" x14ac:dyDescent="0.2">
      <c r="A3" s="498"/>
      <c r="B3" s="499"/>
      <c r="C3" s="499"/>
      <c r="D3" s="499"/>
      <c r="E3" s="499"/>
      <c r="F3" s="499"/>
      <c r="G3" s="499"/>
      <c r="H3" s="499"/>
      <c r="I3" s="499"/>
      <c r="J3" s="500"/>
      <c r="AA3" s="502"/>
      <c r="AB3" s="502"/>
      <c r="AC3" s="502"/>
      <c r="AD3" s="502"/>
    </row>
    <row r="4" spans="1:32" s="501" customFormat="1" hidden="1" x14ac:dyDescent="0.2">
      <c r="A4" s="492"/>
      <c r="B4" s="167"/>
      <c r="C4" s="167"/>
      <c r="D4" s="167"/>
      <c r="E4" s="167"/>
      <c r="F4" s="167"/>
      <c r="G4" s="167"/>
      <c r="H4" s="167"/>
      <c r="I4" s="167"/>
      <c r="J4" s="167"/>
      <c r="L4" s="503" t="s">
        <v>3</v>
      </c>
      <c r="N4" s="504" t="s">
        <v>64</v>
      </c>
      <c r="P4" s="505" t="s">
        <v>103</v>
      </c>
      <c r="R4" s="506"/>
      <c r="T4" s="507" t="s">
        <v>65</v>
      </c>
    </row>
    <row r="5" spans="1:32" s="501" customFormat="1" ht="27.75" hidden="1" x14ac:dyDescent="0.2">
      <c r="A5" s="492"/>
      <c r="B5" s="167"/>
      <c r="C5" s="167"/>
      <c r="D5" s="167"/>
      <c r="E5" s="167"/>
      <c r="F5" s="167"/>
      <c r="G5" s="167"/>
      <c r="H5" s="167"/>
      <c r="I5" s="167"/>
      <c r="J5" s="167"/>
      <c r="L5" s="508" cm="1">
        <f t="array" ref="L5">INDEX(I22:I224,MATCH(TRUE,I22:I224&gt;0,0))</f>
        <v>141556.82999999999</v>
      </c>
      <c r="N5" s="509" cm="1">
        <f t="array" ref="N5">INDEX(D22:D224,MATCH(TRUE,D22:D224&gt;0,0))</f>
        <v>2556.83</v>
      </c>
      <c r="P5" s="510" cm="1">
        <f t="array" ref="P5">INDEX(H22:H224,MATCH(TRUE,H22:H224&gt;0,0))</f>
        <v>139000</v>
      </c>
      <c r="R5" s="511"/>
      <c r="T5" s="512" cm="1">
        <f t="array" ref="T5">INDEX(J22:J224,MATCH(TRUE,J22:J224&gt;0,0))</f>
        <v>1696.4099999999744</v>
      </c>
      <c r="AB5" s="502"/>
      <c r="AC5" s="502"/>
      <c r="AD5" s="502"/>
    </row>
    <row r="6" spans="1:32" s="501" customFormat="1" hidden="1" x14ac:dyDescent="0.2">
      <c r="A6" s="492"/>
      <c r="B6" s="167"/>
      <c r="C6" s="167"/>
      <c r="D6" s="167"/>
      <c r="E6" s="167"/>
      <c r="F6" s="167"/>
      <c r="G6" s="167"/>
      <c r="H6" s="167"/>
      <c r="I6" s="167"/>
      <c r="J6" s="168"/>
    </row>
    <row r="7" spans="1:32" s="501" customFormat="1" ht="28.5" customHeight="1" x14ac:dyDescent="0.2">
      <c r="A7" s="496" t="s">
        <v>0</v>
      </c>
      <c r="B7" s="496" t="s">
        <v>1</v>
      </c>
      <c r="C7" s="199" t="s">
        <v>2</v>
      </c>
      <c r="D7" s="199" t="s">
        <v>66</v>
      </c>
      <c r="E7" s="488" t="s">
        <v>84</v>
      </c>
      <c r="F7" s="203" t="s">
        <v>79</v>
      </c>
      <c r="G7" s="202" t="s">
        <v>97</v>
      </c>
      <c r="H7" s="496" t="s">
        <v>165</v>
      </c>
      <c r="I7" s="496" t="s">
        <v>3</v>
      </c>
      <c r="J7" s="496" t="s">
        <v>139</v>
      </c>
      <c r="K7" s="513"/>
    </row>
    <row r="8" spans="1:32" s="501" customFormat="1" ht="15" customHeight="1" x14ac:dyDescent="0.2">
      <c r="A8" s="497">
        <v>46357</v>
      </c>
      <c r="B8" s="476"/>
      <c r="C8" s="491">
        <v>0</v>
      </c>
      <c r="D8" s="489" t="str">
        <f t="shared" ref="D8:D22" si="0">IFERROR(IF(ISBLANK(B8)=FALSE,B8,"")+IF(ISBLANK(C8)=FALSE,C8,""),"")</f>
        <v/>
      </c>
      <c r="E8" s="490">
        <v>0</v>
      </c>
      <c r="F8" s="490">
        <v>0</v>
      </c>
      <c r="G8" s="490">
        <v>0</v>
      </c>
      <c r="H8" s="490"/>
      <c r="I8" s="586" t="str">
        <f t="shared" ref="I8:I20" si="1">IFERROR(IF(ISBLANK(D8)=FALSE,D8,"")+IF(ISBLANK(E8)=FALSE,E8,"")+IF(ISBLANK(F8)=FALSE,F8,"")+IF(ISBLANK(G8)=FALSE,G8,"")+IF(ISBLANK(H8)=FALSE,H8,""),"")</f>
        <v/>
      </c>
      <c r="J8" s="587" t="str">
        <f t="shared" ref="J8:J20" si="2">IFERROR(IF(ISBLANK(I8)=FALSE,I8-I9,""),"")</f>
        <v/>
      </c>
      <c r="K8" s="513"/>
    </row>
    <row r="9" spans="1:32" s="501" customFormat="1" ht="15" customHeight="1" x14ac:dyDescent="0.2">
      <c r="A9" s="497">
        <v>46327</v>
      </c>
      <c r="B9" s="476"/>
      <c r="C9" s="491">
        <v>0</v>
      </c>
      <c r="D9" s="489" t="str">
        <f t="shared" si="0"/>
        <v/>
      </c>
      <c r="E9" s="490">
        <v>0</v>
      </c>
      <c r="F9" s="490">
        <v>0</v>
      </c>
      <c r="G9" s="490">
        <v>0</v>
      </c>
      <c r="H9" s="490"/>
      <c r="I9" s="586" t="str">
        <f t="shared" si="1"/>
        <v/>
      </c>
      <c r="J9" s="587" t="str">
        <f t="shared" si="2"/>
        <v/>
      </c>
      <c r="K9" s="513"/>
    </row>
    <row r="10" spans="1:32" s="501" customFormat="1" ht="15" customHeight="1" x14ac:dyDescent="0.2">
      <c r="A10" s="497">
        <v>46296</v>
      </c>
      <c r="B10" s="476"/>
      <c r="C10" s="486">
        <v>0</v>
      </c>
      <c r="D10" s="489" t="str">
        <f t="shared" si="0"/>
        <v/>
      </c>
      <c r="E10" s="490">
        <v>0</v>
      </c>
      <c r="F10" s="490">
        <v>0</v>
      </c>
      <c r="G10" s="490">
        <v>0</v>
      </c>
      <c r="H10" s="490"/>
      <c r="I10" s="586" t="str">
        <f t="shared" si="1"/>
        <v/>
      </c>
      <c r="J10" s="587" t="str">
        <f t="shared" si="2"/>
        <v/>
      </c>
      <c r="K10" s="513"/>
    </row>
    <row r="11" spans="1:32" s="501" customFormat="1" ht="15" customHeight="1" x14ac:dyDescent="0.2">
      <c r="A11" s="497">
        <v>46266</v>
      </c>
      <c r="B11" s="476"/>
      <c r="C11" s="491">
        <v>0</v>
      </c>
      <c r="D11" s="489" t="str">
        <f t="shared" si="0"/>
        <v/>
      </c>
      <c r="E11" s="490">
        <v>0</v>
      </c>
      <c r="F11" s="490">
        <v>0</v>
      </c>
      <c r="G11" s="490">
        <v>0</v>
      </c>
      <c r="H11" s="490"/>
      <c r="I11" s="586" t="str">
        <f t="shared" si="1"/>
        <v/>
      </c>
      <c r="J11" s="587" t="str">
        <f t="shared" si="2"/>
        <v/>
      </c>
      <c r="K11" s="513"/>
    </row>
    <row r="12" spans="1:32" s="501" customFormat="1" ht="15" customHeight="1" x14ac:dyDescent="0.2">
      <c r="A12" s="497">
        <v>46235</v>
      </c>
      <c r="B12" s="476"/>
      <c r="C12" s="486">
        <v>0</v>
      </c>
      <c r="D12" s="489" t="str">
        <f t="shared" si="0"/>
        <v/>
      </c>
      <c r="E12" s="490">
        <v>0</v>
      </c>
      <c r="F12" s="490">
        <v>0</v>
      </c>
      <c r="G12" s="490">
        <v>0</v>
      </c>
      <c r="H12" s="490"/>
      <c r="I12" s="586" t="str">
        <f t="shared" si="1"/>
        <v/>
      </c>
      <c r="J12" s="587" t="str">
        <f t="shared" si="2"/>
        <v/>
      </c>
      <c r="K12" s="513"/>
    </row>
    <row r="13" spans="1:32" s="501" customFormat="1" ht="15" customHeight="1" x14ac:dyDescent="0.2">
      <c r="A13" s="497">
        <v>46204</v>
      </c>
      <c r="B13" s="476"/>
      <c r="C13" s="486">
        <v>0</v>
      </c>
      <c r="D13" s="489" t="str">
        <f t="shared" si="0"/>
        <v/>
      </c>
      <c r="E13" s="490">
        <v>0</v>
      </c>
      <c r="F13" s="490">
        <v>0</v>
      </c>
      <c r="G13" s="490">
        <v>0</v>
      </c>
      <c r="H13" s="490"/>
      <c r="I13" s="586" t="str">
        <f t="shared" si="1"/>
        <v/>
      </c>
      <c r="J13" s="587" t="str">
        <f t="shared" si="2"/>
        <v/>
      </c>
      <c r="K13" s="513"/>
    </row>
    <row r="14" spans="1:32" s="501" customFormat="1" ht="15" customHeight="1" x14ac:dyDescent="0.2">
      <c r="A14" s="497">
        <v>46174</v>
      </c>
      <c r="B14" s="476"/>
      <c r="C14" s="491">
        <v>0</v>
      </c>
      <c r="D14" s="489" t="str">
        <f t="shared" si="0"/>
        <v/>
      </c>
      <c r="E14" s="490">
        <v>0</v>
      </c>
      <c r="F14" s="490">
        <v>0</v>
      </c>
      <c r="G14" s="490">
        <v>0</v>
      </c>
      <c r="H14" s="490">
        <v>126000</v>
      </c>
      <c r="I14" s="586" t="str">
        <f t="shared" si="1"/>
        <v/>
      </c>
      <c r="J14" s="587" t="str">
        <f t="shared" si="2"/>
        <v/>
      </c>
      <c r="K14" s="513"/>
    </row>
    <row r="15" spans="1:32" s="501" customFormat="1" ht="15" customHeight="1" x14ac:dyDescent="0.2">
      <c r="A15" s="497">
        <v>46143</v>
      </c>
      <c r="B15" s="476">
        <v>946.69</v>
      </c>
      <c r="C15" s="486">
        <v>0</v>
      </c>
      <c r="D15" s="489">
        <f t="shared" si="0"/>
        <v>946.69</v>
      </c>
      <c r="E15" s="490">
        <v>0</v>
      </c>
      <c r="F15" s="490">
        <v>0</v>
      </c>
      <c r="G15" s="490">
        <v>0</v>
      </c>
      <c r="H15" s="490">
        <f>74000+50000</f>
        <v>124000</v>
      </c>
      <c r="I15" s="586">
        <f t="shared" si="1"/>
        <v>124946.69</v>
      </c>
      <c r="J15" s="587">
        <f t="shared" si="2"/>
        <v>1530.1800000000076</v>
      </c>
      <c r="K15" s="513"/>
    </row>
    <row r="16" spans="1:32" s="501" customFormat="1" ht="15" customHeight="1" x14ac:dyDescent="0.2">
      <c r="A16" s="497">
        <v>46113</v>
      </c>
      <c r="B16" s="476">
        <v>416.51</v>
      </c>
      <c r="C16" s="486">
        <v>0</v>
      </c>
      <c r="D16" s="489">
        <f t="shared" si="0"/>
        <v>416.51</v>
      </c>
      <c r="E16" s="490">
        <v>0</v>
      </c>
      <c r="F16" s="490">
        <v>0</v>
      </c>
      <c r="G16" s="490">
        <v>0</v>
      </c>
      <c r="H16" s="483">
        <f>50000+73000</f>
        <v>123000</v>
      </c>
      <c r="I16" s="586">
        <f t="shared" si="1"/>
        <v>123416.51</v>
      </c>
      <c r="J16" s="587">
        <f t="shared" si="2"/>
        <v>-27681.12000000001</v>
      </c>
      <c r="K16" s="513"/>
    </row>
    <row r="17" spans="1:30" s="501" customFormat="1" ht="15" customHeight="1" x14ac:dyDescent="0.2">
      <c r="A17" s="497">
        <v>46082</v>
      </c>
      <c r="B17" s="477">
        <v>597.63</v>
      </c>
      <c r="C17" s="491">
        <v>0</v>
      </c>
      <c r="D17" s="489">
        <f t="shared" si="0"/>
        <v>597.63</v>
      </c>
      <c r="E17" s="490">
        <v>0</v>
      </c>
      <c r="F17" s="490">
        <v>0</v>
      </c>
      <c r="G17" s="490">
        <v>0</v>
      </c>
      <c r="H17" s="478">
        <v>150500</v>
      </c>
      <c r="I17" s="586">
        <f t="shared" si="1"/>
        <v>151097.63</v>
      </c>
      <c r="J17" s="587">
        <f t="shared" si="2"/>
        <v>1968.3600000000151</v>
      </c>
      <c r="K17" s="513"/>
    </row>
    <row r="18" spans="1:30" s="501" customFormat="1" ht="15" customHeight="1" x14ac:dyDescent="0.2">
      <c r="A18" s="497">
        <v>46054</v>
      </c>
      <c r="B18" s="477">
        <v>629.27</v>
      </c>
      <c r="C18" s="486">
        <v>0</v>
      </c>
      <c r="D18" s="489">
        <f t="shared" si="0"/>
        <v>629.27</v>
      </c>
      <c r="E18" s="490">
        <v>0</v>
      </c>
      <c r="F18" s="490">
        <v>0</v>
      </c>
      <c r="G18" s="490">
        <v>0</v>
      </c>
      <c r="H18" s="478">
        <v>148500</v>
      </c>
      <c r="I18" s="586">
        <f t="shared" si="1"/>
        <v>149129.26999999999</v>
      </c>
      <c r="J18" s="587">
        <f t="shared" si="2"/>
        <v>1811.6999999999825</v>
      </c>
      <c r="K18" s="513"/>
    </row>
    <row r="19" spans="1:30" s="501" customFormat="1" ht="15" customHeight="1" x14ac:dyDescent="0.2">
      <c r="A19" s="497">
        <v>46023</v>
      </c>
      <c r="B19" s="677">
        <v>317.56999999999971</v>
      </c>
      <c r="C19" s="486">
        <v>0</v>
      </c>
      <c r="D19" s="489">
        <f t="shared" si="0"/>
        <v>317.56999999999971</v>
      </c>
      <c r="E19" s="490">
        <v>0</v>
      </c>
      <c r="F19" s="490">
        <v>0</v>
      </c>
      <c r="G19" s="490">
        <v>0</v>
      </c>
      <c r="H19" s="478">
        <v>147000</v>
      </c>
      <c r="I19" s="586">
        <f t="shared" si="1"/>
        <v>147317.57</v>
      </c>
      <c r="J19" s="587">
        <f t="shared" si="2"/>
        <v>1844.179999999993</v>
      </c>
      <c r="K19" s="513"/>
    </row>
    <row r="20" spans="1:30" s="501" customFormat="1" ht="15" customHeight="1" x14ac:dyDescent="0.2">
      <c r="A20" s="497">
        <v>45992</v>
      </c>
      <c r="B20" s="476">
        <v>2473.39</v>
      </c>
      <c r="C20" s="491">
        <v>0</v>
      </c>
      <c r="D20" s="489">
        <f t="shared" si="0"/>
        <v>2473.39</v>
      </c>
      <c r="E20" s="490">
        <v>0</v>
      </c>
      <c r="F20" s="490">
        <v>0</v>
      </c>
      <c r="G20" s="490">
        <v>0</v>
      </c>
      <c r="H20" s="490">
        <v>143000</v>
      </c>
      <c r="I20" s="586">
        <f t="shared" si="1"/>
        <v>145473.39000000001</v>
      </c>
      <c r="J20" s="587">
        <f t="shared" si="2"/>
        <v>2070.1300000000047</v>
      </c>
      <c r="K20" s="513"/>
    </row>
    <row r="21" spans="1:30" s="501" customFormat="1" x14ac:dyDescent="0.2">
      <c r="A21" s="497">
        <v>45962</v>
      </c>
      <c r="B21" s="476">
        <v>2403.2600000000002</v>
      </c>
      <c r="C21" s="486">
        <v>0</v>
      </c>
      <c r="D21" s="489">
        <f t="shared" si="0"/>
        <v>2403.2600000000002</v>
      </c>
      <c r="E21" s="490">
        <v>0</v>
      </c>
      <c r="F21" s="490">
        <v>0</v>
      </c>
      <c r="G21" s="490">
        <v>0</v>
      </c>
      <c r="H21" s="490">
        <v>141000</v>
      </c>
      <c r="I21" s="586">
        <f t="shared" ref="I21" si="3">IFERROR(IF(ISBLANK(D21)=FALSE,D21,"")+IF(ISBLANK(E21)=FALSE,E21,"")+IF(ISBLANK(F21)=FALSE,F21,"")+IF(ISBLANK(G21)=FALSE,G21,"")+IF(ISBLANK(H21)=FALSE,H21,""),"")</f>
        <v>143403.26</v>
      </c>
      <c r="J21" s="587">
        <f t="shared" ref="J21:J86" si="4">IFERROR(IF(ISBLANK(I21)=FALSE,I21-I22,""),"")</f>
        <v>1846.4300000000221</v>
      </c>
      <c r="K21" s="513"/>
    </row>
    <row r="22" spans="1:30" s="501" customFormat="1" x14ac:dyDescent="0.2">
      <c r="A22" s="497">
        <v>45931</v>
      </c>
      <c r="B22" s="476">
        <v>2556.83</v>
      </c>
      <c r="C22" s="491">
        <v>0</v>
      </c>
      <c r="D22" s="489">
        <f t="shared" si="0"/>
        <v>2556.83</v>
      </c>
      <c r="E22" s="490">
        <v>0</v>
      </c>
      <c r="F22" s="490">
        <v>0</v>
      </c>
      <c r="G22" s="490">
        <v>0</v>
      </c>
      <c r="H22" s="490">
        <v>139000</v>
      </c>
      <c r="I22" s="586">
        <f>IFERROR(IF(ISBLANK(D22)=FALSE,D22,"")+IF(ISBLANK(E22)=FALSE,E22,"")+IF(ISBLANK(F22)=FALSE,F22,"")+IF(ISBLANK(G22)=FALSE,G22,"")+IF(ISBLANK(H22)=FALSE,H22,""),"")</f>
        <v>141556.82999999999</v>
      </c>
      <c r="J22" s="587">
        <f>IFERROR(IF(ISBLANK(I22)=FALSE,I22-I23,""),"")</f>
        <v>1696.4099999999744</v>
      </c>
      <c r="K22" s="513"/>
    </row>
    <row r="23" spans="1:30" s="501" customFormat="1" ht="15" customHeight="1" x14ac:dyDescent="0.2">
      <c r="A23" s="497">
        <v>45901</v>
      </c>
      <c r="B23" s="476">
        <v>1860.42</v>
      </c>
      <c r="C23" s="486">
        <v>0</v>
      </c>
      <c r="D23" s="489">
        <f t="shared" ref="D23:D86" si="5">IFERROR(IF(ISBLANK(B23)=FALSE,B23,"")+IF(ISBLANK(C23)=FALSE,C23,""),"")</f>
        <v>1860.42</v>
      </c>
      <c r="E23" s="490">
        <v>0</v>
      </c>
      <c r="F23" s="490">
        <v>0</v>
      </c>
      <c r="G23" s="490">
        <v>0</v>
      </c>
      <c r="H23" s="490">
        <v>138000</v>
      </c>
      <c r="I23" s="586">
        <f t="shared" ref="I23:I86" si="6">IFERROR(IF(ISBLANK(D23)=FALSE,D23,"")+IF(ISBLANK(E23)=FALSE,E23,"")+IF(ISBLANK(F23)=FALSE,F23,"")+IF(ISBLANK(G23)=FALSE,G23,"")+IF(ISBLANK(H23)=FALSE,H23,""),"")</f>
        <v>139860.42000000001</v>
      </c>
      <c r="J23" s="587">
        <f t="shared" si="4"/>
        <v>1645.1700000000128</v>
      </c>
      <c r="K23" s="513"/>
    </row>
    <row r="24" spans="1:30" s="501" customFormat="1" ht="15" customHeight="1" x14ac:dyDescent="0.2">
      <c r="A24" s="497">
        <v>45870</v>
      </c>
      <c r="B24" s="476">
        <v>1215.25</v>
      </c>
      <c r="C24" s="486">
        <v>0</v>
      </c>
      <c r="D24" s="489">
        <f t="shared" si="5"/>
        <v>1215.25</v>
      </c>
      <c r="E24" s="490">
        <v>0</v>
      </c>
      <c r="F24" s="490">
        <v>0</v>
      </c>
      <c r="G24" s="490">
        <v>0</v>
      </c>
      <c r="H24" s="490">
        <v>137000</v>
      </c>
      <c r="I24" s="586">
        <f t="shared" si="6"/>
        <v>138215.25</v>
      </c>
      <c r="J24" s="587">
        <f t="shared" si="4"/>
        <v>-4.6000000000058208</v>
      </c>
      <c r="K24" s="513"/>
    </row>
    <row r="25" spans="1:30" s="501" customFormat="1" ht="15" customHeight="1" x14ac:dyDescent="0.2">
      <c r="A25" s="497">
        <v>45839</v>
      </c>
      <c r="B25" s="476">
        <v>1219.8499999999999</v>
      </c>
      <c r="C25" s="491">
        <v>0</v>
      </c>
      <c r="D25" s="489">
        <f t="shared" si="5"/>
        <v>1219.8499999999999</v>
      </c>
      <c r="E25" s="490">
        <v>0</v>
      </c>
      <c r="F25" s="490">
        <v>0</v>
      </c>
      <c r="G25" s="490">
        <v>0</v>
      </c>
      <c r="H25" s="490">
        <v>137000</v>
      </c>
      <c r="I25" s="586">
        <f t="shared" si="6"/>
        <v>138219.85</v>
      </c>
      <c r="J25" s="587">
        <f t="shared" si="4"/>
        <v>-121.88999999998487</v>
      </c>
      <c r="K25" s="513"/>
    </row>
    <row r="26" spans="1:30" s="501" customFormat="1" ht="15" customHeight="1" x14ac:dyDescent="0.2">
      <c r="A26" s="497">
        <v>45809</v>
      </c>
      <c r="B26" s="476">
        <v>1341.74</v>
      </c>
      <c r="C26" s="486">
        <v>0</v>
      </c>
      <c r="D26" s="489">
        <f t="shared" si="5"/>
        <v>1341.74</v>
      </c>
      <c r="E26" s="490">
        <v>0</v>
      </c>
      <c r="F26" s="490">
        <v>0</v>
      </c>
      <c r="G26" s="490">
        <v>0</v>
      </c>
      <c r="H26" s="490">
        <v>137000</v>
      </c>
      <c r="I26" s="586">
        <f t="shared" si="6"/>
        <v>138341.74</v>
      </c>
      <c r="J26" s="587">
        <f t="shared" si="4"/>
        <v>2203.75</v>
      </c>
      <c r="K26" s="513"/>
    </row>
    <row r="27" spans="1:30" s="501" customFormat="1" ht="15" customHeight="1" x14ac:dyDescent="0.2">
      <c r="A27" s="497">
        <v>45778</v>
      </c>
      <c r="B27" s="476">
        <v>637.99</v>
      </c>
      <c r="C27" s="486">
        <v>0</v>
      </c>
      <c r="D27" s="489">
        <f t="shared" si="5"/>
        <v>637.99</v>
      </c>
      <c r="E27" s="490">
        <v>0</v>
      </c>
      <c r="F27" s="490">
        <v>0</v>
      </c>
      <c r="G27" s="490">
        <v>0</v>
      </c>
      <c r="H27" s="490">
        <v>135500</v>
      </c>
      <c r="I27" s="586">
        <f t="shared" si="6"/>
        <v>136137.99</v>
      </c>
      <c r="J27" s="587">
        <f t="shared" si="4"/>
        <v>1953.1699999999837</v>
      </c>
      <c r="K27" s="513"/>
    </row>
    <row r="28" spans="1:30" s="514" customFormat="1" ht="15" customHeight="1" x14ac:dyDescent="0.2">
      <c r="A28" s="497">
        <v>45748</v>
      </c>
      <c r="B28" s="476">
        <v>684.82</v>
      </c>
      <c r="C28" s="491">
        <v>0</v>
      </c>
      <c r="D28" s="489">
        <f t="shared" si="5"/>
        <v>684.82</v>
      </c>
      <c r="E28" s="490">
        <v>0</v>
      </c>
      <c r="F28" s="490">
        <v>0</v>
      </c>
      <c r="G28" s="490">
        <v>0</v>
      </c>
      <c r="H28" s="483">
        <v>133500</v>
      </c>
      <c r="I28" s="586">
        <f t="shared" si="6"/>
        <v>134184.82</v>
      </c>
      <c r="J28" s="587">
        <f t="shared" si="4"/>
        <v>1834.5400000000081</v>
      </c>
      <c r="L28" s="501"/>
      <c r="M28" s="501"/>
      <c r="N28" s="501"/>
      <c r="O28" s="501"/>
      <c r="P28" s="501"/>
      <c r="Q28" s="501"/>
      <c r="R28" s="501"/>
      <c r="S28" s="501"/>
      <c r="T28" s="501"/>
      <c r="U28" s="501"/>
      <c r="V28" s="501"/>
      <c r="W28" s="501"/>
      <c r="X28" s="501"/>
      <c r="Y28" s="501"/>
      <c r="Z28" s="501"/>
      <c r="AA28" s="501"/>
      <c r="AB28" s="501"/>
      <c r="AC28" s="501"/>
      <c r="AD28" s="501"/>
    </row>
    <row r="29" spans="1:30" s="514" customFormat="1" ht="15" customHeight="1" x14ac:dyDescent="0.2">
      <c r="A29" s="497">
        <v>45717</v>
      </c>
      <c r="B29" s="477">
        <v>350.28</v>
      </c>
      <c r="C29" s="486">
        <v>0</v>
      </c>
      <c r="D29" s="489">
        <f t="shared" si="5"/>
        <v>350.28</v>
      </c>
      <c r="E29" s="490">
        <v>0</v>
      </c>
      <c r="F29" s="490">
        <v>0</v>
      </c>
      <c r="G29" s="490">
        <v>0</v>
      </c>
      <c r="H29" s="478">
        <v>132000</v>
      </c>
      <c r="I29" s="586">
        <f t="shared" si="6"/>
        <v>132350.28</v>
      </c>
      <c r="J29" s="587">
        <f t="shared" si="4"/>
        <v>949.92999999999302</v>
      </c>
      <c r="L29" s="501"/>
      <c r="M29" s="501"/>
      <c r="N29" s="501"/>
      <c r="O29" s="501"/>
      <c r="P29" s="501"/>
      <c r="Q29" s="501"/>
      <c r="R29" s="501"/>
      <c r="S29" s="501"/>
      <c r="T29" s="501"/>
      <c r="U29" s="501"/>
      <c r="V29" s="501"/>
      <c r="W29" s="501"/>
      <c r="X29" s="501"/>
      <c r="Y29" s="501"/>
      <c r="Z29" s="501"/>
      <c r="AA29" s="501"/>
      <c r="AB29" s="501"/>
      <c r="AC29" s="501"/>
      <c r="AD29" s="501"/>
    </row>
    <row r="30" spans="1:30" s="514" customFormat="1" ht="15" customHeight="1" x14ac:dyDescent="0.2">
      <c r="A30" s="497">
        <v>45689</v>
      </c>
      <c r="B30" s="477">
        <v>400.35</v>
      </c>
      <c r="C30" s="486">
        <v>0</v>
      </c>
      <c r="D30" s="489">
        <f t="shared" si="5"/>
        <v>400.35</v>
      </c>
      <c r="E30" s="490">
        <v>0</v>
      </c>
      <c r="F30" s="490">
        <v>0</v>
      </c>
      <c r="G30" s="478">
        <v>50000</v>
      </c>
      <c r="H30" s="478">
        <v>81000</v>
      </c>
      <c r="I30" s="586">
        <f t="shared" si="6"/>
        <v>131400.35</v>
      </c>
      <c r="J30" s="587">
        <f t="shared" si="4"/>
        <v>2472.3399999999965</v>
      </c>
      <c r="L30" s="501"/>
      <c r="M30" s="501"/>
      <c r="N30" s="501"/>
      <c r="O30" s="501"/>
      <c r="P30" s="501"/>
      <c r="Q30" s="501"/>
      <c r="R30" s="501"/>
      <c r="S30" s="501"/>
      <c r="T30" s="501"/>
      <c r="U30" s="501"/>
      <c r="V30" s="501"/>
      <c r="W30" s="501"/>
      <c r="X30" s="501"/>
      <c r="Y30" s="501"/>
      <c r="Z30" s="501"/>
      <c r="AA30" s="501"/>
      <c r="AB30" s="501"/>
      <c r="AC30" s="501"/>
      <c r="AD30" s="501"/>
    </row>
    <row r="31" spans="1:30" s="514" customFormat="1" ht="15" customHeight="1" x14ac:dyDescent="0.2">
      <c r="A31" s="497">
        <v>45658</v>
      </c>
      <c r="B31" s="477">
        <v>928.01</v>
      </c>
      <c r="C31" s="491">
        <v>0</v>
      </c>
      <c r="D31" s="489">
        <f t="shared" si="5"/>
        <v>928.01</v>
      </c>
      <c r="E31" s="490">
        <v>0</v>
      </c>
      <c r="F31" s="490">
        <v>0</v>
      </c>
      <c r="G31" s="478">
        <v>50000</v>
      </c>
      <c r="H31" s="478">
        <v>78000</v>
      </c>
      <c r="I31" s="586">
        <f t="shared" si="6"/>
        <v>128928.01000000001</v>
      </c>
      <c r="J31" s="587">
        <f t="shared" si="4"/>
        <v>1495.8400000000111</v>
      </c>
      <c r="L31" s="501"/>
      <c r="M31" s="501"/>
      <c r="N31" s="501"/>
      <c r="O31" s="501"/>
      <c r="P31" s="501"/>
      <c r="Q31" s="501"/>
      <c r="R31" s="501"/>
      <c r="S31" s="501"/>
      <c r="T31" s="501"/>
      <c r="U31" s="501"/>
      <c r="V31" s="501"/>
      <c r="W31" s="501"/>
      <c r="X31" s="501"/>
      <c r="Y31" s="501"/>
      <c r="Z31" s="501"/>
      <c r="AA31" s="501"/>
      <c r="AB31" s="501"/>
      <c r="AC31" s="501"/>
      <c r="AD31" s="501"/>
    </row>
    <row r="32" spans="1:30" s="514" customFormat="1" ht="15" customHeight="1" x14ac:dyDescent="0.2">
      <c r="A32" s="497">
        <v>45627</v>
      </c>
      <c r="B32" s="477">
        <v>932.17</v>
      </c>
      <c r="C32" s="486">
        <v>0</v>
      </c>
      <c r="D32" s="489">
        <f t="shared" si="5"/>
        <v>932.17</v>
      </c>
      <c r="E32" s="490">
        <v>0</v>
      </c>
      <c r="F32" s="490">
        <v>0</v>
      </c>
      <c r="G32" s="478">
        <v>0</v>
      </c>
      <c r="H32" s="478">
        <v>126500</v>
      </c>
      <c r="I32" s="586">
        <f t="shared" si="6"/>
        <v>127432.17</v>
      </c>
      <c r="J32" s="587">
        <f t="shared" si="4"/>
        <v>3249.0899999999965</v>
      </c>
      <c r="L32" s="501"/>
      <c r="M32" s="501"/>
      <c r="N32" s="501"/>
      <c r="O32" s="501"/>
      <c r="P32" s="501"/>
      <c r="Q32" s="501"/>
      <c r="R32" s="501"/>
      <c r="S32" s="501"/>
      <c r="T32" s="501"/>
      <c r="U32" s="501"/>
      <c r="V32" s="501"/>
      <c r="W32" s="501"/>
      <c r="X32" s="501"/>
      <c r="Y32" s="501"/>
      <c r="Z32" s="501"/>
      <c r="AA32" s="501"/>
      <c r="AB32" s="501"/>
      <c r="AC32" s="501"/>
      <c r="AD32" s="501"/>
    </row>
    <row r="33" spans="1:30" s="514" customFormat="1" ht="15" customHeight="1" x14ac:dyDescent="0.2">
      <c r="A33" s="497">
        <v>45597</v>
      </c>
      <c r="B33" s="477">
        <v>683.08</v>
      </c>
      <c r="C33" s="486">
        <v>0</v>
      </c>
      <c r="D33" s="489">
        <f t="shared" si="5"/>
        <v>683.08</v>
      </c>
      <c r="E33" s="490">
        <v>0</v>
      </c>
      <c r="F33" s="490">
        <v>0</v>
      </c>
      <c r="G33" s="478">
        <v>0</v>
      </c>
      <c r="H33" s="478">
        <v>123500</v>
      </c>
      <c r="I33" s="586">
        <f t="shared" si="6"/>
        <v>124183.08</v>
      </c>
      <c r="J33" s="587">
        <f t="shared" si="4"/>
        <v>7467.2400000000052</v>
      </c>
      <c r="L33" s="501"/>
      <c r="M33" s="501"/>
      <c r="N33" s="501"/>
      <c r="O33" s="501"/>
      <c r="P33" s="501"/>
      <c r="Q33" s="501"/>
      <c r="R33" s="501"/>
      <c r="S33" s="501"/>
      <c r="T33" s="501"/>
      <c r="U33" s="501"/>
      <c r="V33" s="501"/>
      <c r="W33" s="501"/>
      <c r="X33" s="501"/>
      <c r="Y33" s="501"/>
      <c r="Z33" s="501"/>
      <c r="AA33" s="501"/>
      <c r="AB33" s="501"/>
      <c r="AC33" s="501"/>
      <c r="AD33" s="501"/>
    </row>
    <row r="34" spans="1:30" s="514" customFormat="1" ht="15" customHeight="1" x14ac:dyDescent="0.2">
      <c r="A34" s="497">
        <v>45566</v>
      </c>
      <c r="B34" s="477">
        <v>215.84</v>
      </c>
      <c r="C34" s="491">
        <v>0</v>
      </c>
      <c r="D34" s="489">
        <f t="shared" si="5"/>
        <v>215.84</v>
      </c>
      <c r="E34" s="490">
        <v>0</v>
      </c>
      <c r="F34" s="490">
        <v>0</v>
      </c>
      <c r="G34" s="478">
        <v>0</v>
      </c>
      <c r="H34" s="478">
        <v>116500</v>
      </c>
      <c r="I34" s="586">
        <f t="shared" si="6"/>
        <v>116715.84</v>
      </c>
      <c r="J34" s="587">
        <f t="shared" si="4"/>
        <v>1716.7099999999919</v>
      </c>
      <c r="L34" s="501"/>
      <c r="M34" s="501"/>
      <c r="N34" s="501"/>
      <c r="O34" s="501"/>
      <c r="P34" s="501"/>
      <c r="Q34" s="501"/>
      <c r="R34" s="501"/>
      <c r="S34" s="501"/>
      <c r="T34" s="501"/>
      <c r="U34" s="501"/>
      <c r="V34" s="501"/>
      <c r="W34" s="501"/>
      <c r="X34" s="501"/>
      <c r="Y34" s="501"/>
      <c r="Z34" s="501"/>
      <c r="AA34" s="501"/>
      <c r="AB34" s="501"/>
      <c r="AC34" s="501"/>
      <c r="AD34" s="501"/>
    </row>
    <row r="35" spans="1:30" s="514" customFormat="1" ht="15" customHeight="1" x14ac:dyDescent="0.2">
      <c r="A35" s="497">
        <v>45536</v>
      </c>
      <c r="B35" s="477">
        <v>1339.13</v>
      </c>
      <c r="C35" s="486">
        <v>0</v>
      </c>
      <c r="D35" s="489">
        <f t="shared" si="5"/>
        <v>1339.13</v>
      </c>
      <c r="E35" s="490">
        <v>0</v>
      </c>
      <c r="F35" s="490">
        <v>0</v>
      </c>
      <c r="G35" s="478">
        <v>0</v>
      </c>
      <c r="H35" s="478">
        <v>113660</v>
      </c>
      <c r="I35" s="586">
        <f t="shared" si="6"/>
        <v>114999.13</v>
      </c>
      <c r="J35" s="587">
        <f t="shared" si="4"/>
        <v>1551.9400000000023</v>
      </c>
      <c r="L35" s="501"/>
      <c r="M35" s="501"/>
      <c r="N35" s="501"/>
      <c r="O35" s="501"/>
      <c r="P35" s="501"/>
      <c r="Q35" s="501"/>
      <c r="R35" s="501"/>
      <c r="S35" s="501"/>
      <c r="T35" s="501"/>
      <c r="U35" s="501"/>
      <c r="V35" s="501"/>
      <c r="W35" s="501"/>
      <c r="X35" s="501"/>
      <c r="Y35" s="501"/>
      <c r="Z35" s="501"/>
      <c r="AA35" s="501"/>
      <c r="AB35" s="501"/>
      <c r="AC35" s="501"/>
      <c r="AD35" s="501"/>
    </row>
    <row r="36" spans="1:30" s="514" customFormat="1" ht="15" customHeight="1" x14ac:dyDescent="0.2">
      <c r="A36" s="497">
        <v>45505</v>
      </c>
      <c r="B36" s="477">
        <v>787.19</v>
      </c>
      <c r="C36" s="486">
        <v>0</v>
      </c>
      <c r="D36" s="489">
        <f t="shared" si="5"/>
        <v>787.19</v>
      </c>
      <c r="E36" s="490">
        <v>0</v>
      </c>
      <c r="F36" s="490">
        <v>0</v>
      </c>
      <c r="G36" s="478">
        <v>0</v>
      </c>
      <c r="H36" s="478">
        <v>112660</v>
      </c>
      <c r="I36" s="586">
        <f t="shared" si="6"/>
        <v>113447.19</v>
      </c>
      <c r="J36" s="587">
        <f t="shared" si="4"/>
        <v>2716.4400000000023</v>
      </c>
      <c r="L36" s="501"/>
      <c r="M36" s="501"/>
      <c r="N36" s="501"/>
      <c r="O36" s="501"/>
      <c r="P36" s="501"/>
      <c r="Q36" s="501"/>
      <c r="R36" s="501"/>
      <c r="S36" s="501"/>
      <c r="T36" s="501"/>
      <c r="U36" s="501"/>
      <c r="V36" s="501"/>
      <c r="W36" s="501"/>
      <c r="X36" s="501"/>
      <c r="Y36" s="501"/>
      <c r="Z36" s="501"/>
      <c r="AA36" s="501"/>
      <c r="AB36" s="501"/>
      <c r="AC36" s="501"/>
      <c r="AD36" s="501"/>
    </row>
    <row r="37" spans="1:30" s="514" customFormat="1" ht="15" customHeight="1" x14ac:dyDescent="0.2">
      <c r="A37" s="497">
        <v>45474</v>
      </c>
      <c r="B37" s="477">
        <v>1230.75</v>
      </c>
      <c r="C37" s="491">
        <v>0</v>
      </c>
      <c r="D37" s="489">
        <f t="shared" si="5"/>
        <v>1230.75</v>
      </c>
      <c r="E37" s="490">
        <v>0</v>
      </c>
      <c r="F37" s="490">
        <v>0</v>
      </c>
      <c r="G37" s="478">
        <v>0</v>
      </c>
      <c r="H37" s="478">
        <v>109500</v>
      </c>
      <c r="I37" s="586">
        <f t="shared" si="6"/>
        <v>110730.75</v>
      </c>
      <c r="J37" s="587">
        <f t="shared" si="4"/>
        <v>2847.929999999993</v>
      </c>
      <c r="L37" s="501"/>
      <c r="M37" s="501"/>
      <c r="N37" s="501"/>
      <c r="O37" s="501"/>
      <c r="P37" s="501"/>
      <c r="Q37" s="501"/>
      <c r="R37" s="501"/>
      <c r="S37" s="501"/>
      <c r="T37" s="501"/>
      <c r="U37" s="501"/>
      <c r="V37" s="501"/>
      <c r="W37" s="501"/>
      <c r="X37" s="501"/>
      <c r="Y37" s="501"/>
      <c r="Z37" s="501"/>
      <c r="AA37" s="501"/>
      <c r="AB37" s="501"/>
      <c r="AC37" s="501"/>
      <c r="AD37" s="501"/>
    </row>
    <row r="38" spans="1:30" s="514" customFormat="1" ht="15" customHeight="1" x14ac:dyDescent="0.2">
      <c r="A38" s="497">
        <v>45444</v>
      </c>
      <c r="B38" s="477">
        <v>1082.82</v>
      </c>
      <c r="C38" s="486">
        <v>0</v>
      </c>
      <c r="D38" s="489">
        <f t="shared" si="5"/>
        <v>1082.82</v>
      </c>
      <c r="E38" s="490">
        <v>0</v>
      </c>
      <c r="F38" s="478">
        <v>300</v>
      </c>
      <c r="G38" s="478">
        <v>0</v>
      </c>
      <c r="H38" s="478">
        <v>106500</v>
      </c>
      <c r="I38" s="586">
        <f t="shared" si="6"/>
        <v>107882.82</v>
      </c>
      <c r="J38" s="587">
        <f t="shared" si="4"/>
        <v>826.77000000000407</v>
      </c>
      <c r="L38" s="501"/>
      <c r="M38" s="501"/>
      <c r="N38" s="501"/>
      <c r="O38" s="501"/>
      <c r="P38" s="501"/>
      <c r="Q38" s="501"/>
      <c r="R38" s="501"/>
      <c r="S38" s="501"/>
      <c r="T38" s="501"/>
      <c r="U38" s="501"/>
      <c r="V38" s="501"/>
      <c r="W38" s="501"/>
      <c r="X38" s="501"/>
      <c r="Y38" s="501"/>
      <c r="Z38" s="501"/>
      <c r="AA38" s="501"/>
      <c r="AB38" s="501"/>
      <c r="AC38" s="501"/>
      <c r="AD38" s="501"/>
    </row>
    <row r="39" spans="1:30" s="514" customFormat="1" ht="15" customHeight="1" x14ac:dyDescent="0.2">
      <c r="A39" s="497">
        <v>45413</v>
      </c>
      <c r="B39" s="477">
        <v>1056.05</v>
      </c>
      <c r="C39" s="486">
        <v>0</v>
      </c>
      <c r="D39" s="489">
        <f t="shared" si="5"/>
        <v>1056.05</v>
      </c>
      <c r="E39" s="490">
        <v>0</v>
      </c>
      <c r="F39" s="478">
        <v>34000</v>
      </c>
      <c r="G39" s="478">
        <v>30000</v>
      </c>
      <c r="H39" s="478">
        <v>42000</v>
      </c>
      <c r="I39" s="586">
        <f t="shared" si="6"/>
        <v>107056.05</v>
      </c>
      <c r="J39" s="587">
        <f t="shared" si="4"/>
        <v>1460.2899999999936</v>
      </c>
      <c r="L39" s="501"/>
      <c r="M39" s="501"/>
      <c r="N39" s="501"/>
      <c r="O39" s="501"/>
      <c r="P39" s="501"/>
      <c r="Q39" s="501"/>
      <c r="R39" s="501"/>
      <c r="S39" s="501"/>
      <c r="T39" s="501"/>
      <c r="U39" s="501"/>
      <c r="V39" s="501"/>
      <c r="W39" s="501"/>
      <c r="X39" s="501"/>
      <c r="Y39" s="501"/>
      <c r="Z39" s="501"/>
      <c r="AA39" s="501"/>
      <c r="AB39" s="501"/>
      <c r="AC39" s="501"/>
      <c r="AD39" s="501"/>
    </row>
    <row r="40" spans="1:30" s="514" customFormat="1" ht="15" customHeight="1" x14ac:dyDescent="0.2">
      <c r="A40" s="497">
        <v>45383</v>
      </c>
      <c r="B40" s="477">
        <v>1095.76</v>
      </c>
      <c r="C40" s="491">
        <v>0</v>
      </c>
      <c r="D40" s="489">
        <f t="shared" si="5"/>
        <v>1095.76</v>
      </c>
      <c r="E40" s="490">
        <v>0</v>
      </c>
      <c r="F40" s="478">
        <v>34000</v>
      </c>
      <c r="G40" s="478">
        <v>30000</v>
      </c>
      <c r="H40" s="478">
        <v>40500</v>
      </c>
      <c r="I40" s="586">
        <f t="shared" si="6"/>
        <v>105595.76000000001</v>
      </c>
      <c r="J40" s="587">
        <f t="shared" si="4"/>
        <v>1955.3600000000151</v>
      </c>
      <c r="L40" s="501"/>
      <c r="M40" s="501"/>
      <c r="N40" s="501"/>
      <c r="O40" s="501"/>
      <c r="P40" s="501"/>
      <c r="Q40" s="501"/>
      <c r="R40" s="501"/>
      <c r="S40" s="501"/>
      <c r="T40" s="501"/>
      <c r="U40" s="501"/>
      <c r="V40" s="501"/>
      <c r="W40" s="501"/>
      <c r="X40" s="501"/>
      <c r="Y40" s="501"/>
      <c r="Z40" s="501"/>
      <c r="AA40" s="501"/>
      <c r="AB40" s="501"/>
      <c r="AC40" s="501"/>
      <c r="AD40" s="501"/>
    </row>
    <row r="41" spans="1:30" s="514" customFormat="1" ht="15" customHeight="1" x14ac:dyDescent="0.2">
      <c r="A41" s="497">
        <v>45352</v>
      </c>
      <c r="B41" s="477">
        <v>1140.4000000000001</v>
      </c>
      <c r="C41" s="486">
        <v>0</v>
      </c>
      <c r="D41" s="489">
        <f t="shared" si="5"/>
        <v>1140.4000000000001</v>
      </c>
      <c r="E41" s="478">
        <v>500</v>
      </c>
      <c r="F41" s="478">
        <v>34000</v>
      </c>
      <c r="G41" s="478">
        <v>30000</v>
      </c>
      <c r="H41" s="478">
        <v>38000</v>
      </c>
      <c r="I41" s="586">
        <f t="shared" si="6"/>
        <v>103640.4</v>
      </c>
      <c r="J41" s="587">
        <f t="shared" si="4"/>
        <v>1263.6699999999837</v>
      </c>
      <c r="L41" s="501"/>
      <c r="M41" s="501"/>
      <c r="N41" s="501"/>
      <c r="O41" s="501"/>
      <c r="P41" s="501"/>
      <c r="Q41" s="501"/>
      <c r="R41" s="501"/>
      <c r="S41" s="501"/>
      <c r="T41" s="501"/>
      <c r="U41" s="501"/>
      <c r="V41" s="501"/>
      <c r="W41" s="501"/>
      <c r="X41" s="501"/>
      <c r="Y41" s="501"/>
      <c r="Z41" s="501"/>
      <c r="AA41" s="501"/>
      <c r="AB41" s="501"/>
      <c r="AC41" s="501"/>
      <c r="AD41" s="501"/>
    </row>
    <row r="42" spans="1:30" s="514" customFormat="1" ht="15" customHeight="1" x14ac:dyDescent="0.2">
      <c r="A42" s="497">
        <v>45323</v>
      </c>
      <c r="B42" s="477">
        <v>876.73</v>
      </c>
      <c r="C42" s="486">
        <v>0</v>
      </c>
      <c r="D42" s="489">
        <f t="shared" si="5"/>
        <v>876.73</v>
      </c>
      <c r="E42" s="478">
        <v>500</v>
      </c>
      <c r="F42" s="478">
        <v>34000</v>
      </c>
      <c r="G42" s="478">
        <v>30000</v>
      </c>
      <c r="H42" s="478">
        <v>37000</v>
      </c>
      <c r="I42" s="586">
        <f t="shared" si="6"/>
        <v>102376.73000000001</v>
      </c>
      <c r="J42" s="587">
        <f t="shared" si="4"/>
        <v>1304.2300000000105</v>
      </c>
      <c r="L42" s="501"/>
      <c r="M42" s="501"/>
      <c r="N42" s="501"/>
      <c r="O42" s="501"/>
      <c r="P42" s="501"/>
      <c r="Q42" s="501"/>
      <c r="R42" s="501"/>
      <c r="S42" s="501"/>
      <c r="T42" s="501"/>
      <c r="U42" s="501"/>
      <c r="V42" s="501"/>
      <c r="W42" s="501"/>
      <c r="X42" s="501"/>
      <c r="Y42" s="501"/>
      <c r="Z42" s="501"/>
      <c r="AA42" s="501"/>
      <c r="AB42" s="501"/>
      <c r="AC42" s="501"/>
      <c r="AD42" s="501"/>
    </row>
    <row r="43" spans="1:30" s="514" customFormat="1" ht="15" customHeight="1" x14ac:dyDescent="0.2">
      <c r="A43" s="497">
        <v>45292</v>
      </c>
      <c r="B43" s="477">
        <v>1072.5</v>
      </c>
      <c r="C43" s="491">
        <v>0</v>
      </c>
      <c r="D43" s="489">
        <f t="shared" si="5"/>
        <v>1072.5</v>
      </c>
      <c r="E43" s="478">
        <v>1000</v>
      </c>
      <c r="F43" s="478">
        <v>34000</v>
      </c>
      <c r="G43" s="478">
        <v>30000</v>
      </c>
      <c r="H43" s="478">
        <v>35000</v>
      </c>
      <c r="I43" s="586">
        <f t="shared" si="6"/>
        <v>101072.5</v>
      </c>
      <c r="J43" s="587">
        <f t="shared" si="4"/>
        <v>1415.7200000000012</v>
      </c>
      <c r="L43" s="501"/>
      <c r="M43" s="501"/>
      <c r="N43" s="501"/>
      <c r="O43" s="501"/>
      <c r="P43" s="501"/>
      <c r="Q43" s="501"/>
      <c r="R43" s="501"/>
      <c r="S43" s="501"/>
      <c r="T43" s="501"/>
      <c r="U43" s="501"/>
      <c r="V43" s="501"/>
      <c r="W43" s="501"/>
      <c r="X43" s="501"/>
      <c r="Y43" s="501"/>
      <c r="Z43" s="501"/>
      <c r="AA43" s="501"/>
      <c r="AB43" s="501"/>
      <c r="AC43" s="501"/>
      <c r="AD43" s="501"/>
    </row>
    <row r="44" spans="1:30" s="514" customFormat="1" ht="15" customHeight="1" x14ac:dyDescent="0.2">
      <c r="A44" s="497">
        <v>45261</v>
      </c>
      <c r="B44" s="485">
        <v>656.78</v>
      </c>
      <c r="C44" s="486">
        <v>0</v>
      </c>
      <c r="D44" s="489">
        <f t="shared" si="5"/>
        <v>656.78</v>
      </c>
      <c r="E44" s="487">
        <v>1000</v>
      </c>
      <c r="F44" s="487">
        <v>34000</v>
      </c>
      <c r="G44" s="487">
        <v>30000</v>
      </c>
      <c r="H44" s="487">
        <v>34000</v>
      </c>
      <c r="I44" s="586">
        <f t="shared" si="6"/>
        <v>99656.78</v>
      </c>
      <c r="J44" s="587">
        <f t="shared" si="4"/>
        <v>2589.3699999999953</v>
      </c>
      <c r="L44" s="501"/>
      <c r="M44" s="501"/>
      <c r="N44" s="501"/>
      <c r="O44" s="501"/>
      <c r="P44" s="501"/>
      <c r="Q44" s="501"/>
      <c r="R44" s="501"/>
      <c r="S44" s="501"/>
      <c r="T44" s="501"/>
      <c r="U44" s="501"/>
      <c r="V44" s="501"/>
      <c r="W44" s="501"/>
      <c r="X44" s="501"/>
      <c r="Y44" s="501"/>
      <c r="Z44" s="501"/>
      <c r="AA44" s="501"/>
      <c r="AB44" s="501"/>
      <c r="AC44" s="501"/>
      <c r="AD44" s="501"/>
    </row>
    <row r="45" spans="1:30" s="514" customFormat="1" ht="15" customHeight="1" x14ac:dyDescent="0.2">
      <c r="A45" s="497">
        <v>45231</v>
      </c>
      <c r="B45" s="484">
        <v>1067.4100000000001</v>
      </c>
      <c r="C45" s="486">
        <v>1000</v>
      </c>
      <c r="D45" s="489">
        <f t="shared" si="5"/>
        <v>2067.41</v>
      </c>
      <c r="E45" s="486">
        <v>1000</v>
      </c>
      <c r="F45" s="486">
        <v>34000</v>
      </c>
      <c r="G45" s="486">
        <v>30000</v>
      </c>
      <c r="H45" s="486">
        <v>30000</v>
      </c>
      <c r="I45" s="586">
        <f t="shared" si="6"/>
        <v>97067.41</v>
      </c>
      <c r="J45" s="587">
        <f t="shared" si="4"/>
        <v>1618.1900000000023</v>
      </c>
      <c r="L45" s="501"/>
      <c r="M45" s="501"/>
      <c r="N45" s="501"/>
      <c r="O45" s="501"/>
      <c r="P45" s="501"/>
      <c r="Q45" s="501"/>
      <c r="R45" s="501"/>
      <c r="S45" s="501"/>
      <c r="T45" s="501"/>
      <c r="U45" s="501"/>
      <c r="V45" s="501"/>
      <c r="W45" s="501"/>
      <c r="X45" s="501"/>
      <c r="Y45" s="501"/>
      <c r="Z45" s="501"/>
      <c r="AA45" s="501"/>
      <c r="AB45" s="501"/>
      <c r="AC45" s="501"/>
      <c r="AD45" s="501"/>
    </row>
    <row r="46" spans="1:30" s="514" customFormat="1" ht="15" customHeight="1" x14ac:dyDescent="0.2">
      <c r="A46" s="497">
        <v>45200</v>
      </c>
      <c r="B46" s="484">
        <v>1449.22</v>
      </c>
      <c r="C46" s="486">
        <v>1000</v>
      </c>
      <c r="D46" s="489">
        <f t="shared" si="5"/>
        <v>2449.2200000000003</v>
      </c>
      <c r="E46" s="486">
        <v>1000</v>
      </c>
      <c r="F46" s="486">
        <v>34000</v>
      </c>
      <c r="G46" s="486">
        <v>30000</v>
      </c>
      <c r="H46" s="486">
        <v>28000</v>
      </c>
      <c r="I46" s="586">
        <f t="shared" si="6"/>
        <v>95449.22</v>
      </c>
      <c r="J46" s="587">
        <f t="shared" si="4"/>
        <v>1254.1100000000006</v>
      </c>
      <c r="L46" s="501"/>
      <c r="M46" s="501"/>
      <c r="N46" s="501"/>
      <c r="O46" s="501"/>
      <c r="P46" s="501"/>
      <c r="Q46" s="501"/>
      <c r="R46" s="501"/>
      <c r="S46" s="501"/>
      <c r="T46" s="501"/>
      <c r="U46" s="501"/>
      <c r="V46" s="501"/>
      <c r="W46" s="501"/>
      <c r="X46" s="501"/>
      <c r="Y46" s="501"/>
      <c r="Z46" s="501"/>
      <c r="AA46" s="501"/>
      <c r="AB46" s="501"/>
      <c r="AC46" s="501"/>
      <c r="AD46" s="501"/>
    </row>
    <row r="47" spans="1:30" s="514" customFormat="1" ht="15" customHeight="1" x14ac:dyDescent="0.2">
      <c r="A47" s="497">
        <v>45170</v>
      </c>
      <c r="B47" s="484">
        <v>2195.11</v>
      </c>
      <c r="C47" s="486">
        <v>27000</v>
      </c>
      <c r="D47" s="489">
        <f t="shared" si="5"/>
        <v>29195.11</v>
      </c>
      <c r="E47" s="486">
        <v>1000</v>
      </c>
      <c r="F47" s="486">
        <v>34000</v>
      </c>
      <c r="G47" s="486">
        <v>30000</v>
      </c>
      <c r="H47" s="486">
        <v>0</v>
      </c>
      <c r="I47" s="586">
        <f t="shared" si="6"/>
        <v>94195.11</v>
      </c>
      <c r="J47" s="587">
        <f t="shared" si="4"/>
        <v>1384.6999999999971</v>
      </c>
      <c r="L47" s="501"/>
      <c r="M47" s="501"/>
      <c r="N47" s="501"/>
      <c r="O47" s="501"/>
      <c r="P47" s="501"/>
      <c r="Q47" s="501"/>
      <c r="R47" s="501"/>
      <c r="S47" s="501"/>
      <c r="T47" s="501"/>
      <c r="U47" s="501"/>
      <c r="V47" s="501"/>
      <c r="W47" s="501"/>
      <c r="X47" s="501"/>
      <c r="Y47" s="501"/>
      <c r="Z47" s="501"/>
      <c r="AA47" s="501"/>
      <c r="AB47" s="501"/>
      <c r="AC47" s="501"/>
      <c r="AD47" s="501"/>
    </row>
    <row r="48" spans="1:30" s="514" customFormat="1" ht="15" customHeight="1" x14ac:dyDescent="0.2">
      <c r="A48" s="497">
        <v>45139</v>
      </c>
      <c r="B48" s="484">
        <v>1810.41</v>
      </c>
      <c r="C48" s="486">
        <v>26000</v>
      </c>
      <c r="D48" s="489">
        <f t="shared" si="5"/>
        <v>27810.41</v>
      </c>
      <c r="E48" s="486">
        <v>1000</v>
      </c>
      <c r="F48" s="486">
        <v>34000</v>
      </c>
      <c r="G48" s="486">
        <v>30000</v>
      </c>
      <c r="H48" s="486">
        <v>0</v>
      </c>
      <c r="I48" s="586">
        <f t="shared" si="6"/>
        <v>92810.41</v>
      </c>
      <c r="J48" s="587">
        <f t="shared" si="4"/>
        <v>1249.8300000000017</v>
      </c>
      <c r="L48" s="501"/>
      <c r="M48" s="501"/>
      <c r="N48" s="501"/>
      <c r="O48" s="501"/>
      <c r="P48" s="501"/>
      <c r="Q48" s="501"/>
      <c r="R48" s="501"/>
      <c r="S48" s="501"/>
      <c r="T48" s="501"/>
      <c r="U48" s="501"/>
      <c r="V48" s="501"/>
      <c r="W48" s="501"/>
      <c r="X48" s="501"/>
      <c r="Y48" s="501"/>
      <c r="Z48" s="501"/>
      <c r="AA48" s="501"/>
      <c r="AB48" s="501"/>
      <c r="AC48" s="501"/>
      <c r="AD48" s="501"/>
    </row>
    <row r="49" spans="1:30" s="514" customFormat="1" ht="15" customHeight="1" x14ac:dyDescent="0.2">
      <c r="A49" s="497">
        <v>45108</v>
      </c>
      <c r="B49" s="484">
        <v>1560.58</v>
      </c>
      <c r="C49" s="486">
        <v>25000</v>
      </c>
      <c r="D49" s="489">
        <f t="shared" si="5"/>
        <v>26560.58</v>
      </c>
      <c r="E49" s="486">
        <v>1000</v>
      </c>
      <c r="F49" s="486">
        <v>34000</v>
      </c>
      <c r="G49" s="486">
        <v>30000</v>
      </c>
      <c r="H49" s="486">
        <v>0</v>
      </c>
      <c r="I49" s="586">
        <f t="shared" si="6"/>
        <v>91560.58</v>
      </c>
      <c r="J49" s="587">
        <f t="shared" si="4"/>
        <v>2684.75</v>
      </c>
      <c r="L49" s="501"/>
      <c r="M49" s="501"/>
      <c r="N49" s="501"/>
      <c r="O49" s="501"/>
      <c r="P49" s="501"/>
      <c r="Q49" s="501"/>
      <c r="R49" s="501"/>
      <c r="S49" s="501"/>
      <c r="T49" s="501"/>
      <c r="U49" s="501"/>
      <c r="V49" s="501"/>
      <c r="W49" s="501"/>
      <c r="X49" s="501"/>
      <c r="Y49" s="501"/>
      <c r="Z49" s="501"/>
      <c r="AA49" s="501"/>
      <c r="AB49" s="501"/>
      <c r="AC49" s="501"/>
      <c r="AD49" s="501"/>
    </row>
    <row r="50" spans="1:30" s="514" customFormat="1" ht="15" customHeight="1" x14ac:dyDescent="0.2">
      <c r="A50" s="497">
        <v>45078</v>
      </c>
      <c r="B50" s="484">
        <v>1875.83</v>
      </c>
      <c r="C50" s="486">
        <v>72000</v>
      </c>
      <c r="D50" s="489">
        <f t="shared" si="5"/>
        <v>73875.83</v>
      </c>
      <c r="E50" s="486">
        <v>15000</v>
      </c>
      <c r="F50" s="486">
        <v>0</v>
      </c>
      <c r="G50" s="486">
        <v>0</v>
      </c>
      <c r="H50" s="486">
        <v>0</v>
      </c>
      <c r="I50" s="586">
        <f t="shared" si="6"/>
        <v>88875.83</v>
      </c>
      <c r="J50" s="587">
        <f t="shared" si="4"/>
        <v>1188.4400000000023</v>
      </c>
      <c r="L50" s="501"/>
      <c r="M50" s="501"/>
      <c r="N50" s="501"/>
      <c r="O50" s="501"/>
      <c r="P50" s="501"/>
      <c r="Q50" s="501"/>
      <c r="R50" s="501"/>
      <c r="S50" s="501"/>
      <c r="T50" s="501"/>
      <c r="U50" s="501"/>
      <c r="V50" s="501"/>
      <c r="W50" s="501"/>
      <c r="X50" s="501"/>
      <c r="Y50" s="501"/>
      <c r="Z50" s="501"/>
      <c r="AA50" s="501"/>
      <c r="AB50" s="501"/>
      <c r="AC50" s="501"/>
      <c r="AD50" s="501"/>
    </row>
    <row r="51" spans="1:30" s="514" customFormat="1" ht="15" customHeight="1" x14ac:dyDescent="0.2">
      <c r="A51" s="497">
        <v>45047</v>
      </c>
      <c r="B51" s="484">
        <v>1687.39</v>
      </c>
      <c r="C51" s="486">
        <v>76000</v>
      </c>
      <c r="D51" s="489">
        <f t="shared" si="5"/>
        <v>77687.39</v>
      </c>
      <c r="E51" s="486">
        <v>10000</v>
      </c>
      <c r="F51" s="486">
        <v>0</v>
      </c>
      <c r="G51" s="486">
        <v>0</v>
      </c>
      <c r="H51" s="486">
        <v>0</v>
      </c>
      <c r="I51" s="586">
        <f t="shared" si="6"/>
        <v>87687.39</v>
      </c>
      <c r="J51" s="587">
        <f t="shared" si="4"/>
        <v>1176.2899999999936</v>
      </c>
      <c r="L51" s="501"/>
      <c r="M51" s="501"/>
      <c r="N51" s="501"/>
      <c r="O51" s="501"/>
      <c r="P51" s="501"/>
      <c r="Q51" s="501"/>
      <c r="R51" s="501"/>
      <c r="S51" s="501"/>
      <c r="T51" s="501"/>
      <c r="U51" s="501"/>
      <c r="V51" s="501"/>
      <c r="W51" s="501"/>
      <c r="X51" s="501"/>
      <c r="Y51" s="501"/>
      <c r="Z51" s="501"/>
      <c r="AA51" s="501"/>
      <c r="AB51" s="501"/>
      <c r="AC51" s="501"/>
      <c r="AD51" s="501"/>
    </row>
    <row r="52" spans="1:30" s="514" customFormat="1" ht="15" customHeight="1" x14ac:dyDescent="0.2">
      <c r="A52" s="497">
        <v>45017</v>
      </c>
      <c r="B52" s="484">
        <v>1511.1</v>
      </c>
      <c r="C52" s="486">
        <v>75000</v>
      </c>
      <c r="D52" s="489">
        <f t="shared" si="5"/>
        <v>76511.100000000006</v>
      </c>
      <c r="E52" s="486">
        <v>10000</v>
      </c>
      <c r="F52" s="486">
        <v>0</v>
      </c>
      <c r="G52" s="486">
        <v>0</v>
      </c>
      <c r="H52" s="486">
        <v>0</v>
      </c>
      <c r="I52" s="586">
        <f t="shared" si="6"/>
        <v>86511.1</v>
      </c>
      <c r="J52" s="587">
        <f t="shared" si="4"/>
        <v>1322.3400000000111</v>
      </c>
      <c r="L52" s="501"/>
      <c r="M52" s="501"/>
      <c r="N52" s="501"/>
      <c r="O52" s="501"/>
      <c r="P52" s="501"/>
      <c r="Q52" s="501"/>
      <c r="R52" s="501"/>
      <c r="S52" s="501"/>
      <c r="T52" s="501"/>
      <c r="U52" s="501"/>
      <c r="V52" s="501"/>
      <c r="W52" s="501"/>
      <c r="X52" s="501"/>
      <c r="Y52" s="501"/>
      <c r="Z52" s="501"/>
      <c r="AA52" s="501"/>
      <c r="AB52" s="501"/>
      <c r="AC52" s="501"/>
      <c r="AD52" s="501"/>
    </row>
    <row r="53" spans="1:30" s="514" customFormat="1" ht="15" customHeight="1" x14ac:dyDescent="0.2">
      <c r="A53" s="497">
        <v>44986</v>
      </c>
      <c r="B53" s="484">
        <v>1188.76</v>
      </c>
      <c r="C53" s="486">
        <v>74000</v>
      </c>
      <c r="D53" s="489">
        <f t="shared" si="5"/>
        <v>75188.759999999995</v>
      </c>
      <c r="E53" s="486">
        <v>10000</v>
      </c>
      <c r="F53" s="486">
        <v>0</v>
      </c>
      <c r="G53" s="486">
        <v>0</v>
      </c>
      <c r="H53" s="486">
        <v>0</v>
      </c>
      <c r="I53" s="586">
        <f t="shared" si="6"/>
        <v>85188.76</v>
      </c>
      <c r="J53" s="587">
        <f t="shared" si="4"/>
        <v>1361.8899999999994</v>
      </c>
      <c r="L53" s="501"/>
      <c r="M53" s="501"/>
      <c r="N53" s="501"/>
      <c r="O53" s="501"/>
      <c r="P53" s="501"/>
      <c r="Q53" s="501"/>
      <c r="R53" s="501"/>
      <c r="S53" s="501"/>
      <c r="T53" s="501"/>
      <c r="U53" s="501"/>
      <c r="V53" s="501"/>
      <c r="W53" s="501"/>
      <c r="X53" s="501"/>
      <c r="Y53" s="501"/>
      <c r="Z53" s="501"/>
      <c r="AA53" s="501"/>
      <c r="AB53" s="501"/>
      <c r="AC53" s="501"/>
      <c r="AD53" s="501"/>
    </row>
    <row r="54" spans="1:30" s="514" customFormat="1" ht="15" customHeight="1" x14ac:dyDescent="0.2">
      <c r="A54" s="497">
        <v>44958</v>
      </c>
      <c r="B54" s="479">
        <v>1826.87</v>
      </c>
      <c r="C54" s="480">
        <v>77000</v>
      </c>
      <c r="D54" s="489">
        <f t="shared" si="5"/>
        <v>78826.87</v>
      </c>
      <c r="E54" s="480">
        <v>5000</v>
      </c>
      <c r="F54" s="486">
        <v>0</v>
      </c>
      <c r="G54" s="486">
        <v>0</v>
      </c>
      <c r="H54" s="486">
        <v>0</v>
      </c>
      <c r="I54" s="586">
        <f t="shared" si="6"/>
        <v>83826.87</v>
      </c>
      <c r="J54" s="587">
        <f t="shared" si="4"/>
        <v>1408.6399999999994</v>
      </c>
      <c r="L54" s="501"/>
      <c r="M54" s="501"/>
      <c r="N54" s="501"/>
      <c r="O54" s="501"/>
      <c r="P54" s="501"/>
      <c r="Q54" s="501"/>
      <c r="R54" s="501"/>
      <c r="S54" s="501"/>
      <c r="T54" s="501"/>
      <c r="U54" s="501"/>
      <c r="V54" s="501"/>
      <c r="W54" s="501"/>
      <c r="X54" s="501"/>
      <c r="Y54" s="501"/>
      <c r="Z54" s="501"/>
      <c r="AA54" s="501"/>
      <c r="AB54" s="501"/>
      <c r="AC54" s="501"/>
      <c r="AD54" s="501"/>
    </row>
    <row r="55" spans="1:30" s="514" customFormat="1" ht="15" customHeight="1" x14ac:dyDescent="0.2">
      <c r="A55" s="497">
        <v>44927</v>
      </c>
      <c r="B55" s="479">
        <v>1418.23</v>
      </c>
      <c r="C55" s="480">
        <v>76000</v>
      </c>
      <c r="D55" s="489">
        <f t="shared" si="5"/>
        <v>77418.23</v>
      </c>
      <c r="E55" s="480">
        <v>5000</v>
      </c>
      <c r="F55" s="486">
        <v>0</v>
      </c>
      <c r="G55" s="486">
        <v>0</v>
      </c>
      <c r="H55" s="486">
        <v>0</v>
      </c>
      <c r="I55" s="586">
        <f t="shared" si="6"/>
        <v>82418.23</v>
      </c>
      <c r="J55" s="587">
        <f t="shared" si="4"/>
        <v>1278.3999999999942</v>
      </c>
      <c r="L55" s="501"/>
      <c r="M55" s="501"/>
      <c r="N55" s="501"/>
      <c r="O55" s="501"/>
      <c r="P55" s="501"/>
      <c r="Q55" s="501"/>
      <c r="R55" s="501"/>
      <c r="S55" s="501"/>
      <c r="T55" s="501"/>
      <c r="U55" s="501"/>
      <c r="V55" s="501"/>
      <c r="W55" s="501"/>
      <c r="X55" s="501"/>
      <c r="Y55" s="501"/>
      <c r="Z55" s="501"/>
      <c r="AA55" s="501"/>
      <c r="AB55" s="501"/>
      <c r="AC55" s="501"/>
      <c r="AD55" s="501"/>
    </row>
    <row r="56" spans="1:30" s="514" customFormat="1" ht="15" customHeight="1" x14ac:dyDescent="0.15">
      <c r="A56" s="497">
        <v>44896</v>
      </c>
      <c r="B56" s="479">
        <v>1139.83</v>
      </c>
      <c r="C56" s="480">
        <v>75000</v>
      </c>
      <c r="D56" s="489">
        <f t="shared" si="5"/>
        <v>76139.83</v>
      </c>
      <c r="E56" s="480">
        <v>5000</v>
      </c>
      <c r="F56" s="486">
        <v>0</v>
      </c>
      <c r="G56" s="486">
        <v>0</v>
      </c>
      <c r="H56" s="486">
        <v>0</v>
      </c>
      <c r="I56" s="586">
        <f t="shared" si="6"/>
        <v>81139.83</v>
      </c>
      <c r="J56" s="587">
        <f t="shared" si="4"/>
        <v>2827.9000000000087</v>
      </c>
      <c r="L56" s="515"/>
      <c r="M56" s="515"/>
      <c r="N56" s="515"/>
      <c r="O56" s="515"/>
      <c r="P56" s="515"/>
      <c r="Q56" s="515"/>
      <c r="R56" s="516"/>
      <c r="S56" s="516"/>
      <c r="T56" s="516"/>
      <c r="U56" s="516"/>
      <c r="V56" s="516"/>
      <c r="W56" s="516"/>
      <c r="X56" s="516"/>
      <c r="Y56" s="516"/>
      <c r="Z56" s="516"/>
      <c r="AA56" s="516"/>
      <c r="AB56" s="516"/>
      <c r="AC56" s="516"/>
      <c r="AD56" s="516"/>
    </row>
    <row r="57" spans="1:30" s="514" customFormat="1" ht="15" customHeight="1" x14ac:dyDescent="0.15">
      <c r="A57" s="497">
        <v>44866</v>
      </c>
      <c r="B57" s="479">
        <v>1311.93</v>
      </c>
      <c r="C57" s="480">
        <v>75000</v>
      </c>
      <c r="D57" s="489">
        <f t="shared" si="5"/>
        <v>76311.929999999993</v>
      </c>
      <c r="E57" s="480">
        <v>2000</v>
      </c>
      <c r="F57" s="486">
        <v>0</v>
      </c>
      <c r="G57" s="486">
        <v>0</v>
      </c>
      <c r="H57" s="486">
        <v>0</v>
      </c>
      <c r="I57" s="586">
        <f t="shared" si="6"/>
        <v>78311.929999999993</v>
      </c>
      <c r="J57" s="587">
        <f t="shared" si="4"/>
        <v>1359.4799999999959</v>
      </c>
      <c r="L57" s="515"/>
      <c r="M57" s="515"/>
      <c r="N57" s="515"/>
      <c r="O57" s="515"/>
      <c r="P57" s="515"/>
      <c r="Q57" s="515"/>
      <c r="R57" s="516"/>
      <c r="S57" s="516"/>
      <c r="T57" s="516"/>
      <c r="U57" s="516"/>
      <c r="V57" s="516"/>
      <c r="W57" s="516"/>
      <c r="X57" s="516"/>
      <c r="Y57" s="516"/>
      <c r="Z57" s="516"/>
      <c r="AA57" s="516"/>
      <c r="AB57" s="516"/>
      <c r="AC57" s="516"/>
      <c r="AD57" s="516"/>
    </row>
    <row r="58" spans="1:30" s="514" customFormat="1" ht="15" customHeight="1" x14ac:dyDescent="0.15">
      <c r="A58" s="497">
        <v>44835</v>
      </c>
      <c r="B58" s="479">
        <v>1952.45</v>
      </c>
      <c r="C58" s="480">
        <v>73000</v>
      </c>
      <c r="D58" s="489">
        <f t="shared" si="5"/>
        <v>74952.45</v>
      </c>
      <c r="E58" s="480">
        <v>2000</v>
      </c>
      <c r="F58" s="486">
        <v>0</v>
      </c>
      <c r="G58" s="486">
        <v>0</v>
      </c>
      <c r="H58" s="486">
        <v>0</v>
      </c>
      <c r="I58" s="586">
        <f t="shared" si="6"/>
        <v>76952.45</v>
      </c>
      <c r="J58" s="587">
        <f t="shared" si="4"/>
        <v>1336.3899999999994</v>
      </c>
      <c r="L58" s="515"/>
      <c r="M58" s="515"/>
      <c r="N58" s="515"/>
      <c r="O58" s="515"/>
      <c r="P58" s="515"/>
      <c r="Q58" s="515"/>
      <c r="R58" s="516"/>
      <c r="S58" s="516"/>
      <c r="T58" s="516"/>
      <c r="U58" s="516"/>
      <c r="V58" s="516"/>
      <c r="W58" s="516"/>
      <c r="X58" s="516"/>
      <c r="Y58" s="516"/>
      <c r="Z58" s="516"/>
      <c r="AA58" s="516"/>
      <c r="AB58" s="516"/>
      <c r="AC58" s="516"/>
      <c r="AD58" s="516"/>
    </row>
    <row r="59" spans="1:30" s="514" customFormat="1" ht="15" customHeight="1" x14ac:dyDescent="0.15">
      <c r="A59" s="497">
        <v>44805</v>
      </c>
      <c r="B59" s="479">
        <v>1616.06</v>
      </c>
      <c r="C59" s="480">
        <v>72000</v>
      </c>
      <c r="D59" s="489">
        <f t="shared" si="5"/>
        <v>73616.06</v>
      </c>
      <c r="E59" s="480">
        <v>2000</v>
      </c>
      <c r="F59" s="486">
        <v>0</v>
      </c>
      <c r="G59" s="486">
        <v>0</v>
      </c>
      <c r="H59" s="486">
        <v>0</v>
      </c>
      <c r="I59" s="586">
        <f t="shared" si="6"/>
        <v>75616.06</v>
      </c>
      <c r="J59" s="587">
        <f t="shared" si="4"/>
        <v>1328.4899999999907</v>
      </c>
      <c r="L59" s="515"/>
      <c r="M59" s="515"/>
      <c r="N59" s="515"/>
      <c r="O59" s="515"/>
      <c r="P59" s="515"/>
      <c r="Q59" s="515"/>
      <c r="R59" s="516"/>
      <c r="S59" s="516"/>
      <c r="T59" s="516"/>
      <c r="U59" s="516"/>
      <c r="V59" s="516"/>
      <c r="W59" s="516"/>
      <c r="X59" s="516"/>
      <c r="Y59" s="516"/>
      <c r="Z59" s="516"/>
      <c r="AA59" s="516"/>
      <c r="AB59" s="516"/>
      <c r="AC59" s="516"/>
      <c r="AD59" s="516"/>
    </row>
    <row r="60" spans="1:30" s="514" customFormat="1" ht="15" customHeight="1" x14ac:dyDescent="0.15">
      <c r="A60" s="497">
        <v>44774</v>
      </c>
      <c r="B60" s="479">
        <v>1287.57</v>
      </c>
      <c r="C60" s="480">
        <v>73000</v>
      </c>
      <c r="D60" s="489">
        <f t="shared" si="5"/>
        <v>74287.570000000007</v>
      </c>
      <c r="E60" s="480">
        <v>0</v>
      </c>
      <c r="F60" s="486">
        <v>0</v>
      </c>
      <c r="G60" s="486">
        <v>0</v>
      </c>
      <c r="H60" s="486">
        <v>0</v>
      </c>
      <c r="I60" s="586">
        <f t="shared" si="6"/>
        <v>74287.570000000007</v>
      </c>
      <c r="J60" s="587">
        <f t="shared" si="4"/>
        <v>1349.8100000000122</v>
      </c>
      <c r="L60" s="515"/>
      <c r="M60" s="515"/>
      <c r="N60" s="515"/>
      <c r="O60" s="515"/>
      <c r="P60" s="515"/>
      <c r="Q60" s="515"/>
      <c r="R60" s="516"/>
      <c r="S60" s="516"/>
      <c r="T60" s="516"/>
      <c r="U60" s="516"/>
      <c r="V60" s="516"/>
      <c r="W60" s="516"/>
      <c r="X60" s="516"/>
      <c r="Y60" s="516"/>
      <c r="Z60" s="516"/>
      <c r="AA60" s="516"/>
      <c r="AB60" s="516"/>
      <c r="AC60" s="516"/>
      <c r="AD60" s="516"/>
    </row>
    <row r="61" spans="1:30" s="514" customFormat="1" ht="15" customHeight="1" x14ac:dyDescent="0.15">
      <c r="A61" s="497">
        <v>44743</v>
      </c>
      <c r="B61" s="479">
        <v>1937.76</v>
      </c>
      <c r="C61" s="480">
        <v>71000</v>
      </c>
      <c r="D61" s="489">
        <f t="shared" si="5"/>
        <v>72937.759999999995</v>
      </c>
      <c r="E61" s="480">
        <v>0</v>
      </c>
      <c r="F61" s="486">
        <v>0</v>
      </c>
      <c r="G61" s="486">
        <v>0</v>
      </c>
      <c r="H61" s="486">
        <v>0</v>
      </c>
      <c r="I61" s="586">
        <f t="shared" si="6"/>
        <v>72937.759999999995</v>
      </c>
      <c r="J61" s="587">
        <f t="shared" si="4"/>
        <v>2062.8099999999977</v>
      </c>
      <c r="L61" s="515"/>
      <c r="M61" s="515"/>
      <c r="N61" s="515"/>
      <c r="O61" s="515"/>
      <c r="P61" s="515"/>
      <c r="Q61" s="515"/>
      <c r="R61" s="516"/>
      <c r="S61" s="516"/>
      <c r="T61" s="516"/>
      <c r="U61" s="516"/>
      <c r="V61" s="516"/>
      <c r="W61" s="516"/>
      <c r="X61" s="516"/>
      <c r="Y61" s="516"/>
      <c r="Z61" s="516"/>
      <c r="AA61" s="516"/>
      <c r="AB61" s="516"/>
      <c r="AC61" s="516"/>
      <c r="AD61" s="516"/>
    </row>
    <row r="62" spans="1:30" s="514" customFormat="1" ht="15" customHeight="1" x14ac:dyDescent="0.15">
      <c r="A62" s="497">
        <v>44713</v>
      </c>
      <c r="B62" s="479">
        <v>1874.95</v>
      </c>
      <c r="C62" s="480">
        <v>69000</v>
      </c>
      <c r="D62" s="489">
        <f t="shared" si="5"/>
        <v>70874.95</v>
      </c>
      <c r="E62" s="480">
        <v>0</v>
      </c>
      <c r="F62" s="486">
        <v>0</v>
      </c>
      <c r="G62" s="486">
        <v>0</v>
      </c>
      <c r="H62" s="486">
        <v>0</v>
      </c>
      <c r="I62" s="586">
        <f t="shared" si="6"/>
        <v>70874.95</v>
      </c>
      <c r="J62" s="587">
        <f t="shared" si="4"/>
        <v>1120.0299999999988</v>
      </c>
      <c r="L62" s="515"/>
      <c r="M62" s="515"/>
      <c r="N62" s="515"/>
      <c r="O62" s="515"/>
      <c r="P62" s="515"/>
      <c r="Q62" s="515"/>
      <c r="R62" s="516"/>
      <c r="S62" s="516"/>
      <c r="T62" s="516"/>
      <c r="U62" s="516"/>
      <c r="V62" s="516"/>
      <c r="W62" s="516"/>
      <c r="X62" s="516"/>
      <c r="Y62" s="516"/>
      <c r="Z62" s="516"/>
      <c r="AA62" s="516"/>
      <c r="AB62" s="516"/>
      <c r="AC62" s="516"/>
      <c r="AD62" s="516"/>
    </row>
    <row r="63" spans="1:30" s="514" customFormat="1" ht="15" customHeight="1" x14ac:dyDescent="0.15">
      <c r="A63" s="497">
        <v>44682</v>
      </c>
      <c r="B63" s="479">
        <v>1754.92</v>
      </c>
      <c r="C63" s="480">
        <v>68000</v>
      </c>
      <c r="D63" s="489">
        <f t="shared" si="5"/>
        <v>69754.92</v>
      </c>
      <c r="E63" s="480">
        <v>0</v>
      </c>
      <c r="F63" s="486">
        <v>0</v>
      </c>
      <c r="G63" s="486">
        <v>0</v>
      </c>
      <c r="H63" s="486">
        <v>0</v>
      </c>
      <c r="I63" s="586">
        <f t="shared" si="6"/>
        <v>69754.92</v>
      </c>
      <c r="J63" s="587">
        <f t="shared" si="4"/>
        <v>1323.6399999999994</v>
      </c>
      <c r="L63" s="515"/>
      <c r="M63" s="515"/>
      <c r="N63" s="515"/>
      <c r="O63" s="515"/>
      <c r="P63" s="515"/>
      <c r="Q63" s="515"/>
      <c r="R63" s="516"/>
      <c r="S63" s="516"/>
      <c r="T63" s="516"/>
      <c r="U63" s="516"/>
      <c r="V63" s="516"/>
      <c r="W63" s="516"/>
      <c r="X63" s="516"/>
      <c r="Y63" s="516"/>
      <c r="Z63" s="516"/>
      <c r="AA63" s="516"/>
      <c r="AB63" s="516"/>
      <c r="AC63" s="516"/>
      <c r="AD63" s="516"/>
    </row>
    <row r="64" spans="1:30" s="514" customFormat="1" ht="15" customHeight="1" x14ac:dyDescent="0.15">
      <c r="A64" s="497">
        <v>44652</v>
      </c>
      <c r="B64" s="479">
        <v>1431.28</v>
      </c>
      <c r="C64" s="480">
        <v>67000</v>
      </c>
      <c r="D64" s="489">
        <f t="shared" si="5"/>
        <v>68431.28</v>
      </c>
      <c r="E64" s="480">
        <v>0</v>
      </c>
      <c r="F64" s="486">
        <v>0</v>
      </c>
      <c r="G64" s="486">
        <v>0</v>
      </c>
      <c r="H64" s="486">
        <v>0</v>
      </c>
      <c r="I64" s="586">
        <f t="shared" si="6"/>
        <v>68431.28</v>
      </c>
      <c r="J64" s="587">
        <f t="shared" si="4"/>
        <v>248.58000000000175</v>
      </c>
      <c r="L64" s="515"/>
      <c r="M64" s="515"/>
      <c r="N64" s="515"/>
      <c r="O64" s="515"/>
      <c r="P64" s="515"/>
      <c r="Q64" s="515"/>
      <c r="R64" s="516"/>
      <c r="S64" s="516"/>
      <c r="T64" s="516"/>
      <c r="U64" s="516"/>
      <c r="V64" s="516"/>
      <c r="W64" s="516"/>
      <c r="X64" s="516"/>
      <c r="Y64" s="516"/>
      <c r="Z64" s="516"/>
      <c r="AA64" s="516"/>
      <c r="AB64" s="516"/>
      <c r="AC64" s="516"/>
      <c r="AD64" s="516"/>
    </row>
    <row r="65" spans="1:30" s="514" customFormat="1" ht="15" customHeight="1" x14ac:dyDescent="0.15">
      <c r="A65" s="497">
        <v>44621</v>
      </c>
      <c r="B65" s="479">
        <v>2182.6999999999998</v>
      </c>
      <c r="C65" s="480">
        <v>66000</v>
      </c>
      <c r="D65" s="489">
        <f t="shared" si="5"/>
        <v>68182.7</v>
      </c>
      <c r="E65" s="480">
        <v>0</v>
      </c>
      <c r="F65" s="486">
        <v>0</v>
      </c>
      <c r="G65" s="486">
        <v>0</v>
      </c>
      <c r="H65" s="486">
        <v>0</v>
      </c>
      <c r="I65" s="586">
        <f t="shared" si="6"/>
        <v>68182.7</v>
      </c>
      <c r="J65" s="587">
        <f t="shared" si="4"/>
        <v>81.569999999992433</v>
      </c>
      <c r="L65" s="515"/>
      <c r="M65" s="515"/>
      <c r="N65" s="515"/>
      <c r="O65" s="515"/>
      <c r="P65" s="515"/>
      <c r="Q65" s="515"/>
      <c r="R65" s="516"/>
      <c r="S65" s="516"/>
      <c r="T65" s="516"/>
      <c r="U65" s="516"/>
      <c r="V65" s="516"/>
      <c r="W65" s="516"/>
      <c r="X65" s="516"/>
      <c r="Y65" s="516"/>
      <c r="Z65" s="516"/>
      <c r="AA65" s="516"/>
      <c r="AB65" s="516"/>
      <c r="AC65" s="516"/>
      <c r="AD65" s="516"/>
    </row>
    <row r="66" spans="1:30" s="514" customFormat="1" ht="15" customHeight="1" x14ac:dyDescent="0.15">
      <c r="A66" s="497">
        <v>44593</v>
      </c>
      <c r="B66" s="479">
        <v>2101.13</v>
      </c>
      <c r="C66" s="480">
        <v>66000</v>
      </c>
      <c r="D66" s="489">
        <f t="shared" si="5"/>
        <v>68101.13</v>
      </c>
      <c r="E66" s="480">
        <v>0</v>
      </c>
      <c r="F66" s="486">
        <v>0</v>
      </c>
      <c r="G66" s="486">
        <v>0</v>
      </c>
      <c r="H66" s="486">
        <v>0</v>
      </c>
      <c r="I66" s="586">
        <f t="shared" si="6"/>
        <v>68101.13</v>
      </c>
      <c r="J66" s="587">
        <f t="shared" si="4"/>
        <v>22.389999999999418</v>
      </c>
      <c r="L66" s="515"/>
      <c r="M66" s="515"/>
      <c r="N66" s="515"/>
      <c r="O66" s="515"/>
      <c r="P66" s="515"/>
      <c r="Q66" s="515"/>
      <c r="R66" s="516"/>
      <c r="S66" s="516"/>
      <c r="T66" s="516"/>
      <c r="U66" s="516"/>
      <c r="V66" s="516"/>
      <c r="W66" s="516"/>
      <c r="X66" s="516"/>
      <c r="Y66" s="516"/>
      <c r="Z66" s="516"/>
      <c r="AA66" s="516"/>
      <c r="AB66" s="516"/>
      <c r="AC66" s="516"/>
      <c r="AD66" s="516"/>
    </row>
    <row r="67" spans="1:30" s="514" customFormat="1" ht="15" customHeight="1" x14ac:dyDescent="0.15">
      <c r="A67" s="497">
        <v>44562</v>
      </c>
      <c r="B67" s="479">
        <v>3078.74</v>
      </c>
      <c r="C67" s="480">
        <v>65000</v>
      </c>
      <c r="D67" s="489">
        <f t="shared" si="5"/>
        <v>68078.740000000005</v>
      </c>
      <c r="E67" s="480">
        <v>0</v>
      </c>
      <c r="F67" s="486">
        <v>0</v>
      </c>
      <c r="G67" s="486">
        <v>0</v>
      </c>
      <c r="H67" s="486">
        <v>0</v>
      </c>
      <c r="I67" s="586">
        <f t="shared" si="6"/>
        <v>68078.740000000005</v>
      </c>
      <c r="J67" s="587">
        <f t="shared" si="4"/>
        <v>17.400000000008731</v>
      </c>
      <c r="L67" s="515"/>
      <c r="M67" s="515"/>
      <c r="N67" s="515"/>
      <c r="O67" s="515"/>
      <c r="P67" s="515"/>
      <c r="Q67" s="515"/>
      <c r="R67" s="516"/>
      <c r="S67" s="516"/>
      <c r="T67" s="516"/>
      <c r="U67" s="516"/>
      <c r="V67" s="516"/>
      <c r="W67" s="516"/>
      <c r="X67" s="516"/>
      <c r="Y67" s="516"/>
      <c r="Z67" s="516"/>
      <c r="AA67" s="516"/>
      <c r="AB67" s="516"/>
      <c r="AC67" s="516"/>
      <c r="AD67" s="516"/>
    </row>
    <row r="68" spans="1:30" s="514" customFormat="1" ht="15" customHeight="1" x14ac:dyDescent="0.15">
      <c r="A68" s="497">
        <v>44531</v>
      </c>
      <c r="B68" s="479">
        <v>3061.34</v>
      </c>
      <c r="C68" s="480">
        <v>65000</v>
      </c>
      <c r="D68" s="489">
        <f t="shared" si="5"/>
        <v>68061.34</v>
      </c>
      <c r="E68" s="480">
        <v>0</v>
      </c>
      <c r="F68" s="486">
        <v>0</v>
      </c>
      <c r="G68" s="486">
        <v>0</v>
      </c>
      <c r="H68" s="486">
        <v>0</v>
      </c>
      <c r="I68" s="586">
        <f t="shared" si="6"/>
        <v>68061.34</v>
      </c>
      <c r="J68" s="587">
        <f t="shared" si="4"/>
        <v>-61.790000000008149</v>
      </c>
      <c r="L68" s="515"/>
      <c r="M68" s="515"/>
      <c r="N68" s="515"/>
      <c r="O68" s="515"/>
      <c r="P68" s="515"/>
      <c r="Q68" s="515"/>
      <c r="R68" s="516"/>
      <c r="S68" s="516"/>
      <c r="T68" s="516"/>
      <c r="U68" s="516"/>
      <c r="V68" s="516"/>
      <c r="W68" s="516"/>
      <c r="X68" s="516"/>
      <c r="Y68" s="516"/>
      <c r="Z68" s="516"/>
      <c r="AA68" s="516"/>
      <c r="AB68" s="516"/>
      <c r="AC68" s="516"/>
      <c r="AD68" s="516"/>
    </row>
    <row r="69" spans="1:30" s="514" customFormat="1" ht="15" customHeight="1" x14ac:dyDescent="0.15">
      <c r="A69" s="497">
        <v>44501</v>
      </c>
      <c r="B69" s="479">
        <v>3123.13</v>
      </c>
      <c r="C69" s="480">
        <v>65000</v>
      </c>
      <c r="D69" s="489">
        <f t="shared" si="5"/>
        <v>68123.13</v>
      </c>
      <c r="E69" s="480">
        <v>0</v>
      </c>
      <c r="F69" s="486">
        <v>0</v>
      </c>
      <c r="G69" s="486">
        <v>0</v>
      </c>
      <c r="H69" s="486">
        <v>0</v>
      </c>
      <c r="I69" s="586">
        <f t="shared" si="6"/>
        <v>68123.13</v>
      </c>
      <c r="J69" s="587">
        <f t="shared" si="4"/>
        <v>1022.0800000000017</v>
      </c>
      <c r="L69" s="515"/>
      <c r="M69" s="515"/>
      <c r="N69" s="515"/>
      <c r="O69" s="515"/>
      <c r="P69" s="515"/>
      <c r="Q69" s="515"/>
      <c r="R69" s="516"/>
      <c r="S69" s="516"/>
      <c r="T69" s="516"/>
      <c r="U69" s="516"/>
      <c r="V69" s="516"/>
      <c r="W69" s="516"/>
      <c r="X69" s="516"/>
      <c r="Y69" s="516"/>
      <c r="Z69" s="516"/>
      <c r="AA69" s="516"/>
      <c r="AB69" s="516"/>
      <c r="AC69" s="516"/>
      <c r="AD69" s="516"/>
    </row>
    <row r="70" spans="1:30" s="514" customFormat="1" ht="15" customHeight="1" x14ac:dyDescent="0.15">
      <c r="A70" s="497">
        <v>44470</v>
      </c>
      <c r="B70" s="479">
        <v>2101.0500000000002</v>
      </c>
      <c r="C70" s="480">
        <v>65000</v>
      </c>
      <c r="D70" s="489">
        <f t="shared" si="5"/>
        <v>67101.05</v>
      </c>
      <c r="E70" s="480">
        <v>0</v>
      </c>
      <c r="F70" s="486">
        <v>0</v>
      </c>
      <c r="G70" s="486">
        <v>0</v>
      </c>
      <c r="H70" s="486">
        <v>0</v>
      </c>
      <c r="I70" s="586">
        <f t="shared" si="6"/>
        <v>67101.05</v>
      </c>
      <c r="J70" s="587">
        <f t="shared" si="4"/>
        <v>756.26000000000931</v>
      </c>
      <c r="L70" s="515"/>
      <c r="M70" s="515"/>
      <c r="N70" s="515"/>
      <c r="O70" s="515"/>
      <c r="P70" s="515"/>
      <c r="Q70" s="515"/>
      <c r="R70" s="516"/>
      <c r="S70" s="516"/>
      <c r="T70" s="516"/>
      <c r="U70" s="516"/>
      <c r="V70" s="516"/>
      <c r="W70" s="516"/>
      <c r="X70" s="516"/>
      <c r="Y70" s="516"/>
      <c r="Z70" s="516"/>
      <c r="AA70" s="516"/>
      <c r="AB70" s="516"/>
      <c r="AC70" s="516"/>
      <c r="AD70" s="516"/>
    </row>
    <row r="71" spans="1:30" s="514" customFormat="1" ht="15" customHeight="1" x14ac:dyDescent="0.15">
      <c r="A71" s="497">
        <v>44440</v>
      </c>
      <c r="B71" s="479">
        <v>1344.79</v>
      </c>
      <c r="C71" s="480">
        <v>65000</v>
      </c>
      <c r="D71" s="489">
        <f t="shared" si="5"/>
        <v>66344.789999999994</v>
      </c>
      <c r="E71" s="480">
        <v>0</v>
      </c>
      <c r="F71" s="486">
        <v>0</v>
      </c>
      <c r="G71" s="486">
        <v>0</v>
      </c>
      <c r="H71" s="486">
        <v>0</v>
      </c>
      <c r="I71" s="586">
        <f t="shared" si="6"/>
        <v>66344.789999999994</v>
      </c>
      <c r="J71" s="587">
        <f t="shared" si="4"/>
        <v>1794.6499999999942</v>
      </c>
      <c r="L71" s="515"/>
      <c r="M71" s="515"/>
      <c r="N71" s="515"/>
      <c r="O71" s="515"/>
      <c r="P71" s="515"/>
      <c r="Q71" s="515"/>
      <c r="R71" s="516"/>
      <c r="S71" s="516"/>
      <c r="T71" s="516"/>
      <c r="U71" s="516"/>
      <c r="V71" s="516"/>
      <c r="W71" s="516"/>
      <c r="X71" s="516"/>
      <c r="Y71" s="516"/>
      <c r="Z71" s="516"/>
      <c r="AA71" s="516"/>
      <c r="AB71" s="516"/>
      <c r="AC71" s="516"/>
      <c r="AD71" s="516"/>
    </row>
    <row r="72" spans="1:30" s="514" customFormat="1" ht="15" customHeight="1" x14ac:dyDescent="0.15">
      <c r="A72" s="497">
        <v>44409</v>
      </c>
      <c r="B72" s="479">
        <v>4550.1400000000003</v>
      </c>
      <c r="C72" s="480">
        <v>60000</v>
      </c>
      <c r="D72" s="489">
        <f t="shared" si="5"/>
        <v>64550.14</v>
      </c>
      <c r="E72" s="480">
        <v>0</v>
      </c>
      <c r="F72" s="486">
        <v>0</v>
      </c>
      <c r="G72" s="486">
        <v>0</v>
      </c>
      <c r="H72" s="486">
        <v>0</v>
      </c>
      <c r="I72" s="586">
        <f t="shared" si="6"/>
        <v>64550.14</v>
      </c>
      <c r="J72" s="587">
        <f t="shared" si="4"/>
        <v>1171.0299999999988</v>
      </c>
      <c r="L72" s="515"/>
      <c r="M72" s="515"/>
      <c r="N72" s="515"/>
      <c r="O72" s="515"/>
      <c r="P72" s="515"/>
      <c r="Q72" s="515"/>
      <c r="R72" s="516"/>
      <c r="S72" s="516"/>
      <c r="T72" s="516"/>
      <c r="U72" s="516"/>
      <c r="V72" s="516"/>
      <c r="W72" s="516"/>
      <c r="X72" s="516"/>
      <c r="Y72" s="516"/>
      <c r="Z72" s="516"/>
      <c r="AA72" s="516"/>
      <c r="AB72" s="516"/>
      <c r="AC72" s="516"/>
      <c r="AD72" s="516"/>
    </row>
    <row r="73" spans="1:30" s="514" customFormat="1" ht="15" customHeight="1" x14ac:dyDescent="0.15">
      <c r="A73" s="497">
        <v>44378</v>
      </c>
      <c r="B73" s="479">
        <v>3379.11</v>
      </c>
      <c r="C73" s="480">
        <v>60000</v>
      </c>
      <c r="D73" s="489">
        <f t="shared" si="5"/>
        <v>63379.11</v>
      </c>
      <c r="E73" s="480">
        <v>0</v>
      </c>
      <c r="F73" s="486">
        <v>0</v>
      </c>
      <c r="G73" s="486">
        <v>0</v>
      </c>
      <c r="H73" s="486">
        <v>0</v>
      </c>
      <c r="I73" s="586">
        <f t="shared" si="6"/>
        <v>63379.11</v>
      </c>
      <c r="J73" s="587">
        <f t="shared" si="4"/>
        <v>2440.0500000000029</v>
      </c>
      <c r="L73" s="515"/>
      <c r="M73" s="515"/>
      <c r="N73" s="515"/>
      <c r="O73" s="515"/>
      <c r="P73" s="515"/>
      <c r="Q73" s="515"/>
      <c r="R73" s="516"/>
      <c r="S73" s="516"/>
      <c r="T73" s="516"/>
      <c r="U73" s="516"/>
      <c r="V73" s="516"/>
      <c r="W73" s="516"/>
      <c r="X73" s="516"/>
      <c r="Y73" s="516"/>
      <c r="Z73" s="516"/>
      <c r="AA73" s="516"/>
      <c r="AB73" s="516"/>
      <c r="AC73" s="516"/>
      <c r="AD73" s="516"/>
    </row>
    <row r="74" spans="1:30" s="514" customFormat="1" ht="15" customHeight="1" x14ac:dyDescent="0.15">
      <c r="A74" s="497">
        <v>44348</v>
      </c>
      <c r="B74" s="479">
        <v>939.06</v>
      </c>
      <c r="C74" s="480">
        <v>60000</v>
      </c>
      <c r="D74" s="489">
        <f t="shared" si="5"/>
        <v>60939.06</v>
      </c>
      <c r="E74" s="480">
        <v>0</v>
      </c>
      <c r="F74" s="486">
        <v>0</v>
      </c>
      <c r="G74" s="486">
        <v>0</v>
      </c>
      <c r="H74" s="486">
        <v>0</v>
      </c>
      <c r="I74" s="586">
        <f t="shared" si="6"/>
        <v>60939.06</v>
      </c>
      <c r="J74" s="587">
        <f t="shared" si="4"/>
        <v>747.39999999999418</v>
      </c>
      <c r="L74" s="515"/>
      <c r="M74" s="515"/>
      <c r="N74" s="515"/>
      <c r="O74" s="515"/>
      <c r="P74" s="515"/>
      <c r="Q74" s="515"/>
      <c r="R74" s="516"/>
      <c r="S74" s="516"/>
      <c r="T74" s="516"/>
      <c r="U74" s="516"/>
      <c r="V74" s="516"/>
      <c r="W74" s="516"/>
      <c r="X74" s="516"/>
      <c r="Y74" s="516"/>
      <c r="Z74" s="516"/>
      <c r="AA74" s="516"/>
      <c r="AB74" s="516"/>
      <c r="AC74" s="516"/>
      <c r="AD74" s="516"/>
    </row>
    <row r="75" spans="1:30" s="514" customFormat="1" ht="15" customHeight="1" x14ac:dyDescent="0.15">
      <c r="A75" s="497">
        <v>44317</v>
      </c>
      <c r="B75" s="479">
        <v>1191.6600000000001</v>
      </c>
      <c r="C75" s="480">
        <v>59000</v>
      </c>
      <c r="D75" s="489">
        <f t="shared" si="5"/>
        <v>60191.66</v>
      </c>
      <c r="E75" s="480">
        <v>0</v>
      </c>
      <c r="F75" s="486">
        <v>0</v>
      </c>
      <c r="G75" s="486">
        <v>0</v>
      </c>
      <c r="H75" s="486">
        <v>0</v>
      </c>
      <c r="I75" s="586">
        <f t="shared" si="6"/>
        <v>60191.66</v>
      </c>
      <c r="J75" s="587">
        <f t="shared" si="4"/>
        <v>909.47000000000116</v>
      </c>
      <c r="L75" s="515"/>
      <c r="M75" s="515"/>
      <c r="N75" s="515"/>
      <c r="O75" s="515"/>
      <c r="P75" s="515"/>
      <c r="Q75" s="515"/>
      <c r="R75" s="516"/>
      <c r="S75" s="516"/>
      <c r="T75" s="516"/>
      <c r="U75" s="516"/>
      <c r="V75" s="516"/>
      <c r="W75" s="516"/>
      <c r="X75" s="516"/>
      <c r="Y75" s="516"/>
      <c r="Z75" s="516"/>
      <c r="AA75" s="516"/>
      <c r="AB75" s="516"/>
      <c r="AC75" s="516"/>
      <c r="AD75" s="516"/>
    </row>
    <row r="76" spans="1:30" s="514" customFormat="1" ht="15" customHeight="1" x14ac:dyDescent="0.15">
      <c r="A76" s="497">
        <v>44287</v>
      </c>
      <c r="B76" s="479">
        <v>1282.19</v>
      </c>
      <c r="C76" s="480">
        <v>58000</v>
      </c>
      <c r="D76" s="489">
        <f t="shared" si="5"/>
        <v>59282.19</v>
      </c>
      <c r="E76" s="480">
        <v>0</v>
      </c>
      <c r="F76" s="486">
        <v>0</v>
      </c>
      <c r="G76" s="486">
        <v>0</v>
      </c>
      <c r="H76" s="486">
        <v>0</v>
      </c>
      <c r="I76" s="586">
        <f t="shared" si="6"/>
        <v>59282.19</v>
      </c>
      <c r="J76" s="587">
        <f t="shared" si="4"/>
        <v>1803.25</v>
      </c>
      <c r="K76" s="517"/>
      <c r="L76" s="515"/>
      <c r="M76" s="515"/>
      <c r="N76" s="515"/>
      <c r="O76" s="515"/>
      <c r="P76" s="515"/>
      <c r="Q76" s="515"/>
      <c r="R76" s="516"/>
      <c r="S76" s="516"/>
      <c r="T76" s="516"/>
      <c r="U76" s="516"/>
      <c r="V76" s="516"/>
      <c r="W76" s="516"/>
      <c r="X76" s="516"/>
      <c r="Y76" s="516"/>
      <c r="Z76" s="516"/>
      <c r="AA76" s="516"/>
      <c r="AB76" s="516"/>
      <c r="AC76" s="516"/>
      <c r="AD76" s="516"/>
    </row>
    <row r="77" spans="1:30" s="514" customFormat="1" ht="15" customHeight="1" x14ac:dyDescent="0.15">
      <c r="A77" s="497">
        <v>44256</v>
      </c>
      <c r="B77" s="479">
        <v>2478.94</v>
      </c>
      <c r="C77" s="480">
        <v>55000</v>
      </c>
      <c r="D77" s="489">
        <f t="shared" si="5"/>
        <v>57478.94</v>
      </c>
      <c r="E77" s="480">
        <v>0</v>
      </c>
      <c r="F77" s="486">
        <v>0</v>
      </c>
      <c r="G77" s="486">
        <v>0</v>
      </c>
      <c r="H77" s="486">
        <v>0</v>
      </c>
      <c r="I77" s="586">
        <f t="shared" si="6"/>
        <v>57478.94</v>
      </c>
      <c r="J77" s="587">
        <f t="shared" si="4"/>
        <v>-26.209999999999127</v>
      </c>
      <c r="K77" s="517"/>
      <c r="L77" s="515"/>
      <c r="M77" s="515"/>
      <c r="N77" s="515"/>
      <c r="O77" s="515"/>
      <c r="P77" s="515"/>
      <c r="Q77" s="515"/>
      <c r="R77" s="516"/>
      <c r="S77" s="516"/>
      <c r="T77" s="516"/>
      <c r="U77" s="516"/>
      <c r="V77" s="516"/>
      <c r="W77" s="516"/>
      <c r="X77" s="516"/>
      <c r="Y77" s="516"/>
      <c r="Z77" s="516"/>
      <c r="AA77" s="516"/>
      <c r="AB77" s="516"/>
      <c r="AC77" s="516"/>
      <c r="AD77" s="516"/>
    </row>
    <row r="78" spans="1:30" s="514" customFormat="1" ht="15" customHeight="1" x14ac:dyDescent="0.15">
      <c r="A78" s="497">
        <v>44228</v>
      </c>
      <c r="B78" s="479">
        <v>2505.15</v>
      </c>
      <c r="C78" s="480">
        <v>55000</v>
      </c>
      <c r="D78" s="489">
        <f t="shared" si="5"/>
        <v>57505.15</v>
      </c>
      <c r="E78" s="480">
        <v>0</v>
      </c>
      <c r="F78" s="486">
        <v>0</v>
      </c>
      <c r="G78" s="486">
        <v>0</v>
      </c>
      <c r="H78" s="486">
        <v>0</v>
      </c>
      <c r="I78" s="586">
        <f t="shared" si="6"/>
        <v>57505.15</v>
      </c>
      <c r="J78" s="587">
        <f t="shared" si="4"/>
        <v>-69</v>
      </c>
      <c r="K78" s="517"/>
      <c r="L78" s="515"/>
      <c r="M78" s="515"/>
      <c r="N78" s="515"/>
      <c r="O78" s="515"/>
      <c r="P78" s="515"/>
      <c r="Q78" s="515"/>
      <c r="R78" s="516"/>
      <c r="S78" s="516"/>
      <c r="T78" s="516"/>
      <c r="U78" s="516"/>
      <c r="V78" s="516"/>
      <c r="W78" s="516"/>
      <c r="X78" s="516"/>
      <c r="Y78" s="516"/>
      <c r="Z78" s="516"/>
      <c r="AA78" s="516"/>
      <c r="AB78" s="516"/>
      <c r="AC78" s="516"/>
      <c r="AD78" s="516"/>
    </row>
    <row r="79" spans="1:30" s="514" customFormat="1" ht="15" customHeight="1" x14ac:dyDescent="0.15">
      <c r="A79" s="497">
        <v>44197</v>
      </c>
      <c r="B79" s="479">
        <v>2574.15</v>
      </c>
      <c r="C79" s="480">
        <v>55000</v>
      </c>
      <c r="D79" s="489">
        <f t="shared" si="5"/>
        <v>57574.15</v>
      </c>
      <c r="E79" s="480">
        <v>0</v>
      </c>
      <c r="F79" s="486">
        <v>0</v>
      </c>
      <c r="G79" s="486">
        <v>0</v>
      </c>
      <c r="H79" s="486">
        <v>0</v>
      </c>
      <c r="I79" s="586">
        <f t="shared" si="6"/>
        <v>57574.15</v>
      </c>
      <c r="J79" s="587">
        <f t="shared" si="4"/>
        <v>-71.059999999997672</v>
      </c>
      <c r="K79" s="517"/>
      <c r="L79" s="515"/>
      <c r="M79" s="515"/>
      <c r="N79" s="515"/>
      <c r="O79" s="515"/>
      <c r="P79" s="515"/>
      <c r="Q79" s="515"/>
      <c r="R79" s="516"/>
      <c r="S79" s="516"/>
      <c r="T79" s="516"/>
      <c r="U79" s="516"/>
      <c r="V79" s="516"/>
      <c r="W79" s="516"/>
      <c r="X79" s="516"/>
      <c r="Y79" s="516"/>
      <c r="Z79" s="516"/>
      <c r="AA79" s="516"/>
      <c r="AB79" s="516"/>
      <c r="AC79" s="516"/>
      <c r="AD79" s="516"/>
    </row>
    <row r="80" spans="1:30" s="514" customFormat="1" ht="15" customHeight="1" x14ac:dyDescent="0.15">
      <c r="A80" s="497">
        <v>44166</v>
      </c>
      <c r="B80" s="479">
        <v>2645.21</v>
      </c>
      <c r="C80" s="480">
        <v>55000</v>
      </c>
      <c r="D80" s="489">
        <f t="shared" si="5"/>
        <v>57645.21</v>
      </c>
      <c r="E80" s="480">
        <v>0</v>
      </c>
      <c r="F80" s="486">
        <v>0</v>
      </c>
      <c r="G80" s="486">
        <v>0</v>
      </c>
      <c r="H80" s="486">
        <v>0</v>
      </c>
      <c r="I80" s="586">
        <f t="shared" si="6"/>
        <v>57645.21</v>
      </c>
      <c r="J80" s="587">
        <f t="shared" si="4"/>
        <v>-93.419999999998254</v>
      </c>
      <c r="K80" s="517"/>
      <c r="L80" s="515"/>
      <c r="M80" s="515"/>
      <c r="N80" s="515"/>
      <c r="O80" s="515"/>
      <c r="P80" s="515"/>
      <c r="Q80" s="515"/>
      <c r="R80" s="516"/>
      <c r="S80" s="516"/>
      <c r="T80" s="516"/>
      <c r="U80" s="516"/>
      <c r="V80" s="516"/>
      <c r="W80" s="516"/>
      <c r="X80" s="516"/>
      <c r="Y80" s="516"/>
      <c r="Z80" s="516"/>
      <c r="AA80" s="516"/>
      <c r="AB80" s="516"/>
      <c r="AC80" s="516"/>
      <c r="AD80" s="516"/>
    </row>
    <row r="81" spans="1:30" s="514" customFormat="1" ht="15" customHeight="1" x14ac:dyDescent="0.15">
      <c r="A81" s="497">
        <v>44136</v>
      </c>
      <c r="B81" s="479">
        <v>2738.63</v>
      </c>
      <c r="C81" s="480">
        <v>55000</v>
      </c>
      <c r="D81" s="489">
        <f t="shared" si="5"/>
        <v>57738.63</v>
      </c>
      <c r="E81" s="480">
        <v>0</v>
      </c>
      <c r="F81" s="486">
        <v>0</v>
      </c>
      <c r="G81" s="486">
        <v>0</v>
      </c>
      <c r="H81" s="486">
        <v>0</v>
      </c>
      <c r="I81" s="586">
        <f t="shared" si="6"/>
        <v>57738.63</v>
      </c>
      <c r="J81" s="587">
        <f t="shared" si="4"/>
        <v>662.95999999999913</v>
      </c>
      <c r="K81" s="517"/>
      <c r="L81" s="515"/>
      <c r="M81" s="515"/>
      <c r="N81" s="515"/>
      <c r="O81" s="515"/>
      <c r="P81" s="515"/>
      <c r="Q81" s="515"/>
      <c r="R81" s="516"/>
      <c r="S81" s="516"/>
      <c r="T81" s="516"/>
      <c r="U81" s="516"/>
      <c r="V81" s="516"/>
      <c r="W81" s="516"/>
      <c r="X81" s="516"/>
      <c r="Y81" s="516"/>
      <c r="Z81" s="516"/>
      <c r="AA81" s="516"/>
      <c r="AB81" s="516"/>
      <c r="AC81" s="516"/>
      <c r="AD81" s="516"/>
    </row>
    <row r="82" spans="1:30" s="514" customFormat="1" ht="15" customHeight="1" x14ac:dyDescent="0.15">
      <c r="A82" s="497">
        <v>44105</v>
      </c>
      <c r="B82" s="479">
        <v>2075.67</v>
      </c>
      <c r="C82" s="480">
        <v>55000</v>
      </c>
      <c r="D82" s="489">
        <f t="shared" si="5"/>
        <v>57075.67</v>
      </c>
      <c r="E82" s="480">
        <v>0</v>
      </c>
      <c r="F82" s="486">
        <v>0</v>
      </c>
      <c r="G82" s="486">
        <v>0</v>
      </c>
      <c r="H82" s="486">
        <v>0</v>
      </c>
      <c r="I82" s="586">
        <f t="shared" si="6"/>
        <v>57075.67</v>
      </c>
      <c r="J82" s="587">
        <f t="shared" si="4"/>
        <v>705.48999999999796</v>
      </c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  <c r="Z82" s="516"/>
      <c r="AA82" s="516"/>
      <c r="AB82" s="516"/>
      <c r="AC82" s="516"/>
      <c r="AD82" s="516"/>
    </row>
    <row r="83" spans="1:30" s="514" customFormat="1" ht="15" customHeight="1" x14ac:dyDescent="0.15">
      <c r="A83" s="497">
        <v>44075</v>
      </c>
      <c r="B83" s="479">
        <v>2370.1799999999998</v>
      </c>
      <c r="C83" s="480">
        <v>54000</v>
      </c>
      <c r="D83" s="489">
        <f t="shared" si="5"/>
        <v>56370.18</v>
      </c>
      <c r="E83" s="480">
        <v>0</v>
      </c>
      <c r="F83" s="486">
        <v>0</v>
      </c>
      <c r="G83" s="486">
        <v>0</v>
      </c>
      <c r="H83" s="486">
        <v>0</v>
      </c>
      <c r="I83" s="586">
        <f t="shared" si="6"/>
        <v>56370.18</v>
      </c>
      <c r="J83" s="587">
        <f t="shared" si="4"/>
        <v>1010.6399999999994</v>
      </c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  <c r="Z83" s="516"/>
      <c r="AA83" s="516"/>
      <c r="AB83" s="516"/>
      <c r="AC83" s="516"/>
      <c r="AD83" s="516"/>
    </row>
    <row r="84" spans="1:30" s="514" customFormat="1" ht="15" customHeight="1" x14ac:dyDescent="0.15">
      <c r="A84" s="497">
        <v>44044</v>
      </c>
      <c r="B84" s="479">
        <v>1359.54</v>
      </c>
      <c r="C84" s="480">
        <v>54000</v>
      </c>
      <c r="D84" s="489">
        <f t="shared" si="5"/>
        <v>55359.54</v>
      </c>
      <c r="E84" s="480">
        <v>0</v>
      </c>
      <c r="F84" s="486">
        <v>0</v>
      </c>
      <c r="G84" s="486">
        <v>0</v>
      </c>
      <c r="H84" s="486">
        <v>0</v>
      </c>
      <c r="I84" s="586">
        <f t="shared" si="6"/>
        <v>55359.54</v>
      </c>
      <c r="J84" s="587">
        <f t="shared" si="4"/>
        <v>853.70999999999913</v>
      </c>
      <c r="L84" s="515"/>
      <c r="M84" s="515"/>
      <c r="N84" s="515"/>
      <c r="O84" s="515"/>
      <c r="P84" s="515"/>
      <c r="Q84" s="515"/>
      <c r="R84" s="516"/>
      <c r="S84" s="516"/>
      <c r="T84" s="516"/>
      <c r="U84" s="516"/>
      <c r="V84" s="516"/>
      <c r="W84" s="516"/>
      <c r="X84" s="516"/>
      <c r="Y84" s="516"/>
      <c r="Z84" s="516"/>
      <c r="AA84" s="516"/>
      <c r="AB84" s="516"/>
      <c r="AC84" s="516"/>
      <c r="AD84" s="516"/>
    </row>
    <row r="85" spans="1:30" s="514" customFormat="1" ht="15" customHeight="1" x14ac:dyDescent="0.15">
      <c r="A85" s="497">
        <v>44013</v>
      </c>
      <c r="B85" s="479">
        <v>505.83</v>
      </c>
      <c r="C85" s="480">
        <v>54000</v>
      </c>
      <c r="D85" s="489">
        <f t="shared" si="5"/>
        <v>54505.83</v>
      </c>
      <c r="E85" s="480">
        <v>0</v>
      </c>
      <c r="F85" s="486">
        <v>0</v>
      </c>
      <c r="G85" s="486">
        <v>0</v>
      </c>
      <c r="H85" s="486">
        <v>0</v>
      </c>
      <c r="I85" s="586">
        <f t="shared" si="6"/>
        <v>54505.83</v>
      </c>
      <c r="J85" s="587">
        <f t="shared" si="4"/>
        <v>804.19000000000233</v>
      </c>
      <c r="L85" s="515"/>
      <c r="M85" s="515"/>
      <c r="N85" s="515"/>
      <c r="O85" s="515"/>
      <c r="P85" s="515"/>
      <c r="Q85" s="515"/>
      <c r="R85" s="516"/>
      <c r="S85" s="516"/>
      <c r="T85" s="516"/>
      <c r="U85" s="516"/>
      <c r="V85" s="516"/>
      <c r="W85" s="516"/>
      <c r="X85" s="516"/>
      <c r="Y85" s="516"/>
      <c r="Z85" s="516"/>
      <c r="AA85" s="516"/>
      <c r="AB85" s="516"/>
      <c r="AC85" s="516"/>
      <c r="AD85" s="516"/>
    </row>
    <row r="86" spans="1:30" s="514" customFormat="1" ht="15" customHeight="1" x14ac:dyDescent="0.15">
      <c r="A86" s="497">
        <v>43983</v>
      </c>
      <c r="B86" s="479">
        <v>701.64</v>
      </c>
      <c r="C86" s="480">
        <v>53000</v>
      </c>
      <c r="D86" s="489">
        <f t="shared" si="5"/>
        <v>53701.64</v>
      </c>
      <c r="E86" s="480">
        <v>0</v>
      </c>
      <c r="F86" s="486">
        <v>0</v>
      </c>
      <c r="G86" s="486">
        <v>0</v>
      </c>
      <c r="H86" s="486">
        <v>0</v>
      </c>
      <c r="I86" s="586">
        <f t="shared" si="6"/>
        <v>53701.64</v>
      </c>
      <c r="J86" s="587">
        <f t="shared" si="4"/>
        <v>930.26000000000204</v>
      </c>
      <c r="L86" s="515"/>
      <c r="M86" s="515"/>
      <c r="N86" s="515"/>
      <c r="O86" s="515"/>
      <c r="P86" s="515"/>
      <c r="Q86" s="515"/>
      <c r="R86" s="516"/>
      <c r="S86" s="516"/>
      <c r="T86" s="516"/>
      <c r="U86" s="516"/>
      <c r="V86" s="516"/>
      <c r="W86" s="516"/>
      <c r="X86" s="516"/>
      <c r="Y86" s="516"/>
      <c r="Z86" s="516"/>
      <c r="AA86" s="516"/>
      <c r="AB86" s="516"/>
      <c r="AC86" s="516"/>
      <c r="AD86" s="516"/>
    </row>
    <row r="87" spans="1:30" s="514" customFormat="1" ht="15" customHeight="1" x14ac:dyDescent="0.15">
      <c r="A87" s="497">
        <v>43952</v>
      </c>
      <c r="B87" s="479">
        <v>2771.38</v>
      </c>
      <c r="C87" s="480">
        <v>50000</v>
      </c>
      <c r="D87" s="489">
        <f t="shared" ref="D87:D150" si="7">IFERROR(IF(ISBLANK(B87)=FALSE,B87,"")+IF(ISBLANK(C87)=FALSE,C87,""),"")</f>
        <v>52771.38</v>
      </c>
      <c r="E87" s="480">
        <v>0</v>
      </c>
      <c r="F87" s="486">
        <v>0</v>
      </c>
      <c r="G87" s="486">
        <v>0</v>
      </c>
      <c r="H87" s="486">
        <v>0</v>
      </c>
      <c r="I87" s="586">
        <f t="shared" ref="I87:I150" si="8">IFERROR(IF(ISBLANK(D87)=FALSE,D87,"")+IF(ISBLANK(E87)=FALSE,E87,"")+IF(ISBLANK(F87)=FALSE,F87,"")+IF(ISBLANK(G87)=FALSE,G87,"")+IF(ISBLANK(H87)=FALSE,H87,""),"")</f>
        <v>52771.38</v>
      </c>
      <c r="J87" s="587">
        <f t="shared" ref="J87:J150" si="9">IFERROR(IF(ISBLANK(I87)=FALSE,I87-I88,""),"")</f>
        <v>795.75</v>
      </c>
      <c r="L87" s="515"/>
      <c r="M87" s="515"/>
      <c r="N87" s="515"/>
      <c r="O87" s="515"/>
      <c r="P87" s="515"/>
      <c r="Q87" s="515"/>
      <c r="R87" s="502"/>
      <c r="S87" s="502"/>
      <c r="T87" s="502"/>
      <c r="U87" s="502"/>
      <c r="V87" s="502"/>
      <c r="W87" s="502"/>
      <c r="X87" s="502"/>
      <c r="Y87" s="502"/>
      <c r="Z87" s="502"/>
      <c r="AA87" s="502"/>
    </row>
    <row r="88" spans="1:30" s="514" customFormat="1" ht="15" customHeight="1" x14ac:dyDescent="0.15">
      <c r="A88" s="497">
        <v>43922</v>
      </c>
      <c r="B88" s="479">
        <v>1975.63</v>
      </c>
      <c r="C88" s="480">
        <v>50000</v>
      </c>
      <c r="D88" s="489">
        <f t="shared" si="7"/>
        <v>51975.63</v>
      </c>
      <c r="E88" s="480">
        <v>0</v>
      </c>
      <c r="F88" s="486">
        <v>0</v>
      </c>
      <c r="G88" s="486">
        <v>0</v>
      </c>
      <c r="H88" s="486">
        <v>0</v>
      </c>
      <c r="I88" s="586">
        <f t="shared" si="8"/>
        <v>51975.63</v>
      </c>
      <c r="J88" s="587">
        <f t="shared" si="9"/>
        <v>562.2699999999968</v>
      </c>
      <c r="L88" s="515"/>
      <c r="M88" s="515"/>
      <c r="N88" s="515"/>
      <c r="O88" s="515"/>
      <c r="P88" s="515"/>
      <c r="Q88" s="515"/>
      <c r="R88" s="502"/>
      <c r="S88" s="502"/>
      <c r="T88" s="502"/>
      <c r="U88" s="502"/>
      <c r="V88" s="502"/>
      <c r="W88" s="502"/>
      <c r="X88" s="502"/>
      <c r="Y88" s="502"/>
      <c r="Z88" s="502"/>
      <c r="AA88" s="502"/>
    </row>
    <row r="89" spans="1:30" s="514" customFormat="1" ht="15" customHeight="1" x14ac:dyDescent="0.15">
      <c r="A89" s="497">
        <v>43891</v>
      </c>
      <c r="B89" s="479">
        <v>1413.36</v>
      </c>
      <c r="C89" s="480">
        <v>50000</v>
      </c>
      <c r="D89" s="489">
        <f t="shared" si="7"/>
        <v>51413.36</v>
      </c>
      <c r="E89" s="480">
        <v>0</v>
      </c>
      <c r="F89" s="486">
        <v>0</v>
      </c>
      <c r="G89" s="486">
        <v>0</v>
      </c>
      <c r="H89" s="486">
        <v>0</v>
      </c>
      <c r="I89" s="586">
        <f t="shared" si="8"/>
        <v>51413.36</v>
      </c>
      <c r="J89" s="587">
        <f t="shared" si="9"/>
        <v>533.16000000000349</v>
      </c>
      <c r="L89" s="515"/>
      <c r="M89" s="515"/>
      <c r="N89" s="515"/>
      <c r="O89" s="515"/>
      <c r="P89" s="515"/>
      <c r="Q89" s="515"/>
      <c r="R89" s="502"/>
      <c r="S89" s="502"/>
      <c r="T89" s="502"/>
      <c r="U89" s="502"/>
      <c r="V89" s="502"/>
      <c r="W89" s="502"/>
      <c r="X89" s="502"/>
      <c r="Y89" s="502"/>
      <c r="Z89" s="502"/>
      <c r="AA89" s="502"/>
    </row>
    <row r="90" spans="1:30" s="514" customFormat="1" ht="15" customHeight="1" x14ac:dyDescent="0.15">
      <c r="A90" s="497">
        <v>43862</v>
      </c>
      <c r="B90" s="479">
        <v>880.2</v>
      </c>
      <c r="C90" s="480">
        <v>50000</v>
      </c>
      <c r="D90" s="489">
        <f t="shared" si="7"/>
        <v>50880.2</v>
      </c>
      <c r="E90" s="480">
        <v>0</v>
      </c>
      <c r="F90" s="486">
        <v>0</v>
      </c>
      <c r="G90" s="486">
        <v>0</v>
      </c>
      <c r="H90" s="486">
        <v>0</v>
      </c>
      <c r="I90" s="586">
        <f t="shared" si="8"/>
        <v>50880.2</v>
      </c>
      <c r="J90" s="587">
        <f t="shared" si="9"/>
        <v>776.83999999999651</v>
      </c>
      <c r="L90" s="515"/>
      <c r="M90" s="515"/>
      <c r="N90" s="515"/>
      <c r="O90" s="515"/>
      <c r="P90" s="515"/>
      <c r="Q90" s="515"/>
      <c r="R90" s="502"/>
      <c r="S90" s="502"/>
      <c r="T90" s="502"/>
      <c r="U90" s="502"/>
      <c r="V90" s="502"/>
      <c r="W90" s="502"/>
      <c r="X90" s="502"/>
      <c r="Y90" s="502"/>
      <c r="Z90" s="502"/>
      <c r="AA90" s="502"/>
    </row>
    <row r="91" spans="1:30" s="501" customFormat="1" ht="15" customHeight="1" x14ac:dyDescent="0.2">
      <c r="A91" s="497">
        <v>43831</v>
      </c>
      <c r="B91" s="479">
        <v>1103.3599999999999</v>
      </c>
      <c r="C91" s="480">
        <v>49000</v>
      </c>
      <c r="D91" s="489">
        <f t="shared" si="7"/>
        <v>50103.360000000001</v>
      </c>
      <c r="E91" s="480">
        <v>0</v>
      </c>
      <c r="F91" s="486">
        <v>0</v>
      </c>
      <c r="G91" s="486">
        <v>0</v>
      </c>
      <c r="H91" s="486">
        <v>0</v>
      </c>
      <c r="I91" s="586">
        <f t="shared" si="8"/>
        <v>50103.360000000001</v>
      </c>
      <c r="J91" s="587">
        <f t="shared" si="9"/>
        <v>1223.3199999999997</v>
      </c>
      <c r="K91" s="513"/>
      <c r="L91" s="515"/>
      <c r="M91" s="515"/>
      <c r="N91" s="515"/>
      <c r="O91" s="515"/>
      <c r="P91" s="515"/>
      <c r="Q91" s="515"/>
      <c r="R91" s="502"/>
      <c r="S91" s="502"/>
      <c r="T91" s="502"/>
      <c r="U91" s="502"/>
      <c r="V91" s="502"/>
      <c r="W91" s="502"/>
      <c r="X91" s="502"/>
      <c r="Y91" s="502"/>
      <c r="Z91" s="502"/>
      <c r="AA91" s="502"/>
    </row>
    <row r="92" spans="1:30" s="501" customFormat="1" ht="15" customHeight="1" x14ac:dyDescent="0.2">
      <c r="A92" s="497">
        <v>43800</v>
      </c>
      <c r="B92" s="479">
        <v>1880.04</v>
      </c>
      <c r="C92" s="480">
        <v>47000</v>
      </c>
      <c r="D92" s="489">
        <f t="shared" si="7"/>
        <v>48880.04</v>
      </c>
      <c r="E92" s="480">
        <v>0</v>
      </c>
      <c r="F92" s="486">
        <v>0</v>
      </c>
      <c r="G92" s="486">
        <v>0</v>
      </c>
      <c r="H92" s="486">
        <v>0</v>
      </c>
      <c r="I92" s="586">
        <f t="shared" si="8"/>
        <v>48880.04</v>
      </c>
      <c r="J92" s="587">
        <f t="shared" si="9"/>
        <v>934.22000000000116</v>
      </c>
      <c r="K92" s="513"/>
      <c r="L92" s="515"/>
      <c r="M92" s="515"/>
      <c r="N92" s="515"/>
      <c r="O92" s="515"/>
      <c r="P92" s="515"/>
      <c r="Q92" s="515"/>
      <c r="R92" s="502"/>
      <c r="S92" s="502"/>
      <c r="T92" s="502"/>
      <c r="U92" s="502"/>
      <c r="V92" s="502"/>
      <c r="W92" s="502"/>
      <c r="X92" s="502"/>
      <c r="Y92" s="502"/>
      <c r="Z92" s="502"/>
      <c r="AA92" s="502"/>
    </row>
    <row r="93" spans="1:30" s="501" customFormat="1" ht="15" customHeight="1" x14ac:dyDescent="0.2">
      <c r="A93" s="497">
        <v>43770</v>
      </c>
      <c r="B93" s="479">
        <v>1945.82</v>
      </c>
      <c r="C93" s="480">
        <v>46000</v>
      </c>
      <c r="D93" s="489">
        <f t="shared" si="7"/>
        <v>47945.82</v>
      </c>
      <c r="E93" s="480">
        <v>0</v>
      </c>
      <c r="F93" s="486">
        <v>0</v>
      </c>
      <c r="G93" s="486">
        <v>0</v>
      </c>
      <c r="H93" s="486">
        <v>0</v>
      </c>
      <c r="I93" s="586">
        <f t="shared" si="8"/>
        <v>47945.82</v>
      </c>
      <c r="J93" s="587">
        <f t="shared" si="9"/>
        <v>733.58000000000175</v>
      </c>
      <c r="K93" s="513"/>
      <c r="L93" s="515"/>
      <c r="M93" s="515"/>
      <c r="N93" s="515"/>
      <c r="O93" s="515"/>
      <c r="P93" s="515"/>
      <c r="Q93" s="515"/>
      <c r="R93" s="502"/>
      <c r="S93" s="502"/>
      <c r="T93" s="502"/>
      <c r="U93" s="502"/>
      <c r="V93" s="502"/>
      <c r="W93" s="502"/>
      <c r="X93" s="502"/>
      <c r="Y93" s="502"/>
      <c r="Z93" s="502"/>
      <c r="AA93" s="502"/>
    </row>
    <row r="94" spans="1:30" s="501" customFormat="1" ht="15" customHeight="1" x14ac:dyDescent="0.2">
      <c r="A94" s="497">
        <v>43739</v>
      </c>
      <c r="B94" s="479">
        <v>1212.24</v>
      </c>
      <c r="C94" s="480">
        <v>46000</v>
      </c>
      <c r="D94" s="489">
        <f t="shared" si="7"/>
        <v>47212.24</v>
      </c>
      <c r="E94" s="480">
        <v>0</v>
      </c>
      <c r="F94" s="486">
        <v>0</v>
      </c>
      <c r="G94" s="486">
        <v>0</v>
      </c>
      <c r="H94" s="486">
        <v>0</v>
      </c>
      <c r="I94" s="586">
        <f t="shared" si="8"/>
        <v>47212.24</v>
      </c>
      <c r="J94" s="587">
        <f t="shared" si="9"/>
        <v>1017.0899999999965</v>
      </c>
      <c r="K94" s="513"/>
      <c r="L94" s="515"/>
      <c r="M94" s="515"/>
      <c r="N94" s="515"/>
      <c r="O94" s="515"/>
      <c r="P94" s="515"/>
      <c r="Q94" s="515"/>
      <c r="R94" s="502"/>
      <c r="S94" s="502"/>
      <c r="T94" s="502"/>
      <c r="U94" s="502"/>
      <c r="V94" s="502"/>
      <c r="W94" s="502"/>
      <c r="X94" s="502"/>
      <c r="Y94" s="502"/>
      <c r="Z94" s="502"/>
      <c r="AA94" s="502"/>
    </row>
    <row r="95" spans="1:30" s="501" customFormat="1" ht="15" customHeight="1" x14ac:dyDescent="0.2">
      <c r="A95" s="497">
        <v>43709</v>
      </c>
      <c r="B95" s="479">
        <v>1195.1500000000001</v>
      </c>
      <c r="C95" s="480">
        <v>45000</v>
      </c>
      <c r="D95" s="489">
        <f t="shared" si="7"/>
        <v>46195.15</v>
      </c>
      <c r="E95" s="480">
        <v>0</v>
      </c>
      <c r="F95" s="486">
        <v>0</v>
      </c>
      <c r="G95" s="486">
        <v>0</v>
      </c>
      <c r="H95" s="486">
        <v>0</v>
      </c>
      <c r="I95" s="586">
        <f t="shared" si="8"/>
        <v>46195.15</v>
      </c>
      <c r="J95" s="587">
        <f t="shared" si="9"/>
        <v>831.09999999999854</v>
      </c>
      <c r="K95" s="513"/>
      <c r="L95" s="515"/>
      <c r="M95" s="515"/>
      <c r="N95" s="515"/>
      <c r="O95" s="515"/>
      <c r="P95" s="515"/>
      <c r="Q95" s="515"/>
      <c r="R95" s="502"/>
      <c r="S95" s="502"/>
      <c r="T95" s="502"/>
      <c r="U95" s="502"/>
      <c r="V95" s="502"/>
      <c r="W95" s="502"/>
      <c r="X95" s="502"/>
      <c r="Y95" s="502"/>
      <c r="Z95" s="502"/>
      <c r="AA95" s="502"/>
    </row>
    <row r="96" spans="1:30" s="501" customFormat="1" ht="15" customHeight="1" x14ac:dyDescent="0.2">
      <c r="A96" s="497">
        <v>43678</v>
      </c>
      <c r="B96" s="479">
        <v>2364.0500000000002</v>
      </c>
      <c r="C96" s="480">
        <v>43000</v>
      </c>
      <c r="D96" s="489">
        <f t="shared" si="7"/>
        <v>45364.05</v>
      </c>
      <c r="E96" s="480">
        <v>0</v>
      </c>
      <c r="F96" s="486">
        <v>0</v>
      </c>
      <c r="G96" s="486">
        <v>0</v>
      </c>
      <c r="H96" s="486">
        <v>0</v>
      </c>
      <c r="I96" s="586">
        <f t="shared" si="8"/>
        <v>45364.05</v>
      </c>
      <c r="J96" s="587">
        <f t="shared" si="9"/>
        <v>792</v>
      </c>
      <c r="K96" s="513"/>
      <c r="L96" s="515"/>
      <c r="M96" s="515"/>
      <c r="N96" s="515"/>
      <c r="O96" s="515"/>
      <c r="P96" s="515"/>
      <c r="Q96" s="515"/>
      <c r="R96" s="502"/>
      <c r="S96" s="502"/>
      <c r="T96" s="502"/>
      <c r="U96" s="502"/>
      <c r="V96" s="502"/>
      <c r="W96" s="502"/>
      <c r="X96" s="502"/>
      <c r="Y96" s="502"/>
      <c r="Z96" s="502"/>
      <c r="AA96" s="502"/>
    </row>
    <row r="97" spans="1:27" s="501" customFormat="1" ht="15" customHeight="1" x14ac:dyDescent="0.2">
      <c r="A97" s="497">
        <v>43647</v>
      </c>
      <c r="B97" s="479">
        <v>1572.05</v>
      </c>
      <c r="C97" s="480">
        <v>43000</v>
      </c>
      <c r="D97" s="489">
        <f t="shared" si="7"/>
        <v>44572.05</v>
      </c>
      <c r="E97" s="480">
        <v>0</v>
      </c>
      <c r="F97" s="486">
        <v>0</v>
      </c>
      <c r="G97" s="486">
        <v>0</v>
      </c>
      <c r="H97" s="486">
        <v>0</v>
      </c>
      <c r="I97" s="586">
        <f t="shared" si="8"/>
        <v>44572.05</v>
      </c>
      <c r="J97" s="587">
        <f t="shared" si="9"/>
        <v>1631.2700000000041</v>
      </c>
      <c r="K97" s="513"/>
      <c r="L97" s="515"/>
      <c r="M97" s="515"/>
      <c r="N97" s="515"/>
      <c r="O97" s="515"/>
      <c r="P97" s="515"/>
      <c r="Q97" s="515"/>
      <c r="R97" s="502"/>
      <c r="S97" s="502"/>
      <c r="T97" s="502"/>
      <c r="U97" s="502"/>
      <c r="V97" s="502"/>
      <c r="W97" s="502"/>
      <c r="X97" s="502"/>
      <c r="Y97" s="502"/>
      <c r="Z97" s="502"/>
      <c r="AA97" s="502"/>
    </row>
    <row r="98" spans="1:27" s="501" customFormat="1" ht="15" customHeight="1" x14ac:dyDescent="0.2">
      <c r="A98" s="497">
        <v>43617</v>
      </c>
      <c r="B98" s="479">
        <v>1720.78</v>
      </c>
      <c r="C98" s="480">
        <v>41220</v>
      </c>
      <c r="D98" s="489">
        <f t="shared" si="7"/>
        <v>42940.78</v>
      </c>
      <c r="E98" s="480">
        <v>0</v>
      </c>
      <c r="F98" s="486">
        <v>0</v>
      </c>
      <c r="G98" s="486">
        <v>0</v>
      </c>
      <c r="H98" s="486">
        <v>0</v>
      </c>
      <c r="I98" s="586">
        <f t="shared" si="8"/>
        <v>42940.78</v>
      </c>
      <c r="J98" s="587">
        <f t="shared" si="9"/>
        <v>505.29999999999563</v>
      </c>
      <c r="K98" s="513"/>
      <c r="L98" s="515"/>
      <c r="M98" s="515"/>
      <c r="N98" s="515"/>
      <c r="O98" s="515"/>
      <c r="P98" s="515"/>
      <c r="Q98" s="515"/>
      <c r="R98" s="502"/>
      <c r="S98" s="502"/>
      <c r="T98" s="502"/>
      <c r="U98" s="502"/>
      <c r="V98" s="502"/>
      <c r="W98" s="502"/>
      <c r="X98" s="502"/>
      <c r="Y98" s="502"/>
      <c r="Z98" s="502"/>
      <c r="AA98" s="502"/>
    </row>
    <row r="99" spans="1:27" s="501" customFormat="1" ht="15" customHeight="1" x14ac:dyDescent="0.2">
      <c r="A99" s="497">
        <v>43586</v>
      </c>
      <c r="B99" s="479">
        <v>1435.48</v>
      </c>
      <c r="C99" s="480">
        <v>41000</v>
      </c>
      <c r="D99" s="489">
        <f t="shared" si="7"/>
        <v>42435.48</v>
      </c>
      <c r="E99" s="480">
        <v>0</v>
      </c>
      <c r="F99" s="486">
        <v>0</v>
      </c>
      <c r="G99" s="486">
        <v>0</v>
      </c>
      <c r="H99" s="486">
        <v>0</v>
      </c>
      <c r="I99" s="586">
        <f t="shared" si="8"/>
        <v>42435.48</v>
      </c>
      <c r="J99" s="587">
        <f t="shared" si="9"/>
        <v>966.26000000000204</v>
      </c>
      <c r="K99" s="513"/>
      <c r="L99" s="515"/>
      <c r="M99" s="515"/>
      <c r="N99" s="515"/>
      <c r="O99" s="515"/>
      <c r="P99" s="515"/>
      <c r="Q99" s="515"/>
      <c r="R99" s="502"/>
      <c r="S99" s="502"/>
      <c r="T99" s="502"/>
      <c r="U99" s="502"/>
      <c r="V99" s="502"/>
      <c r="W99" s="502"/>
      <c r="X99" s="502"/>
      <c r="Y99" s="502"/>
      <c r="Z99" s="502"/>
      <c r="AA99" s="502"/>
    </row>
    <row r="100" spans="1:27" s="501" customFormat="1" ht="15" customHeight="1" x14ac:dyDescent="0.2">
      <c r="A100" s="497">
        <v>43556</v>
      </c>
      <c r="B100" s="479">
        <v>1469.22</v>
      </c>
      <c r="C100" s="480">
        <v>40000</v>
      </c>
      <c r="D100" s="489">
        <f t="shared" si="7"/>
        <v>41469.22</v>
      </c>
      <c r="E100" s="480">
        <v>0</v>
      </c>
      <c r="F100" s="486">
        <v>0</v>
      </c>
      <c r="G100" s="486">
        <v>0</v>
      </c>
      <c r="H100" s="486">
        <v>0</v>
      </c>
      <c r="I100" s="586">
        <f t="shared" si="8"/>
        <v>41469.22</v>
      </c>
      <c r="J100" s="587">
        <f t="shared" si="9"/>
        <v>975.41999999999825</v>
      </c>
      <c r="K100" s="513"/>
      <c r="L100" s="515"/>
      <c r="M100" s="515"/>
      <c r="N100" s="515"/>
      <c r="O100" s="515"/>
      <c r="P100" s="515"/>
      <c r="Q100" s="515"/>
      <c r="R100" s="502"/>
      <c r="S100" s="502"/>
      <c r="T100" s="502"/>
      <c r="U100" s="502"/>
      <c r="V100" s="502"/>
      <c r="W100" s="502"/>
      <c r="X100" s="502"/>
      <c r="Y100" s="502"/>
      <c r="Z100" s="502"/>
      <c r="AA100" s="502"/>
    </row>
    <row r="101" spans="1:27" s="501" customFormat="1" ht="15" customHeight="1" x14ac:dyDescent="0.2">
      <c r="A101" s="497">
        <v>43525</v>
      </c>
      <c r="B101" s="479">
        <v>1493.8</v>
      </c>
      <c r="C101" s="480">
        <v>39000</v>
      </c>
      <c r="D101" s="489">
        <f t="shared" si="7"/>
        <v>40493.800000000003</v>
      </c>
      <c r="E101" s="480">
        <v>0</v>
      </c>
      <c r="F101" s="486">
        <v>0</v>
      </c>
      <c r="G101" s="486">
        <v>0</v>
      </c>
      <c r="H101" s="486">
        <v>0</v>
      </c>
      <c r="I101" s="586">
        <f t="shared" si="8"/>
        <v>40493.800000000003</v>
      </c>
      <c r="J101" s="587">
        <f t="shared" si="9"/>
        <v>726.63999999999942</v>
      </c>
      <c r="K101" s="513"/>
      <c r="L101" s="515"/>
      <c r="M101" s="515"/>
      <c r="N101" s="515"/>
      <c r="O101" s="515"/>
      <c r="P101" s="515"/>
      <c r="Q101" s="515"/>
      <c r="R101" s="502"/>
      <c r="S101" s="502"/>
      <c r="T101" s="502"/>
      <c r="U101" s="502"/>
      <c r="V101" s="502"/>
      <c r="W101" s="502"/>
      <c r="X101" s="502"/>
      <c r="Y101" s="502"/>
      <c r="Z101" s="502"/>
      <c r="AA101" s="502"/>
    </row>
    <row r="102" spans="1:27" s="501" customFormat="1" ht="15" customHeight="1" x14ac:dyDescent="0.2">
      <c r="A102" s="497">
        <v>43497</v>
      </c>
      <c r="B102" s="479">
        <v>1767.16</v>
      </c>
      <c r="C102" s="480">
        <v>38000</v>
      </c>
      <c r="D102" s="489">
        <f t="shared" si="7"/>
        <v>39767.160000000003</v>
      </c>
      <c r="E102" s="480">
        <v>0</v>
      </c>
      <c r="F102" s="486">
        <v>0</v>
      </c>
      <c r="G102" s="486">
        <v>0</v>
      </c>
      <c r="H102" s="486">
        <v>0</v>
      </c>
      <c r="I102" s="586">
        <f t="shared" si="8"/>
        <v>39767.160000000003</v>
      </c>
      <c r="J102" s="587">
        <f t="shared" si="9"/>
        <v>1177.7300000000032</v>
      </c>
      <c r="K102" s="518">
        <f>SUM(J90:J102)</f>
        <v>12290.769999999997</v>
      </c>
      <c r="L102" s="515"/>
      <c r="M102" s="515"/>
      <c r="N102" s="515"/>
      <c r="O102" s="515"/>
      <c r="P102" s="515"/>
      <c r="Q102" s="515"/>
      <c r="R102" s="502"/>
      <c r="S102" s="502"/>
      <c r="T102" s="502"/>
      <c r="U102" s="502"/>
      <c r="V102" s="502"/>
      <c r="W102" s="502"/>
      <c r="X102" s="502"/>
      <c r="Y102" s="502"/>
      <c r="Z102" s="502"/>
      <c r="AA102" s="502"/>
    </row>
    <row r="103" spans="1:27" s="501" customFormat="1" ht="15" customHeight="1" x14ac:dyDescent="0.2">
      <c r="A103" s="497">
        <v>43466</v>
      </c>
      <c r="B103" s="479">
        <v>1589.43</v>
      </c>
      <c r="C103" s="480">
        <v>37000</v>
      </c>
      <c r="D103" s="489">
        <f t="shared" si="7"/>
        <v>38589.43</v>
      </c>
      <c r="E103" s="480">
        <v>0</v>
      </c>
      <c r="F103" s="486">
        <v>0</v>
      </c>
      <c r="G103" s="486">
        <v>0</v>
      </c>
      <c r="H103" s="486">
        <v>0</v>
      </c>
      <c r="I103" s="586">
        <f t="shared" si="8"/>
        <v>38589.43</v>
      </c>
      <c r="J103" s="587">
        <f t="shared" si="9"/>
        <v>797.01000000000204</v>
      </c>
      <c r="K103" s="513"/>
      <c r="L103" s="515"/>
      <c r="M103" s="515"/>
      <c r="N103" s="515"/>
      <c r="O103" s="515"/>
      <c r="P103" s="515"/>
      <c r="Q103" s="515"/>
      <c r="R103" s="502"/>
      <c r="S103" s="502"/>
      <c r="T103" s="502"/>
      <c r="U103" s="502"/>
      <c r="V103" s="502"/>
      <c r="W103" s="502"/>
      <c r="X103" s="502"/>
      <c r="Y103" s="502"/>
      <c r="Z103" s="502"/>
      <c r="AA103" s="502"/>
    </row>
    <row r="104" spans="1:27" s="501" customFormat="1" ht="15" customHeight="1" x14ac:dyDescent="0.2">
      <c r="A104" s="497">
        <v>43435</v>
      </c>
      <c r="B104" s="479">
        <v>1792.42</v>
      </c>
      <c r="C104" s="480">
        <v>36000</v>
      </c>
      <c r="D104" s="489">
        <f t="shared" si="7"/>
        <v>37792.42</v>
      </c>
      <c r="E104" s="480">
        <v>0</v>
      </c>
      <c r="F104" s="486">
        <v>0</v>
      </c>
      <c r="G104" s="486">
        <v>0</v>
      </c>
      <c r="H104" s="486">
        <v>0</v>
      </c>
      <c r="I104" s="586">
        <f t="shared" si="8"/>
        <v>37792.42</v>
      </c>
      <c r="J104" s="587">
        <f t="shared" si="9"/>
        <v>1017.5899999999965</v>
      </c>
      <c r="K104" s="513"/>
      <c r="L104" s="515"/>
      <c r="M104" s="515"/>
      <c r="N104" s="515"/>
      <c r="O104" s="515"/>
      <c r="P104" s="515"/>
      <c r="Q104" s="515"/>
      <c r="R104" s="502"/>
      <c r="S104" s="502"/>
      <c r="T104" s="502"/>
      <c r="U104" s="502"/>
      <c r="V104" s="502"/>
      <c r="W104" s="502"/>
      <c r="X104" s="502"/>
      <c r="Y104" s="502"/>
      <c r="Z104" s="502"/>
      <c r="AA104" s="502"/>
    </row>
    <row r="105" spans="1:27" s="501" customFormat="1" ht="15" customHeight="1" x14ac:dyDescent="0.2">
      <c r="A105" s="497">
        <v>43405</v>
      </c>
      <c r="B105" s="479">
        <v>1774.83</v>
      </c>
      <c r="C105" s="480">
        <v>35000</v>
      </c>
      <c r="D105" s="489">
        <f t="shared" si="7"/>
        <v>36774.83</v>
      </c>
      <c r="E105" s="480">
        <v>0</v>
      </c>
      <c r="F105" s="486">
        <v>0</v>
      </c>
      <c r="G105" s="486">
        <v>0</v>
      </c>
      <c r="H105" s="486">
        <v>0</v>
      </c>
      <c r="I105" s="586">
        <f t="shared" si="8"/>
        <v>36774.83</v>
      </c>
      <c r="J105" s="587">
        <f t="shared" si="9"/>
        <v>930.31000000000495</v>
      </c>
      <c r="K105" s="513"/>
      <c r="L105" s="515"/>
      <c r="M105" s="515"/>
      <c r="N105" s="515"/>
      <c r="O105" s="515"/>
      <c r="P105" s="515"/>
      <c r="Q105" s="515"/>
      <c r="R105" s="502"/>
      <c r="S105" s="502"/>
      <c r="T105" s="502"/>
      <c r="U105" s="502"/>
      <c r="V105" s="502"/>
      <c r="W105" s="502"/>
      <c r="X105" s="502"/>
      <c r="Y105" s="502"/>
      <c r="Z105" s="502"/>
      <c r="AA105" s="502"/>
    </row>
    <row r="106" spans="1:27" s="501" customFormat="1" ht="15" customHeight="1" x14ac:dyDescent="0.2">
      <c r="A106" s="497">
        <v>43374</v>
      </c>
      <c r="B106" s="479">
        <v>1844.52</v>
      </c>
      <c r="C106" s="480">
        <v>34000</v>
      </c>
      <c r="D106" s="489">
        <f t="shared" si="7"/>
        <v>35844.519999999997</v>
      </c>
      <c r="E106" s="480">
        <v>0</v>
      </c>
      <c r="F106" s="486">
        <v>0</v>
      </c>
      <c r="G106" s="486">
        <v>0</v>
      </c>
      <c r="H106" s="486">
        <v>0</v>
      </c>
      <c r="I106" s="586">
        <f t="shared" si="8"/>
        <v>35844.519999999997</v>
      </c>
      <c r="J106" s="587">
        <f t="shared" si="9"/>
        <v>1360.7899999999936</v>
      </c>
      <c r="K106" s="513"/>
      <c r="L106" s="515"/>
      <c r="M106" s="515"/>
      <c r="N106" s="515"/>
      <c r="O106" s="515"/>
      <c r="P106" s="515"/>
      <c r="Q106" s="515"/>
      <c r="R106" s="502"/>
      <c r="S106" s="502"/>
      <c r="T106" s="502"/>
      <c r="U106" s="502"/>
      <c r="V106" s="502"/>
      <c r="W106" s="502"/>
      <c r="X106" s="502"/>
      <c r="Y106" s="502"/>
      <c r="Z106" s="502"/>
      <c r="AA106" s="502"/>
    </row>
    <row r="107" spans="1:27" s="501" customFormat="1" ht="15" customHeight="1" x14ac:dyDescent="0.2">
      <c r="A107" s="497">
        <v>43344</v>
      </c>
      <c r="B107" s="479">
        <v>2483.73</v>
      </c>
      <c r="C107" s="480">
        <v>32000</v>
      </c>
      <c r="D107" s="489">
        <f t="shared" si="7"/>
        <v>34483.730000000003</v>
      </c>
      <c r="E107" s="480">
        <v>0</v>
      </c>
      <c r="F107" s="486">
        <v>0</v>
      </c>
      <c r="G107" s="486">
        <v>0</v>
      </c>
      <c r="H107" s="486">
        <v>0</v>
      </c>
      <c r="I107" s="586">
        <f t="shared" si="8"/>
        <v>34483.730000000003</v>
      </c>
      <c r="J107" s="587">
        <f t="shared" si="9"/>
        <v>705.06999999999971</v>
      </c>
      <c r="K107" s="513"/>
      <c r="L107" s="515"/>
      <c r="M107" s="515"/>
      <c r="N107" s="515"/>
      <c r="O107" s="515"/>
      <c r="P107" s="515"/>
      <c r="Q107" s="515"/>
      <c r="R107" s="502"/>
      <c r="S107" s="502"/>
      <c r="T107" s="502"/>
      <c r="U107" s="502"/>
      <c r="V107" s="502"/>
      <c r="W107" s="502"/>
      <c r="X107" s="502"/>
      <c r="Y107" s="502"/>
      <c r="Z107" s="502"/>
      <c r="AA107" s="502"/>
    </row>
    <row r="108" spans="1:27" s="501" customFormat="1" ht="15" customHeight="1" x14ac:dyDescent="0.2">
      <c r="A108" s="497">
        <v>43313</v>
      </c>
      <c r="B108" s="479">
        <v>1778.66</v>
      </c>
      <c r="C108" s="480">
        <v>32000</v>
      </c>
      <c r="D108" s="489">
        <f t="shared" si="7"/>
        <v>33778.660000000003</v>
      </c>
      <c r="E108" s="480">
        <v>0</v>
      </c>
      <c r="F108" s="486">
        <v>0</v>
      </c>
      <c r="G108" s="486">
        <v>0</v>
      </c>
      <c r="H108" s="486">
        <v>0</v>
      </c>
      <c r="I108" s="586">
        <f t="shared" si="8"/>
        <v>33778.660000000003</v>
      </c>
      <c r="J108" s="587">
        <f t="shared" si="9"/>
        <v>966.65000000000146</v>
      </c>
      <c r="K108" s="513"/>
      <c r="L108" s="515"/>
      <c r="M108" s="515"/>
      <c r="N108" s="515"/>
      <c r="O108" s="515"/>
      <c r="P108" s="515"/>
      <c r="Q108" s="515"/>
      <c r="R108" s="502"/>
      <c r="S108" s="502"/>
      <c r="T108" s="502"/>
      <c r="U108" s="502"/>
      <c r="V108" s="502"/>
      <c r="W108" s="502"/>
      <c r="X108" s="502"/>
      <c r="Y108" s="502"/>
      <c r="Z108" s="502"/>
      <c r="AA108" s="502"/>
    </row>
    <row r="109" spans="1:27" s="501" customFormat="1" ht="15" customHeight="1" x14ac:dyDescent="0.2">
      <c r="A109" s="497">
        <v>43282</v>
      </c>
      <c r="B109" s="479">
        <v>1812.01</v>
      </c>
      <c r="C109" s="480">
        <v>31000</v>
      </c>
      <c r="D109" s="489">
        <f t="shared" si="7"/>
        <v>32812.01</v>
      </c>
      <c r="E109" s="480">
        <v>0</v>
      </c>
      <c r="F109" s="486">
        <v>0</v>
      </c>
      <c r="G109" s="486">
        <v>0</v>
      </c>
      <c r="H109" s="486">
        <v>0</v>
      </c>
      <c r="I109" s="586">
        <f t="shared" si="8"/>
        <v>32812.01</v>
      </c>
      <c r="J109" s="587">
        <f t="shared" si="9"/>
        <v>541.72000000000116</v>
      </c>
      <c r="K109" s="513"/>
      <c r="L109" s="515"/>
      <c r="M109" s="515"/>
      <c r="N109" s="515"/>
      <c r="O109" s="515"/>
      <c r="P109" s="515"/>
      <c r="Q109" s="515"/>
      <c r="R109" s="502"/>
      <c r="S109" s="502"/>
      <c r="T109" s="502"/>
      <c r="U109" s="502"/>
      <c r="V109" s="502"/>
      <c r="W109" s="502"/>
      <c r="X109" s="502"/>
      <c r="Y109" s="502"/>
      <c r="Z109" s="502"/>
      <c r="AA109" s="502"/>
    </row>
    <row r="110" spans="1:27" s="501" customFormat="1" ht="15" customHeight="1" x14ac:dyDescent="0.2">
      <c r="A110" s="497">
        <v>43252</v>
      </c>
      <c r="B110" s="479">
        <v>1270.29</v>
      </c>
      <c r="C110" s="480">
        <v>31000</v>
      </c>
      <c r="D110" s="489">
        <f t="shared" si="7"/>
        <v>32270.29</v>
      </c>
      <c r="E110" s="480">
        <v>0</v>
      </c>
      <c r="F110" s="486">
        <v>0</v>
      </c>
      <c r="G110" s="486">
        <v>0</v>
      </c>
      <c r="H110" s="486">
        <v>0</v>
      </c>
      <c r="I110" s="586">
        <f t="shared" si="8"/>
        <v>32270.29</v>
      </c>
      <c r="J110" s="587">
        <f t="shared" si="9"/>
        <v>2.4599999999991269</v>
      </c>
      <c r="K110" s="513"/>
      <c r="L110" s="515"/>
      <c r="M110" s="515"/>
      <c r="N110" s="515"/>
      <c r="O110" s="515"/>
      <c r="P110" s="515"/>
      <c r="Q110" s="515"/>
      <c r="R110" s="502"/>
      <c r="S110" s="502"/>
      <c r="T110" s="502"/>
      <c r="U110" s="502"/>
      <c r="V110" s="502"/>
      <c r="W110" s="502"/>
      <c r="X110" s="502"/>
      <c r="Y110" s="502"/>
      <c r="Z110" s="502"/>
      <c r="AA110" s="502"/>
    </row>
    <row r="111" spans="1:27" s="501" customFormat="1" ht="15" customHeight="1" x14ac:dyDescent="0.2">
      <c r="A111" s="497">
        <v>43221</v>
      </c>
      <c r="B111" s="479">
        <v>1267.83</v>
      </c>
      <c r="C111" s="480">
        <v>31000</v>
      </c>
      <c r="D111" s="489">
        <f t="shared" si="7"/>
        <v>32267.83</v>
      </c>
      <c r="E111" s="480">
        <v>0</v>
      </c>
      <c r="F111" s="486">
        <v>0</v>
      </c>
      <c r="G111" s="486">
        <v>0</v>
      </c>
      <c r="H111" s="486">
        <v>0</v>
      </c>
      <c r="I111" s="586">
        <f t="shared" si="8"/>
        <v>32267.83</v>
      </c>
      <c r="J111" s="587">
        <f t="shared" si="9"/>
        <v>-268.60999999999694</v>
      </c>
      <c r="K111" s="513"/>
      <c r="L111" s="515"/>
      <c r="M111" s="515"/>
      <c r="N111" s="515"/>
      <c r="O111" s="515"/>
      <c r="P111" s="515"/>
      <c r="Q111" s="515"/>
      <c r="R111" s="502"/>
      <c r="S111" s="502"/>
      <c r="T111" s="502"/>
      <c r="U111" s="502"/>
      <c r="V111" s="502"/>
      <c r="W111" s="502"/>
      <c r="X111" s="502"/>
      <c r="Y111" s="502"/>
      <c r="Z111" s="502"/>
      <c r="AA111" s="502"/>
    </row>
    <row r="112" spans="1:27" s="501" customFormat="1" ht="15" customHeight="1" x14ac:dyDescent="0.2">
      <c r="A112" s="497">
        <v>43191</v>
      </c>
      <c r="B112" s="479">
        <v>1536.44</v>
      </c>
      <c r="C112" s="480">
        <v>31000</v>
      </c>
      <c r="D112" s="489">
        <f t="shared" si="7"/>
        <v>32536.44</v>
      </c>
      <c r="E112" s="480">
        <v>0</v>
      </c>
      <c r="F112" s="486">
        <v>0</v>
      </c>
      <c r="G112" s="486">
        <v>0</v>
      </c>
      <c r="H112" s="486">
        <v>0</v>
      </c>
      <c r="I112" s="586">
        <f t="shared" si="8"/>
        <v>32536.44</v>
      </c>
      <c r="J112" s="587">
        <f t="shared" si="9"/>
        <v>144.22999999999956</v>
      </c>
      <c r="K112" s="513"/>
      <c r="L112" s="515"/>
      <c r="M112" s="515"/>
      <c r="N112" s="515"/>
      <c r="O112" s="515"/>
      <c r="P112" s="515"/>
      <c r="Q112" s="515"/>
      <c r="R112" s="502"/>
      <c r="S112" s="502"/>
      <c r="T112" s="502"/>
      <c r="U112" s="502"/>
      <c r="V112" s="502"/>
      <c r="W112" s="502"/>
      <c r="X112" s="502"/>
      <c r="Y112" s="502"/>
      <c r="Z112" s="502"/>
      <c r="AA112" s="502"/>
    </row>
    <row r="113" spans="1:27" s="501" customFormat="1" ht="15" customHeight="1" x14ac:dyDescent="0.2">
      <c r="A113" s="497">
        <v>43160</v>
      </c>
      <c r="B113" s="479">
        <v>1392.21</v>
      </c>
      <c r="C113" s="480">
        <v>31000</v>
      </c>
      <c r="D113" s="489">
        <f t="shared" si="7"/>
        <v>32392.21</v>
      </c>
      <c r="E113" s="480">
        <v>0</v>
      </c>
      <c r="F113" s="486">
        <v>0</v>
      </c>
      <c r="G113" s="486">
        <v>0</v>
      </c>
      <c r="H113" s="486">
        <v>0</v>
      </c>
      <c r="I113" s="586">
        <f t="shared" si="8"/>
        <v>32392.21</v>
      </c>
      <c r="J113" s="587">
        <f t="shared" si="9"/>
        <v>24.629999999997381</v>
      </c>
      <c r="K113" s="513"/>
      <c r="L113" s="515"/>
      <c r="M113" s="515"/>
      <c r="N113" s="515"/>
      <c r="O113" s="515"/>
      <c r="P113" s="515"/>
      <c r="Q113" s="515"/>
      <c r="R113" s="502"/>
      <c r="S113" s="502"/>
      <c r="T113" s="502"/>
      <c r="U113" s="502"/>
      <c r="V113" s="502"/>
      <c r="W113" s="502"/>
      <c r="X113" s="502"/>
      <c r="Y113" s="502"/>
      <c r="Z113" s="502"/>
      <c r="AA113" s="502"/>
    </row>
    <row r="114" spans="1:27" s="501" customFormat="1" ht="15" customHeight="1" x14ac:dyDescent="0.2">
      <c r="A114" s="497">
        <v>43132</v>
      </c>
      <c r="B114" s="479">
        <v>1367.58</v>
      </c>
      <c r="C114" s="480">
        <v>31000</v>
      </c>
      <c r="D114" s="489">
        <f t="shared" si="7"/>
        <v>32367.58</v>
      </c>
      <c r="E114" s="480">
        <v>0</v>
      </c>
      <c r="F114" s="486">
        <v>0</v>
      </c>
      <c r="G114" s="486">
        <v>0</v>
      </c>
      <c r="H114" s="486">
        <v>0</v>
      </c>
      <c r="I114" s="586">
        <f t="shared" si="8"/>
        <v>32367.58</v>
      </c>
      <c r="J114" s="587">
        <f t="shared" si="9"/>
        <v>6.3400000000001455</v>
      </c>
      <c r="K114" s="519">
        <f>SUM(J103:J114)</f>
        <v>6228.1899999999987</v>
      </c>
      <c r="L114" s="515"/>
      <c r="M114" s="515"/>
      <c r="N114" s="515"/>
      <c r="O114" s="515"/>
      <c r="P114" s="515"/>
      <c r="Q114" s="515"/>
      <c r="R114" s="502"/>
      <c r="S114" s="502"/>
      <c r="T114" s="502"/>
      <c r="U114" s="502"/>
      <c r="V114" s="502"/>
      <c r="W114" s="502"/>
      <c r="X114" s="502"/>
      <c r="Y114" s="502"/>
      <c r="Z114" s="502"/>
      <c r="AA114" s="502"/>
    </row>
    <row r="115" spans="1:27" s="501" customFormat="1" ht="15" customHeight="1" x14ac:dyDescent="0.2">
      <c r="A115" s="497">
        <v>43101</v>
      </c>
      <c r="B115" s="479">
        <v>1361.24</v>
      </c>
      <c r="C115" s="480">
        <v>31000</v>
      </c>
      <c r="D115" s="489">
        <f t="shared" si="7"/>
        <v>32361.24</v>
      </c>
      <c r="E115" s="480">
        <v>0</v>
      </c>
      <c r="F115" s="486">
        <v>0</v>
      </c>
      <c r="G115" s="486">
        <v>0</v>
      </c>
      <c r="H115" s="486">
        <v>0</v>
      </c>
      <c r="I115" s="586">
        <f t="shared" si="8"/>
        <v>32361.24</v>
      </c>
      <c r="J115" s="587">
        <f t="shared" si="9"/>
        <v>709.29000000000087</v>
      </c>
      <c r="K115" s="513"/>
      <c r="L115" s="515"/>
      <c r="M115" s="515"/>
      <c r="N115" s="515"/>
      <c r="O115" s="515"/>
      <c r="P115" s="515"/>
      <c r="Q115" s="515"/>
      <c r="R115" s="502"/>
      <c r="S115" s="502"/>
      <c r="T115" s="502"/>
      <c r="U115" s="502"/>
      <c r="V115" s="502"/>
      <c r="W115" s="502"/>
      <c r="X115" s="502"/>
      <c r="Y115" s="502"/>
      <c r="Z115" s="502"/>
      <c r="AA115" s="502"/>
    </row>
    <row r="116" spans="1:27" s="501" customFormat="1" ht="15" customHeight="1" x14ac:dyDescent="0.2">
      <c r="A116" s="497">
        <v>43070</v>
      </c>
      <c r="B116" s="479">
        <v>1651.95</v>
      </c>
      <c r="C116" s="480">
        <v>30000</v>
      </c>
      <c r="D116" s="489">
        <f t="shared" si="7"/>
        <v>31651.95</v>
      </c>
      <c r="E116" s="480">
        <v>0</v>
      </c>
      <c r="F116" s="486">
        <v>0</v>
      </c>
      <c r="G116" s="486">
        <v>0</v>
      </c>
      <c r="H116" s="486">
        <v>0</v>
      </c>
      <c r="I116" s="586">
        <f t="shared" si="8"/>
        <v>31651.95</v>
      </c>
      <c r="J116" s="587">
        <f t="shared" si="9"/>
        <v>999.72000000000116</v>
      </c>
      <c r="K116" s="513"/>
      <c r="L116" s="515"/>
      <c r="M116" s="515"/>
      <c r="N116" s="515"/>
      <c r="O116" s="515"/>
      <c r="P116" s="515"/>
      <c r="Q116" s="515"/>
      <c r="R116" s="502"/>
      <c r="S116" s="502"/>
      <c r="T116" s="502"/>
      <c r="U116" s="502"/>
      <c r="V116" s="502"/>
      <c r="W116" s="502"/>
      <c r="X116" s="502"/>
      <c r="Y116" s="502"/>
      <c r="Z116" s="502"/>
      <c r="AA116" s="502"/>
    </row>
    <row r="117" spans="1:27" s="501" customFormat="1" ht="15" customHeight="1" x14ac:dyDescent="0.2">
      <c r="A117" s="497">
        <v>43040</v>
      </c>
      <c r="B117" s="479">
        <v>1652.23</v>
      </c>
      <c r="C117" s="480">
        <v>29000</v>
      </c>
      <c r="D117" s="489">
        <f t="shared" si="7"/>
        <v>30652.23</v>
      </c>
      <c r="E117" s="480">
        <v>0</v>
      </c>
      <c r="F117" s="486">
        <v>0</v>
      </c>
      <c r="G117" s="486">
        <v>0</v>
      </c>
      <c r="H117" s="486">
        <v>0</v>
      </c>
      <c r="I117" s="586">
        <f t="shared" si="8"/>
        <v>30652.23</v>
      </c>
      <c r="J117" s="587">
        <f t="shared" si="9"/>
        <v>108.40999999999985</v>
      </c>
      <c r="K117" s="513"/>
      <c r="L117" s="515"/>
      <c r="M117" s="515"/>
      <c r="N117" s="515"/>
      <c r="O117" s="515"/>
      <c r="P117" s="515"/>
      <c r="Q117" s="515"/>
      <c r="R117" s="502"/>
      <c r="S117" s="502"/>
      <c r="T117" s="502"/>
      <c r="U117" s="502"/>
      <c r="V117" s="502"/>
      <c r="W117" s="502"/>
      <c r="X117" s="502"/>
      <c r="Y117" s="502"/>
      <c r="Z117" s="502"/>
      <c r="AA117" s="502"/>
    </row>
    <row r="118" spans="1:27" s="501" customFormat="1" ht="15" customHeight="1" x14ac:dyDescent="0.2">
      <c r="A118" s="497">
        <v>43009</v>
      </c>
      <c r="B118" s="479">
        <v>1543.82</v>
      </c>
      <c r="C118" s="480">
        <v>29000</v>
      </c>
      <c r="D118" s="489">
        <f t="shared" si="7"/>
        <v>30543.82</v>
      </c>
      <c r="E118" s="480">
        <v>0</v>
      </c>
      <c r="F118" s="486">
        <v>0</v>
      </c>
      <c r="G118" s="486">
        <v>0</v>
      </c>
      <c r="H118" s="486">
        <v>0</v>
      </c>
      <c r="I118" s="586">
        <f t="shared" si="8"/>
        <v>30543.82</v>
      </c>
      <c r="J118" s="587">
        <f t="shared" si="9"/>
        <v>683.65000000000146</v>
      </c>
      <c r="K118" s="520"/>
      <c r="L118" s="515"/>
      <c r="M118" s="515"/>
      <c r="N118" s="515"/>
      <c r="O118" s="515"/>
      <c r="P118" s="515"/>
      <c r="Q118" s="515"/>
      <c r="R118" s="502"/>
      <c r="S118" s="502"/>
      <c r="T118" s="502"/>
      <c r="U118" s="502"/>
      <c r="V118" s="502"/>
      <c r="W118" s="502"/>
      <c r="X118" s="502"/>
      <c r="Y118" s="502"/>
      <c r="Z118" s="502"/>
      <c r="AA118" s="502"/>
    </row>
    <row r="119" spans="1:27" s="501" customFormat="1" ht="15" customHeight="1" x14ac:dyDescent="0.2">
      <c r="A119" s="497">
        <v>42979</v>
      </c>
      <c r="B119" s="479">
        <v>1860.17</v>
      </c>
      <c r="C119" s="480">
        <v>28000</v>
      </c>
      <c r="D119" s="489">
        <f t="shared" si="7"/>
        <v>29860.17</v>
      </c>
      <c r="E119" s="480">
        <v>0</v>
      </c>
      <c r="F119" s="486">
        <v>0</v>
      </c>
      <c r="G119" s="486">
        <v>0</v>
      </c>
      <c r="H119" s="486">
        <v>0</v>
      </c>
      <c r="I119" s="586">
        <f t="shared" si="8"/>
        <v>29860.17</v>
      </c>
      <c r="J119" s="587">
        <f t="shared" si="9"/>
        <v>530.69999999999709</v>
      </c>
      <c r="K119" s="520"/>
      <c r="L119" s="515"/>
      <c r="M119" s="515"/>
      <c r="N119" s="515"/>
      <c r="O119" s="515"/>
      <c r="P119" s="515"/>
      <c r="Q119" s="515"/>
      <c r="R119" s="502"/>
      <c r="S119" s="502"/>
      <c r="T119" s="502"/>
      <c r="U119" s="502"/>
      <c r="V119" s="502"/>
      <c r="W119" s="502"/>
      <c r="X119" s="502"/>
      <c r="Y119" s="502"/>
      <c r="Z119" s="502"/>
      <c r="AA119" s="502"/>
    </row>
    <row r="120" spans="1:27" s="501" customFormat="1" ht="15" customHeight="1" x14ac:dyDescent="0.2">
      <c r="A120" s="497">
        <v>42948</v>
      </c>
      <c r="B120" s="479">
        <v>1329.47</v>
      </c>
      <c r="C120" s="480">
        <v>28000</v>
      </c>
      <c r="D120" s="489">
        <f t="shared" si="7"/>
        <v>29329.47</v>
      </c>
      <c r="E120" s="480">
        <v>0</v>
      </c>
      <c r="F120" s="486">
        <v>0</v>
      </c>
      <c r="G120" s="486">
        <v>0</v>
      </c>
      <c r="H120" s="486">
        <v>0</v>
      </c>
      <c r="I120" s="586">
        <f t="shared" si="8"/>
        <v>29329.47</v>
      </c>
      <c r="J120" s="587">
        <f t="shared" si="9"/>
        <v>447.21000000000276</v>
      </c>
      <c r="K120" s="520"/>
      <c r="L120" s="515"/>
      <c r="M120" s="515"/>
      <c r="N120" s="515"/>
      <c r="O120" s="515"/>
      <c r="P120" s="515"/>
      <c r="Q120" s="515"/>
      <c r="R120" s="502"/>
      <c r="S120" s="502"/>
      <c r="T120" s="502"/>
      <c r="U120" s="502"/>
      <c r="V120" s="502"/>
      <c r="W120" s="502"/>
      <c r="X120" s="502"/>
      <c r="Y120" s="502"/>
      <c r="Z120" s="502"/>
      <c r="AA120" s="502"/>
    </row>
    <row r="121" spans="1:27" s="501" customFormat="1" ht="15" customHeight="1" x14ac:dyDescent="0.2">
      <c r="A121" s="497">
        <v>42917</v>
      </c>
      <c r="B121" s="479">
        <v>1882.26</v>
      </c>
      <c r="C121" s="480">
        <v>27000</v>
      </c>
      <c r="D121" s="489">
        <f t="shared" si="7"/>
        <v>28882.26</v>
      </c>
      <c r="E121" s="480">
        <v>0</v>
      </c>
      <c r="F121" s="486">
        <v>0</v>
      </c>
      <c r="G121" s="486">
        <v>0</v>
      </c>
      <c r="H121" s="486">
        <v>0</v>
      </c>
      <c r="I121" s="586">
        <f t="shared" si="8"/>
        <v>28882.26</v>
      </c>
      <c r="J121" s="587">
        <f t="shared" si="9"/>
        <v>289.27999999999884</v>
      </c>
      <c r="K121" s="520"/>
      <c r="L121" s="515"/>
      <c r="M121" s="515"/>
      <c r="N121" s="515"/>
      <c r="O121" s="515"/>
      <c r="P121" s="515"/>
      <c r="Q121" s="515"/>
      <c r="R121" s="502"/>
      <c r="S121" s="502"/>
      <c r="T121" s="502"/>
      <c r="U121" s="502"/>
      <c r="V121" s="502"/>
      <c r="W121" s="502"/>
      <c r="X121" s="502"/>
      <c r="Y121" s="502"/>
      <c r="Z121" s="502"/>
      <c r="AA121" s="502"/>
    </row>
    <row r="122" spans="1:27" s="501" customFormat="1" ht="15" customHeight="1" x14ac:dyDescent="0.2">
      <c r="A122" s="497">
        <v>42887</v>
      </c>
      <c r="B122" s="479">
        <v>1592.98</v>
      </c>
      <c r="C122" s="480">
        <v>27000</v>
      </c>
      <c r="D122" s="489">
        <f t="shared" si="7"/>
        <v>28592.98</v>
      </c>
      <c r="E122" s="480">
        <v>0</v>
      </c>
      <c r="F122" s="486">
        <v>0</v>
      </c>
      <c r="G122" s="486">
        <v>0</v>
      </c>
      <c r="H122" s="486">
        <v>0</v>
      </c>
      <c r="I122" s="586">
        <f t="shared" si="8"/>
        <v>28592.98</v>
      </c>
      <c r="J122" s="587">
        <f t="shared" si="9"/>
        <v>619.04000000000087</v>
      </c>
      <c r="K122" s="520"/>
      <c r="L122" s="515"/>
      <c r="M122" s="515"/>
      <c r="N122" s="515"/>
      <c r="O122" s="515"/>
      <c r="P122" s="515"/>
      <c r="Q122" s="515"/>
      <c r="R122" s="502"/>
      <c r="S122" s="502"/>
      <c r="T122" s="502"/>
      <c r="U122" s="502"/>
      <c r="V122" s="502"/>
      <c r="W122" s="502"/>
      <c r="X122" s="502"/>
      <c r="Y122" s="502"/>
      <c r="Z122" s="502"/>
      <c r="AA122" s="502"/>
    </row>
    <row r="123" spans="1:27" s="501" customFormat="1" ht="15" customHeight="1" x14ac:dyDescent="0.2">
      <c r="A123" s="497">
        <v>42856</v>
      </c>
      <c r="B123" s="479">
        <v>973.94</v>
      </c>
      <c r="C123" s="480">
        <v>27000</v>
      </c>
      <c r="D123" s="489">
        <f t="shared" si="7"/>
        <v>27973.94</v>
      </c>
      <c r="E123" s="480">
        <v>0</v>
      </c>
      <c r="F123" s="486">
        <v>0</v>
      </c>
      <c r="G123" s="486">
        <v>0</v>
      </c>
      <c r="H123" s="486">
        <v>0</v>
      </c>
      <c r="I123" s="586">
        <f t="shared" si="8"/>
        <v>27973.94</v>
      </c>
      <c r="J123" s="587">
        <f t="shared" si="9"/>
        <v>55.590000000000146</v>
      </c>
      <c r="K123" s="520"/>
      <c r="L123" s="515"/>
      <c r="M123" s="515"/>
      <c r="N123" s="515"/>
      <c r="O123" s="515"/>
      <c r="P123" s="515"/>
      <c r="Q123" s="515"/>
      <c r="R123" s="502"/>
      <c r="S123" s="502"/>
      <c r="T123" s="502"/>
      <c r="U123" s="502"/>
      <c r="V123" s="502"/>
      <c r="W123" s="502"/>
      <c r="X123" s="502"/>
      <c r="Y123" s="502"/>
      <c r="Z123" s="502"/>
      <c r="AA123" s="502"/>
    </row>
    <row r="124" spans="1:27" s="501" customFormat="1" ht="15" customHeight="1" x14ac:dyDescent="0.2">
      <c r="A124" s="497">
        <v>42826</v>
      </c>
      <c r="B124" s="479">
        <v>918.35</v>
      </c>
      <c r="C124" s="480">
        <v>27000</v>
      </c>
      <c r="D124" s="489">
        <f t="shared" si="7"/>
        <v>27918.35</v>
      </c>
      <c r="E124" s="480">
        <v>0</v>
      </c>
      <c r="F124" s="486">
        <v>0</v>
      </c>
      <c r="G124" s="486">
        <v>0</v>
      </c>
      <c r="H124" s="486">
        <v>0</v>
      </c>
      <c r="I124" s="586">
        <f t="shared" si="8"/>
        <v>27918.35</v>
      </c>
      <c r="J124" s="587">
        <f t="shared" si="9"/>
        <v>41.43999999999869</v>
      </c>
      <c r="K124" s="520"/>
      <c r="L124" s="515"/>
      <c r="M124" s="515"/>
      <c r="N124" s="515"/>
      <c r="O124" s="515"/>
      <c r="P124" s="515"/>
      <c r="Q124" s="515"/>
      <c r="R124" s="502"/>
      <c r="S124" s="502"/>
      <c r="T124" s="502"/>
      <c r="U124" s="502"/>
      <c r="V124" s="502"/>
      <c r="W124" s="502"/>
      <c r="X124" s="502"/>
      <c r="Y124" s="502"/>
      <c r="Z124" s="502"/>
      <c r="AA124" s="502"/>
    </row>
    <row r="125" spans="1:27" s="501" customFormat="1" ht="15" customHeight="1" x14ac:dyDescent="0.2">
      <c r="A125" s="497">
        <v>42795</v>
      </c>
      <c r="B125" s="479">
        <v>876.91</v>
      </c>
      <c r="C125" s="480">
        <v>27000</v>
      </c>
      <c r="D125" s="489">
        <f t="shared" si="7"/>
        <v>27876.91</v>
      </c>
      <c r="E125" s="480">
        <v>0</v>
      </c>
      <c r="F125" s="486">
        <v>0</v>
      </c>
      <c r="G125" s="486">
        <v>0</v>
      </c>
      <c r="H125" s="486">
        <v>0</v>
      </c>
      <c r="I125" s="586">
        <f t="shared" si="8"/>
        <v>27876.91</v>
      </c>
      <c r="J125" s="587">
        <f t="shared" si="9"/>
        <v>26.340000000000146</v>
      </c>
      <c r="K125" s="520"/>
      <c r="L125" s="515"/>
      <c r="M125" s="515"/>
      <c r="N125" s="515"/>
      <c r="O125" s="515"/>
      <c r="P125" s="515"/>
      <c r="Q125" s="515"/>
      <c r="R125" s="502"/>
      <c r="S125" s="502"/>
      <c r="T125" s="502"/>
      <c r="U125" s="502"/>
      <c r="V125" s="502"/>
      <c r="W125" s="502"/>
      <c r="X125" s="502"/>
      <c r="Y125" s="502"/>
      <c r="Z125" s="502"/>
      <c r="AA125" s="502"/>
    </row>
    <row r="126" spans="1:27" s="501" customFormat="1" ht="15" customHeight="1" x14ac:dyDescent="0.2">
      <c r="A126" s="497">
        <v>42767</v>
      </c>
      <c r="B126" s="479">
        <v>850.57</v>
      </c>
      <c r="C126" s="480">
        <v>27000</v>
      </c>
      <c r="D126" s="489">
        <f t="shared" si="7"/>
        <v>27850.57</v>
      </c>
      <c r="E126" s="480">
        <v>0</v>
      </c>
      <c r="F126" s="486">
        <v>0</v>
      </c>
      <c r="G126" s="486">
        <v>0</v>
      </c>
      <c r="H126" s="486">
        <v>0</v>
      </c>
      <c r="I126" s="586">
        <f t="shared" si="8"/>
        <v>27850.57</v>
      </c>
      <c r="J126" s="587">
        <f t="shared" si="9"/>
        <v>-8.5</v>
      </c>
      <c r="K126" s="521">
        <f>SUM(J115:J126)</f>
        <v>4502.1700000000019</v>
      </c>
      <c r="L126" s="515"/>
      <c r="M126" s="515"/>
      <c r="N126" s="515"/>
      <c r="O126" s="515"/>
      <c r="P126" s="515"/>
      <c r="Q126" s="515"/>
      <c r="R126" s="502"/>
      <c r="S126" s="502"/>
      <c r="T126" s="502"/>
      <c r="U126" s="502"/>
      <c r="V126" s="502"/>
      <c r="W126" s="502"/>
      <c r="X126" s="502"/>
      <c r="Y126" s="502"/>
      <c r="Z126" s="502"/>
      <c r="AA126" s="502"/>
    </row>
    <row r="127" spans="1:27" s="501" customFormat="1" ht="15" customHeight="1" x14ac:dyDescent="0.2">
      <c r="A127" s="497">
        <v>42736</v>
      </c>
      <c r="B127" s="479">
        <v>859.07</v>
      </c>
      <c r="C127" s="480">
        <v>27000</v>
      </c>
      <c r="D127" s="489">
        <f t="shared" si="7"/>
        <v>27859.07</v>
      </c>
      <c r="E127" s="480">
        <v>0</v>
      </c>
      <c r="F127" s="486">
        <v>0</v>
      </c>
      <c r="G127" s="486">
        <v>0</v>
      </c>
      <c r="H127" s="486">
        <v>0</v>
      </c>
      <c r="I127" s="586">
        <f t="shared" si="8"/>
        <v>27859.07</v>
      </c>
      <c r="J127" s="587">
        <f t="shared" si="9"/>
        <v>876.93999999999869</v>
      </c>
      <c r="K127" s="520"/>
      <c r="L127" s="515"/>
      <c r="M127" s="515"/>
      <c r="N127" s="515"/>
      <c r="O127" s="515"/>
      <c r="P127" s="515"/>
      <c r="Q127" s="515"/>
      <c r="R127" s="502"/>
      <c r="S127" s="502"/>
      <c r="T127" s="502"/>
      <c r="U127" s="502"/>
      <c r="V127" s="502"/>
      <c r="W127" s="502"/>
      <c r="X127" s="502"/>
      <c r="Y127" s="502"/>
      <c r="Z127" s="502"/>
      <c r="AA127" s="502"/>
    </row>
    <row r="128" spans="1:27" s="501" customFormat="1" ht="15" customHeight="1" x14ac:dyDescent="0.2">
      <c r="A128" s="497">
        <v>42705</v>
      </c>
      <c r="B128" s="479">
        <v>982.13</v>
      </c>
      <c r="C128" s="480">
        <v>26000</v>
      </c>
      <c r="D128" s="489">
        <f t="shared" si="7"/>
        <v>26982.13</v>
      </c>
      <c r="E128" s="480">
        <v>0</v>
      </c>
      <c r="F128" s="486">
        <v>0</v>
      </c>
      <c r="G128" s="486">
        <v>0</v>
      </c>
      <c r="H128" s="486">
        <v>0</v>
      </c>
      <c r="I128" s="586">
        <f t="shared" si="8"/>
        <v>26982.13</v>
      </c>
      <c r="J128" s="587">
        <f t="shared" si="9"/>
        <v>1171.3100000000013</v>
      </c>
      <c r="K128" s="520"/>
      <c r="L128" s="515"/>
      <c r="M128" s="515"/>
      <c r="N128" s="515"/>
      <c r="O128" s="515"/>
      <c r="P128" s="515"/>
      <c r="Q128" s="515"/>
      <c r="R128" s="502"/>
      <c r="S128" s="502"/>
      <c r="T128" s="502"/>
      <c r="U128" s="502"/>
      <c r="V128" s="502"/>
      <c r="W128" s="502"/>
      <c r="X128" s="502"/>
      <c r="Y128" s="502"/>
      <c r="Z128" s="502"/>
      <c r="AA128" s="502"/>
    </row>
    <row r="129" spans="1:27" s="501" customFormat="1" ht="15" customHeight="1" x14ac:dyDescent="0.2">
      <c r="A129" s="497">
        <v>42675</v>
      </c>
      <c r="B129" s="479">
        <v>810.82</v>
      </c>
      <c r="C129" s="480">
        <v>25000</v>
      </c>
      <c r="D129" s="489">
        <f t="shared" si="7"/>
        <v>25810.82</v>
      </c>
      <c r="E129" s="480">
        <v>0</v>
      </c>
      <c r="F129" s="486">
        <v>0</v>
      </c>
      <c r="G129" s="486">
        <v>0</v>
      </c>
      <c r="H129" s="486">
        <v>0</v>
      </c>
      <c r="I129" s="586">
        <f t="shared" si="8"/>
        <v>25810.82</v>
      </c>
      <c r="J129" s="587">
        <f t="shared" si="9"/>
        <v>770.45999999999913</v>
      </c>
      <c r="K129" s="520"/>
      <c r="L129" s="515"/>
      <c r="M129" s="515"/>
      <c r="N129" s="515"/>
      <c r="O129" s="515"/>
      <c r="P129" s="515"/>
      <c r="Q129" s="515"/>
      <c r="R129" s="502"/>
      <c r="S129" s="502"/>
      <c r="T129" s="502"/>
      <c r="U129" s="502"/>
      <c r="V129" s="502"/>
      <c r="W129" s="502"/>
      <c r="X129" s="502"/>
      <c r="Y129" s="502"/>
      <c r="Z129" s="502"/>
      <c r="AA129" s="502"/>
    </row>
    <row r="130" spans="1:27" s="501" customFormat="1" ht="15" customHeight="1" x14ac:dyDescent="0.2">
      <c r="A130" s="497">
        <v>42644</v>
      </c>
      <c r="B130" s="479">
        <v>1540.36</v>
      </c>
      <c r="C130" s="480">
        <v>23500</v>
      </c>
      <c r="D130" s="489">
        <f t="shared" si="7"/>
        <v>25040.36</v>
      </c>
      <c r="E130" s="480">
        <v>0</v>
      </c>
      <c r="F130" s="486">
        <v>0</v>
      </c>
      <c r="G130" s="486">
        <v>0</v>
      </c>
      <c r="H130" s="486">
        <v>0</v>
      </c>
      <c r="I130" s="586">
        <f t="shared" si="8"/>
        <v>25040.36</v>
      </c>
      <c r="J130" s="587">
        <f t="shared" si="9"/>
        <v>1089.6100000000006</v>
      </c>
      <c r="K130" s="520"/>
      <c r="L130" s="515"/>
      <c r="M130" s="515"/>
      <c r="N130" s="515"/>
      <c r="O130" s="515"/>
      <c r="P130" s="515"/>
      <c r="Q130" s="515"/>
      <c r="R130" s="502"/>
      <c r="S130" s="502"/>
      <c r="T130" s="502"/>
      <c r="U130" s="502"/>
      <c r="V130" s="502"/>
      <c r="W130" s="502"/>
      <c r="X130" s="502"/>
      <c r="Y130" s="502"/>
      <c r="Z130" s="502"/>
      <c r="AA130" s="502"/>
    </row>
    <row r="131" spans="1:27" s="501" customFormat="1" ht="15" customHeight="1" x14ac:dyDescent="0.2">
      <c r="A131" s="497">
        <v>42614</v>
      </c>
      <c r="B131" s="479">
        <v>950.75</v>
      </c>
      <c r="C131" s="480">
        <v>23000</v>
      </c>
      <c r="D131" s="489">
        <f t="shared" si="7"/>
        <v>23950.75</v>
      </c>
      <c r="E131" s="480">
        <v>0</v>
      </c>
      <c r="F131" s="486">
        <v>0</v>
      </c>
      <c r="G131" s="486">
        <v>0</v>
      </c>
      <c r="H131" s="486">
        <v>0</v>
      </c>
      <c r="I131" s="586">
        <f t="shared" si="8"/>
        <v>23950.75</v>
      </c>
      <c r="J131" s="587">
        <f t="shared" si="9"/>
        <v>704.88000000000102</v>
      </c>
      <c r="K131" s="520"/>
      <c r="L131" s="515"/>
      <c r="M131" s="515"/>
      <c r="N131" s="515"/>
      <c r="O131" s="515"/>
      <c r="P131" s="515"/>
      <c r="Q131" s="515"/>
      <c r="R131" s="502"/>
      <c r="S131" s="502"/>
      <c r="T131" s="502"/>
      <c r="U131" s="502"/>
      <c r="V131" s="502"/>
      <c r="W131" s="502"/>
      <c r="X131" s="502"/>
      <c r="Y131" s="502"/>
      <c r="Z131" s="502"/>
      <c r="AA131" s="502"/>
    </row>
    <row r="132" spans="1:27" s="501" customFormat="1" ht="15" customHeight="1" x14ac:dyDescent="0.2">
      <c r="A132" s="497">
        <v>42583</v>
      </c>
      <c r="B132" s="479">
        <v>1245.8699999999999</v>
      </c>
      <c r="C132" s="480">
        <v>22000</v>
      </c>
      <c r="D132" s="489">
        <f t="shared" si="7"/>
        <v>23245.87</v>
      </c>
      <c r="E132" s="480">
        <v>0</v>
      </c>
      <c r="F132" s="486">
        <v>0</v>
      </c>
      <c r="G132" s="486">
        <v>0</v>
      </c>
      <c r="H132" s="486">
        <v>0</v>
      </c>
      <c r="I132" s="586">
        <f t="shared" si="8"/>
        <v>23245.87</v>
      </c>
      <c r="J132" s="587">
        <f t="shared" si="9"/>
        <v>596.13999999999942</v>
      </c>
      <c r="K132" s="520"/>
      <c r="L132" s="515"/>
      <c r="M132" s="515"/>
      <c r="N132" s="515"/>
      <c r="O132" s="515"/>
      <c r="P132" s="515"/>
      <c r="Q132" s="515"/>
      <c r="R132" s="502"/>
      <c r="S132" s="502"/>
      <c r="T132" s="502"/>
      <c r="U132" s="502"/>
      <c r="V132" s="502"/>
      <c r="W132" s="502"/>
      <c r="X132" s="502"/>
      <c r="Y132" s="502"/>
      <c r="Z132" s="502"/>
      <c r="AA132" s="502"/>
    </row>
    <row r="133" spans="1:27" s="501" customFormat="1" ht="15" customHeight="1" x14ac:dyDescent="0.2">
      <c r="A133" s="497">
        <v>42552</v>
      </c>
      <c r="B133" s="479">
        <v>1649.73</v>
      </c>
      <c r="C133" s="480">
        <v>21000</v>
      </c>
      <c r="D133" s="489">
        <f t="shared" si="7"/>
        <v>22649.73</v>
      </c>
      <c r="E133" s="480">
        <v>0</v>
      </c>
      <c r="F133" s="486">
        <v>0</v>
      </c>
      <c r="G133" s="486">
        <v>0</v>
      </c>
      <c r="H133" s="486">
        <v>0</v>
      </c>
      <c r="I133" s="586">
        <f t="shared" si="8"/>
        <v>22649.73</v>
      </c>
      <c r="J133" s="587">
        <f t="shared" si="9"/>
        <v>393.04999999999927</v>
      </c>
      <c r="K133" s="520"/>
      <c r="L133" s="515"/>
      <c r="M133" s="515"/>
      <c r="N133" s="515"/>
      <c r="O133" s="515"/>
      <c r="P133" s="515"/>
      <c r="Q133" s="515"/>
      <c r="R133" s="502"/>
      <c r="S133" s="502"/>
      <c r="T133" s="502"/>
      <c r="U133" s="502"/>
      <c r="V133" s="502"/>
      <c r="W133" s="502"/>
      <c r="X133" s="502"/>
      <c r="Y133" s="502"/>
      <c r="Z133" s="502"/>
      <c r="AA133" s="502"/>
    </row>
    <row r="134" spans="1:27" s="501" customFormat="1" ht="15" customHeight="1" x14ac:dyDescent="0.2">
      <c r="A134" s="497">
        <v>42522</v>
      </c>
      <c r="B134" s="479">
        <v>1256.68</v>
      </c>
      <c r="C134" s="480">
        <v>21000</v>
      </c>
      <c r="D134" s="489">
        <f t="shared" si="7"/>
        <v>22256.68</v>
      </c>
      <c r="E134" s="480">
        <v>0</v>
      </c>
      <c r="F134" s="486">
        <v>0</v>
      </c>
      <c r="G134" s="486">
        <v>0</v>
      </c>
      <c r="H134" s="486">
        <v>0</v>
      </c>
      <c r="I134" s="586">
        <f t="shared" si="8"/>
        <v>22256.68</v>
      </c>
      <c r="J134" s="587">
        <f t="shared" si="9"/>
        <v>-181.36999999999898</v>
      </c>
      <c r="K134" s="520"/>
      <c r="L134" s="515"/>
      <c r="M134" s="515"/>
      <c r="N134" s="515"/>
      <c r="O134" s="515"/>
      <c r="P134" s="515"/>
      <c r="Q134" s="515"/>
      <c r="R134" s="502"/>
      <c r="S134" s="502"/>
      <c r="T134" s="502"/>
      <c r="U134" s="502"/>
      <c r="V134" s="502"/>
      <c r="W134" s="502"/>
      <c r="X134" s="502"/>
      <c r="Y134" s="502"/>
      <c r="Z134" s="502"/>
      <c r="AA134" s="502"/>
    </row>
    <row r="135" spans="1:27" s="501" customFormat="1" ht="15" customHeight="1" x14ac:dyDescent="0.2">
      <c r="A135" s="497">
        <v>42491</v>
      </c>
      <c r="B135" s="479">
        <v>2438.0500000000002</v>
      </c>
      <c r="C135" s="480">
        <v>20000</v>
      </c>
      <c r="D135" s="489">
        <f t="shared" si="7"/>
        <v>22438.05</v>
      </c>
      <c r="E135" s="480">
        <v>0</v>
      </c>
      <c r="F135" s="486">
        <v>0</v>
      </c>
      <c r="G135" s="486">
        <v>0</v>
      </c>
      <c r="H135" s="486">
        <v>0</v>
      </c>
      <c r="I135" s="586">
        <f t="shared" si="8"/>
        <v>22438.05</v>
      </c>
      <c r="J135" s="587">
        <f t="shared" si="9"/>
        <v>1610.8199999999997</v>
      </c>
      <c r="K135" s="520"/>
      <c r="L135" s="515"/>
      <c r="M135" s="515"/>
      <c r="N135" s="515"/>
      <c r="O135" s="515"/>
      <c r="P135" s="515"/>
      <c r="Q135" s="515"/>
      <c r="R135" s="502"/>
      <c r="S135" s="502"/>
      <c r="T135" s="502"/>
      <c r="U135" s="502"/>
      <c r="V135" s="502"/>
      <c r="W135" s="502"/>
      <c r="X135" s="502"/>
      <c r="Y135" s="502"/>
      <c r="Z135" s="502"/>
      <c r="AA135" s="502"/>
    </row>
    <row r="136" spans="1:27" s="501" customFormat="1" ht="15" customHeight="1" x14ac:dyDescent="0.2">
      <c r="A136" s="497">
        <v>42461</v>
      </c>
      <c r="B136" s="479">
        <v>2327.23</v>
      </c>
      <c r="C136" s="480">
        <v>18500</v>
      </c>
      <c r="D136" s="489">
        <f t="shared" si="7"/>
        <v>20827.23</v>
      </c>
      <c r="E136" s="480">
        <v>0</v>
      </c>
      <c r="F136" s="486">
        <v>0</v>
      </c>
      <c r="G136" s="486">
        <v>0</v>
      </c>
      <c r="H136" s="486">
        <v>0</v>
      </c>
      <c r="I136" s="586">
        <f t="shared" si="8"/>
        <v>20827.23</v>
      </c>
      <c r="J136" s="587">
        <f t="shared" si="9"/>
        <v>940.59000000000015</v>
      </c>
      <c r="K136" s="520"/>
      <c r="L136" s="515"/>
      <c r="M136" s="515"/>
      <c r="N136" s="515"/>
      <c r="O136" s="515"/>
      <c r="P136" s="515"/>
      <c r="Q136" s="515"/>
      <c r="R136" s="502"/>
      <c r="S136" s="502"/>
      <c r="T136" s="502"/>
      <c r="U136" s="502"/>
      <c r="V136" s="502"/>
      <c r="W136" s="502"/>
      <c r="X136" s="502"/>
      <c r="Y136" s="502"/>
      <c r="Z136" s="502"/>
      <c r="AA136" s="502"/>
    </row>
    <row r="137" spans="1:27" s="501" customFormat="1" ht="15" customHeight="1" x14ac:dyDescent="0.2">
      <c r="A137" s="497">
        <v>42430</v>
      </c>
      <c r="B137" s="479">
        <v>1386.64</v>
      </c>
      <c r="C137" s="480">
        <v>18500</v>
      </c>
      <c r="D137" s="489">
        <f t="shared" si="7"/>
        <v>19886.64</v>
      </c>
      <c r="E137" s="480">
        <v>0</v>
      </c>
      <c r="F137" s="486">
        <v>0</v>
      </c>
      <c r="G137" s="486">
        <v>0</v>
      </c>
      <c r="H137" s="486">
        <v>0</v>
      </c>
      <c r="I137" s="586">
        <f t="shared" si="8"/>
        <v>19886.64</v>
      </c>
      <c r="J137" s="587">
        <f t="shared" si="9"/>
        <v>923.09999999999854</v>
      </c>
      <c r="K137" s="520"/>
      <c r="L137" s="515"/>
      <c r="M137" s="515"/>
      <c r="N137" s="515"/>
      <c r="O137" s="515"/>
      <c r="P137" s="515"/>
      <c r="Q137" s="515"/>
      <c r="R137" s="502"/>
      <c r="S137" s="502"/>
      <c r="T137" s="502"/>
      <c r="U137" s="502"/>
      <c r="V137" s="502"/>
      <c r="W137" s="502"/>
      <c r="X137" s="502"/>
      <c r="Y137" s="502"/>
      <c r="Z137" s="502"/>
      <c r="AA137" s="502"/>
    </row>
    <row r="138" spans="1:27" s="523" customFormat="1" ht="15" customHeight="1" x14ac:dyDescent="0.15">
      <c r="A138" s="497">
        <v>42401</v>
      </c>
      <c r="B138" s="479">
        <v>963.54</v>
      </c>
      <c r="C138" s="480">
        <v>18000</v>
      </c>
      <c r="D138" s="489">
        <f t="shared" si="7"/>
        <v>18963.54</v>
      </c>
      <c r="E138" s="480">
        <v>0</v>
      </c>
      <c r="F138" s="486">
        <v>0</v>
      </c>
      <c r="G138" s="486">
        <v>0</v>
      </c>
      <c r="H138" s="486">
        <v>0</v>
      </c>
      <c r="I138" s="586">
        <f t="shared" si="8"/>
        <v>18963.54</v>
      </c>
      <c r="J138" s="587">
        <f t="shared" si="9"/>
        <v>529.67000000000189</v>
      </c>
      <c r="K138" s="522">
        <f>SUM(J127:J138)</f>
        <v>9425.2000000000007</v>
      </c>
      <c r="L138" s="515"/>
      <c r="M138" s="515"/>
      <c r="N138" s="515"/>
      <c r="O138" s="515"/>
      <c r="P138" s="515"/>
      <c r="Q138" s="515"/>
      <c r="R138" s="502"/>
      <c r="S138" s="502"/>
      <c r="T138" s="502"/>
      <c r="U138" s="502"/>
      <c r="V138" s="502"/>
      <c r="W138" s="502"/>
      <c r="X138" s="502"/>
      <c r="Y138" s="502"/>
      <c r="Z138" s="502"/>
      <c r="AA138" s="502"/>
    </row>
    <row r="139" spans="1:27" s="523" customFormat="1" ht="15" customHeight="1" x14ac:dyDescent="0.15">
      <c r="A139" s="497">
        <v>42370</v>
      </c>
      <c r="B139" s="479">
        <v>933.87</v>
      </c>
      <c r="C139" s="480">
        <v>17500</v>
      </c>
      <c r="D139" s="489">
        <f t="shared" si="7"/>
        <v>18433.87</v>
      </c>
      <c r="E139" s="480">
        <v>0</v>
      </c>
      <c r="F139" s="486">
        <v>0</v>
      </c>
      <c r="G139" s="486">
        <v>0</v>
      </c>
      <c r="H139" s="486">
        <v>0</v>
      </c>
      <c r="I139" s="586">
        <f t="shared" si="8"/>
        <v>18433.87</v>
      </c>
      <c r="J139" s="587">
        <f t="shared" si="9"/>
        <v>468.5</v>
      </c>
      <c r="L139" s="515"/>
      <c r="M139" s="515"/>
      <c r="N139" s="515"/>
      <c r="O139" s="515"/>
      <c r="P139" s="515"/>
      <c r="Q139" s="515"/>
      <c r="R139" s="502"/>
      <c r="S139" s="502"/>
      <c r="T139" s="502"/>
      <c r="U139" s="502"/>
      <c r="V139" s="502"/>
      <c r="W139" s="502"/>
      <c r="X139" s="502"/>
      <c r="Y139" s="502"/>
      <c r="Z139" s="502"/>
      <c r="AA139" s="502"/>
    </row>
    <row r="140" spans="1:27" s="523" customFormat="1" ht="15" customHeight="1" x14ac:dyDescent="0.15">
      <c r="A140" s="497">
        <v>42339</v>
      </c>
      <c r="B140" s="479">
        <v>965.37</v>
      </c>
      <c r="C140" s="480">
        <v>17000</v>
      </c>
      <c r="D140" s="489">
        <f t="shared" si="7"/>
        <v>17965.37</v>
      </c>
      <c r="E140" s="480">
        <v>0</v>
      </c>
      <c r="F140" s="486">
        <v>0</v>
      </c>
      <c r="G140" s="486">
        <v>0</v>
      </c>
      <c r="H140" s="486">
        <v>0</v>
      </c>
      <c r="I140" s="586">
        <f t="shared" si="8"/>
        <v>17965.37</v>
      </c>
      <c r="J140" s="587">
        <f t="shared" si="9"/>
        <v>618.59999999999854</v>
      </c>
      <c r="L140" s="515"/>
      <c r="M140" s="515"/>
      <c r="N140" s="515"/>
      <c r="O140" s="515"/>
      <c r="P140" s="515"/>
      <c r="Q140" s="515"/>
      <c r="R140" s="502"/>
      <c r="S140" s="502"/>
      <c r="T140" s="502"/>
      <c r="U140" s="502"/>
      <c r="V140" s="502"/>
      <c r="W140" s="502"/>
      <c r="X140" s="502"/>
      <c r="Y140" s="502"/>
      <c r="Z140" s="502"/>
      <c r="AA140" s="502"/>
    </row>
    <row r="141" spans="1:27" s="523" customFormat="1" ht="15" customHeight="1" x14ac:dyDescent="0.15">
      <c r="A141" s="497">
        <v>42309</v>
      </c>
      <c r="B141" s="479">
        <v>846.77</v>
      </c>
      <c r="C141" s="480">
        <v>16500</v>
      </c>
      <c r="D141" s="489">
        <f t="shared" si="7"/>
        <v>17346.77</v>
      </c>
      <c r="E141" s="480">
        <v>0</v>
      </c>
      <c r="F141" s="486">
        <v>0</v>
      </c>
      <c r="G141" s="486">
        <v>0</v>
      </c>
      <c r="H141" s="486">
        <v>0</v>
      </c>
      <c r="I141" s="586">
        <f t="shared" si="8"/>
        <v>17346.77</v>
      </c>
      <c r="J141" s="587">
        <f t="shared" si="9"/>
        <v>475.5</v>
      </c>
      <c r="L141" s="515"/>
      <c r="M141" s="515"/>
      <c r="N141" s="515"/>
      <c r="O141" s="515"/>
      <c r="P141" s="515"/>
      <c r="Q141" s="515"/>
      <c r="R141" s="502"/>
      <c r="S141" s="502"/>
      <c r="T141" s="502"/>
      <c r="U141" s="502"/>
      <c r="V141" s="502"/>
      <c r="W141" s="502"/>
      <c r="X141" s="502"/>
      <c r="Y141" s="502"/>
      <c r="Z141" s="502"/>
      <c r="AA141" s="502"/>
    </row>
    <row r="142" spans="1:27" s="523" customFormat="1" ht="15" customHeight="1" x14ac:dyDescent="0.15">
      <c r="A142" s="497">
        <v>42278</v>
      </c>
      <c r="B142" s="479">
        <v>871.27</v>
      </c>
      <c r="C142" s="480">
        <v>16000</v>
      </c>
      <c r="D142" s="489">
        <f t="shared" si="7"/>
        <v>16871.27</v>
      </c>
      <c r="E142" s="480">
        <v>0</v>
      </c>
      <c r="F142" s="486">
        <v>0</v>
      </c>
      <c r="G142" s="486">
        <v>0</v>
      </c>
      <c r="H142" s="486">
        <v>0</v>
      </c>
      <c r="I142" s="586">
        <f t="shared" si="8"/>
        <v>16871.27</v>
      </c>
      <c r="J142" s="587">
        <f t="shared" si="9"/>
        <v>494.76000000000022</v>
      </c>
      <c r="L142" s="515"/>
      <c r="M142" s="515"/>
      <c r="N142" s="515"/>
      <c r="O142" s="515"/>
      <c r="P142" s="515"/>
      <c r="Q142" s="515"/>
      <c r="R142" s="502"/>
      <c r="S142" s="502"/>
      <c r="T142" s="502"/>
      <c r="U142" s="502"/>
      <c r="V142" s="502"/>
      <c r="W142" s="502"/>
      <c r="X142" s="502"/>
      <c r="Y142" s="502"/>
      <c r="Z142" s="502"/>
      <c r="AA142" s="502"/>
    </row>
    <row r="143" spans="1:27" s="523" customFormat="1" ht="15" customHeight="1" x14ac:dyDescent="0.15">
      <c r="A143" s="497">
        <v>42248</v>
      </c>
      <c r="B143" s="479">
        <v>1376.51</v>
      </c>
      <c r="C143" s="480">
        <v>15000</v>
      </c>
      <c r="D143" s="489">
        <f t="shared" si="7"/>
        <v>16376.51</v>
      </c>
      <c r="E143" s="480">
        <v>0</v>
      </c>
      <c r="F143" s="486">
        <v>0</v>
      </c>
      <c r="G143" s="486">
        <v>0</v>
      </c>
      <c r="H143" s="486">
        <v>0</v>
      </c>
      <c r="I143" s="586">
        <f t="shared" si="8"/>
        <v>16376.51</v>
      </c>
      <c r="J143" s="587">
        <f t="shared" si="9"/>
        <v>7.9699999999993452</v>
      </c>
      <c r="L143" s="515"/>
      <c r="M143" s="515"/>
      <c r="N143" s="515"/>
      <c r="O143" s="515"/>
      <c r="P143" s="515"/>
      <c r="Q143" s="515"/>
      <c r="R143" s="502"/>
      <c r="S143" s="502"/>
      <c r="T143" s="502"/>
      <c r="U143" s="502"/>
      <c r="V143" s="502"/>
      <c r="W143" s="502"/>
      <c r="X143" s="502"/>
      <c r="Y143" s="502"/>
      <c r="Z143" s="502"/>
      <c r="AA143" s="502"/>
    </row>
    <row r="144" spans="1:27" s="523" customFormat="1" ht="15" customHeight="1" x14ac:dyDescent="0.15">
      <c r="A144" s="497">
        <v>42217</v>
      </c>
      <c r="B144" s="479">
        <v>1368.54</v>
      </c>
      <c r="C144" s="480">
        <v>15000</v>
      </c>
      <c r="D144" s="489">
        <f t="shared" si="7"/>
        <v>16368.54</v>
      </c>
      <c r="E144" s="480">
        <v>0</v>
      </c>
      <c r="F144" s="486">
        <v>0</v>
      </c>
      <c r="G144" s="486">
        <v>0</v>
      </c>
      <c r="H144" s="486">
        <v>0</v>
      </c>
      <c r="I144" s="586">
        <f t="shared" si="8"/>
        <v>16368.54</v>
      </c>
      <c r="J144" s="587">
        <f t="shared" si="9"/>
        <v>-99.680000000000291</v>
      </c>
      <c r="L144" s="515"/>
      <c r="M144" s="515"/>
      <c r="N144" s="515"/>
      <c r="O144" s="515"/>
      <c r="P144" s="515"/>
      <c r="Q144" s="515"/>
      <c r="R144" s="502"/>
      <c r="S144" s="502"/>
      <c r="T144" s="502"/>
      <c r="U144" s="502"/>
      <c r="V144" s="502"/>
      <c r="W144" s="502"/>
      <c r="X144" s="502"/>
      <c r="Y144" s="502"/>
      <c r="Z144" s="502"/>
      <c r="AA144" s="502"/>
    </row>
    <row r="145" spans="1:27" s="523" customFormat="1" ht="15" customHeight="1" x14ac:dyDescent="0.15">
      <c r="A145" s="497">
        <v>42186</v>
      </c>
      <c r="B145" s="479">
        <v>2468.2199999999998</v>
      </c>
      <c r="C145" s="480">
        <v>14000</v>
      </c>
      <c r="D145" s="489">
        <f t="shared" si="7"/>
        <v>16468.22</v>
      </c>
      <c r="E145" s="480">
        <v>0</v>
      </c>
      <c r="F145" s="486">
        <v>0</v>
      </c>
      <c r="G145" s="486">
        <v>0</v>
      </c>
      <c r="H145" s="486">
        <v>0</v>
      </c>
      <c r="I145" s="586">
        <f t="shared" si="8"/>
        <v>16468.22</v>
      </c>
      <c r="J145" s="587">
        <f t="shared" si="9"/>
        <v>966.8700000000008</v>
      </c>
      <c r="L145" s="515"/>
      <c r="M145" s="515"/>
      <c r="N145" s="515"/>
      <c r="O145" s="515"/>
      <c r="P145" s="515"/>
      <c r="Q145" s="515"/>
      <c r="R145" s="502"/>
      <c r="S145" s="502"/>
      <c r="T145" s="502"/>
      <c r="U145" s="502"/>
      <c r="V145" s="502"/>
      <c r="W145" s="502"/>
      <c r="X145" s="502"/>
      <c r="Y145" s="502"/>
      <c r="Z145" s="502"/>
      <c r="AA145" s="502"/>
    </row>
    <row r="146" spans="1:27" s="523" customFormat="1" ht="15" customHeight="1" x14ac:dyDescent="0.15">
      <c r="A146" s="497">
        <v>42156</v>
      </c>
      <c r="B146" s="479">
        <v>5261.35</v>
      </c>
      <c r="C146" s="480">
        <v>10240</v>
      </c>
      <c r="D146" s="489">
        <f t="shared" si="7"/>
        <v>15501.35</v>
      </c>
      <c r="E146" s="480">
        <v>0</v>
      </c>
      <c r="F146" s="486">
        <v>0</v>
      </c>
      <c r="G146" s="486">
        <v>0</v>
      </c>
      <c r="H146" s="486">
        <v>0</v>
      </c>
      <c r="I146" s="586">
        <f t="shared" si="8"/>
        <v>15501.35</v>
      </c>
      <c r="J146" s="587">
        <f t="shared" si="9"/>
        <v>500.98000000000138</v>
      </c>
      <c r="L146" s="515"/>
      <c r="M146" s="515"/>
      <c r="N146" s="515"/>
      <c r="O146" s="515"/>
      <c r="P146" s="515"/>
      <c r="Q146" s="515"/>
      <c r="R146" s="502"/>
      <c r="S146" s="502"/>
      <c r="T146" s="502"/>
      <c r="U146" s="502"/>
      <c r="V146" s="502"/>
      <c r="W146" s="502"/>
      <c r="X146" s="502"/>
      <c r="Y146" s="502"/>
      <c r="Z146" s="502"/>
      <c r="AA146" s="502"/>
    </row>
    <row r="147" spans="1:27" s="523" customFormat="1" ht="15" customHeight="1" x14ac:dyDescent="0.15">
      <c r="A147" s="497">
        <v>42125</v>
      </c>
      <c r="B147" s="479">
        <v>4710.37</v>
      </c>
      <c r="C147" s="480">
        <v>10290</v>
      </c>
      <c r="D147" s="489">
        <f t="shared" si="7"/>
        <v>15000.369999999999</v>
      </c>
      <c r="E147" s="480">
        <v>0</v>
      </c>
      <c r="F147" s="486">
        <v>0</v>
      </c>
      <c r="G147" s="486">
        <v>0</v>
      </c>
      <c r="H147" s="486">
        <v>0</v>
      </c>
      <c r="I147" s="586">
        <f t="shared" si="8"/>
        <v>15000.369999999999</v>
      </c>
      <c r="J147" s="587">
        <f t="shared" si="9"/>
        <v>522.47999999999956</v>
      </c>
      <c r="L147" s="515"/>
      <c r="M147" s="515"/>
      <c r="N147" s="515"/>
      <c r="O147" s="515"/>
      <c r="P147" s="515"/>
      <c r="Q147" s="515"/>
      <c r="R147" s="502"/>
      <c r="S147" s="502"/>
      <c r="T147" s="502"/>
      <c r="U147" s="502"/>
      <c r="V147" s="502"/>
      <c r="W147" s="502"/>
      <c r="X147" s="502"/>
      <c r="Y147" s="502"/>
      <c r="Z147" s="502"/>
      <c r="AA147" s="502"/>
    </row>
    <row r="148" spans="1:27" s="523" customFormat="1" ht="15" customHeight="1" x14ac:dyDescent="0.15">
      <c r="A148" s="497">
        <v>42095</v>
      </c>
      <c r="B148" s="479">
        <v>4227.8900000000003</v>
      </c>
      <c r="C148" s="480">
        <v>10250</v>
      </c>
      <c r="D148" s="489">
        <f t="shared" si="7"/>
        <v>14477.89</v>
      </c>
      <c r="E148" s="480">
        <v>0</v>
      </c>
      <c r="F148" s="486">
        <v>0</v>
      </c>
      <c r="G148" s="486">
        <v>0</v>
      </c>
      <c r="H148" s="486">
        <v>0</v>
      </c>
      <c r="I148" s="586">
        <f t="shared" si="8"/>
        <v>14477.89</v>
      </c>
      <c r="J148" s="587">
        <f t="shared" si="9"/>
        <v>435.34999999999854</v>
      </c>
      <c r="K148" s="522"/>
      <c r="L148" s="515"/>
      <c r="M148" s="515"/>
      <c r="N148" s="515"/>
      <c r="O148" s="515"/>
      <c r="P148" s="515"/>
      <c r="Q148" s="515"/>
      <c r="R148" s="502"/>
      <c r="S148" s="502"/>
      <c r="T148" s="502"/>
      <c r="U148" s="502"/>
      <c r="V148" s="502"/>
      <c r="W148" s="502"/>
      <c r="X148" s="502"/>
      <c r="Y148" s="502"/>
      <c r="Z148" s="502"/>
      <c r="AA148" s="502"/>
    </row>
    <row r="149" spans="1:27" s="523" customFormat="1" ht="15" customHeight="1" x14ac:dyDescent="0.15">
      <c r="A149" s="497">
        <v>42064</v>
      </c>
      <c r="B149" s="479">
        <v>3832.54</v>
      </c>
      <c r="C149" s="480">
        <v>10210</v>
      </c>
      <c r="D149" s="489">
        <f t="shared" si="7"/>
        <v>14042.54</v>
      </c>
      <c r="E149" s="480">
        <v>0</v>
      </c>
      <c r="F149" s="486">
        <v>0</v>
      </c>
      <c r="G149" s="486">
        <v>0</v>
      </c>
      <c r="H149" s="486">
        <v>0</v>
      </c>
      <c r="I149" s="586">
        <f t="shared" si="8"/>
        <v>14042.54</v>
      </c>
      <c r="J149" s="587">
        <f t="shared" si="9"/>
        <v>533.15000000000146</v>
      </c>
      <c r="L149" s="515"/>
      <c r="M149" s="515"/>
      <c r="N149" s="515"/>
      <c r="O149" s="515"/>
      <c r="P149" s="515"/>
      <c r="Q149" s="515"/>
      <c r="R149" s="502"/>
      <c r="S149" s="502"/>
      <c r="T149" s="502"/>
      <c r="U149" s="502"/>
      <c r="V149" s="502"/>
      <c r="W149" s="502"/>
      <c r="X149" s="502"/>
      <c r="Y149" s="502"/>
      <c r="Z149" s="502"/>
      <c r="AA149" s="502"/>
    </row>
    <row r="150" spans="1:27" s="523" customFormat="1" ht="15" customHeight="1" x14ac:dyDescent="0.15">
      <c r="A150" s="497">
        <v>42036</v>
      </c>
      <c r="B150" s="479">
        <v>3339.39</v>
      </c>
      <c r="C150" s="480">
        <v>10170</v>
      </c>
      <c r="D150" s="489">
        <f t="shared" si="7"/>
        <v>13509.39</v>
      </c>
      <c r="E150" s="480">
        <v>0</v>
      </c>
      <c r="F150" s="486">
        <v>0</v>
      </c>
      <c r="G150" s="486">
        <v>0</v>
      </c>
      <c r="H150" s="486">
        <v>0</v>
      </c>
      <c r="I150" s="586">
        <f t="shared" si="8"/>
        <v>13509.39</v>
      </c>
      <c r="J150" s="587">
        <f t="shared" si="9"/>
        <v>442.93000000000029</v>
      </c>
      <c r="K150" s="524">
        <f>SUM(J139:J150)</f>
        <v>5367.41</v>
      </c>
      <c r="L150" s="515"/>
      <c r="M150" s="515"/>
      <c r="N150" s="515"/>
      <c r="O150" s="515"/>
      <c r="P150" s="515"/>
      <c r="Q150" s="515"/>
      <c r="R150" s="502"/>
      <c r="S150" s="502"/>
      <c r="T150" s="502"/>
      <c r="U150" s="502"/>
      <c r="V150" s="502"/>
      <c r="W150" s="502"/>
      <c r="X150" s="502"/>
      <c r="Y150" s="502"/>
      <c r="Z150" s="502"/>
      <c r="AA150" s="502"/>
    </row>
    <row r="151" spans="1:27" s="523" customFormat="1" ht="15" customHeight="1" x14ac:dyDescent="0.15">
      <c r="A151" s="497">
        <v>42005</v>
      </c>
      <c r="B151" s="479">
        <v>2936.46</v>
      </c>
      <c r="C151" s="480">
        <v>10130</v>
      </c>
      <c r="D151" s="489">
        <f t="shared" ref="D151:D178" si="10">IFERROR(IF(ISBLANK(B151)=FALSE,B151,"")+IF(ISBLANK(C151)=FALSE,C151,""),"")</f>
        <v>13066.46</v>
      </c>
      <c r="E151" s="480">
        <v>0</v>
      </c>
      <c r="F151" s="486">
        <v>0</v>
      </c>
      <c r="G151" s="486">
        <v>0</v>
      </c>
      <c r="H151" s="486">
        <v>0</v>
      </c>
      <c r="I151" s="586">
        <f t="shared" ref="I151:I178" si="11">IFERROR(IF(ISBLANK(D151)=FALSE,D151,"")+IF(ISBLANK(E151)=FALSE,E151,"")+IF(ISBLANK(F151)=FALSE,F151,"")+IF(ISBLANK(G151)=FALSE,G151,"")+IF(ISBLANK(H151)=FALSE,H151,""),"")</f>
        <v>13066.46</v>
      </c>
      <c r="J151" s="587">
        <f t="shared" ref="J151:J177" si="12">IFERROR(IF(ISBLANK(I151)=FALSE,I151-I152,""),"")</f>
        <v>224.56999999999971</v>
      </c>
      <c r="L151" s="515"/>
      <c r="M151" s="515"/>
      <c r="N151" s="515"/>
      <c r="O151" s="515"/>
      <c r="P151" s="515"/>
      <c r="Q151" s="515"/>
      <c r="R151" s="502"/>
      <c r="S151" s="502"/>
      <c r="T151" s="502"/>
      <c r="U151" s="502"/>
      <c r="V151" s="502"/>
      <c r="W151" s="502"/>
      <c r="X151" s="502"/>
      <c r="Y151" s="502"/>
      <c r="Z151" s="502"/>
      <c r="AA151" s="502"/>
    </row>
    <row r="152" spans="1:27" s="523" customFormat="1" ht="15" customHeight="1" x14ac:dyDescent="0.15">
      <c r="A152" s="497">
        <v>41974</v>
      </c>
      <c r="B152" s="481">
        <v>2801.89</v>
      </c>
      <c r="C152" s="482">
        <v>10040</v>
      </c>
      <c r="D152" s="489">
        <f t="shared" si="10"/>
        <v>12841.89</v>
      </c>
      <c r="E152" s="480">
        <v>0</v>
      </c>
      <c r="F152" s="486">
        <v>0</v>
      </c>
      <c r="G152" s="486">
        <v>0</v>
      </c>
      <c r="H152" s="486">
        <v>0</v>
      </c>
      <c r="I152" s="586">
        <f t="shared" si="11"/>
        <v>12841.89</v>
      </c>
      <c r="J152" s="587">
        <f t="shared" si="12"/>
        <v>164.13999999999942</v>
      </c>
      <c r="L152" s="515"/>
      <c r="M152" s="515"/>
      <c r="N152" s="515"/>
      <c r="O152" s="515"/>
      <c r="P152" s="515"/>
      <c r="Q152" s="515"/>
      <c r="R152" s="502"/>
      <c r="S152" s="502"/>
      <c r="T152" s="502"/>
      <c r="U152" s="502"/>
      <c r="V152" s="502"/>
      <c r="W152" s="502"/>
      <c r="X152" s="502"/>
      <c r="Y152" s="502"/>
      <c r="Z152" s="502"/>
      <c r="AA152" s="502"/>
    </row>
    <row r="153" spans="1:27" s="523" customFormat="1" ht="15" customHeight="1" x14ac:dyDescent="0.15">
      <c r="A153" s="497">
        <v>41944</v>
      </c>
      <c r="B153" s="479">
        <v>2677.75</v>
      </c>
      <c r="C153" s="480">
        <v>10000</v>
      </c>
      <c r="D153" s="489">
        <f t="shared" si="10"/>
        <v>12677.75</v>
      </c>
      <c r="E153" s="480">
        <v>0</v>
      </c>
      <c r="F153" s="486">
        <v>0</v>
      </c>
      <c r="G153" s="486">
        <v>0</v>
      </c>
      <c r="H153" s="486">
        <v>0</v>
      </c>
      <c r="I153" s="586">
        <f t="shared" si="11"/>
        <v>12677.75</v>
      </c>
      <c r="J153" s="587">
        <f t="shared" si="12"/>
        <v>159.40999999999985</v>
      </c>
      <c r="L153" s="515"/>
      <c r="M153" s="515"/>
      <c r="N153" s="515"/>
      <c r="O153" s="515"/>
      <c r="P153" s="515"/>
      <c r="Q153" s="515"/>
    </row>
    <row r="154" spans="1:27" s="523" customFormat="1" ht="15" customHeight="1" x14ac:dyDescent="0.15">
      <c r="A154" s="497">
        <v>41913</v>
      </c>
      <c r="B154" s="481">
        <v>2518.34</v>
      </c>
      <c r="C154" s="482">
        <v>10000</v>
      </c>
      <c r="D154" s="489">
        <f t="shared" si="10"/>
        <v>12518.34</v>
      </c>
      <c r="E154" s="480">
        <v>0</v>
      </c>
      <c r="F154" s="486">
        <v>0</v>
      </c>
      <c r="G154" s="486">
        <v>0</v>
      </c>
      <c r="H154" s="486">
        <v>0</v>
      </c>
      <c r="I154" s="586">
        <f t="shared" si="11"/>
        <v>12518.34</v>
      </c>
      <c r="J154" s="587">
        <f t="shared" si="12"/>
        <v>154.89999999999964</v>
      </c>
      <c r="L154" s="515"/>
      <c r="M154" s="515"/>
      <c r="N154" s="515"/>
      <c r="O154" s="515"/>
      <c r="P154" s="515"/>
      <c r="Q154" s="515"/>
    </row>
    <row r="155" spans="1:27" s="523" customFormat="1" ht="15" customHeight="1" x14ac:dyDescent="0.15">
      <c r="A155" s="497">
        <v>41883</v>
      </c>
      <c r="B155" s="479">
        <v>2363.44</v>
      </c>
      <c r="C155" s="480">
        <v>10000</v>
      </c>
      <c r="D155" s="489">
        <f t="shared" si="10"/>
        <v>12363.44</v>
      </c>
      <c r="E155" s="480">
        <v>0</v>
      </c>
      <c r="F155" s="486">
        <v>0</v>
      </c>
      <c r="G155" s="486">
        <v>0</v>
      </c>
      <c r="H155" s="486">
        <v>0</v>
      </c>
      <c r="I155" s="586">
        <f t="shared" si="11"/>
        <v>12363.44</v>
      </c>
      <c r="J155" s="587">
        <f t="shared" si="12"/>
        <v>201.13000000000102</v>
      </c>
      <c r="L155" s="515"/>
      <c r="M155" s="515"/>
      <c r="N155" s="515"/>
      <c r="O155" s="515"/>
      <c r="P155" s="515"/>
      <c r="Q155" s="515"/>
    </row>
    <row r="156" spans="1:27" s="523" customFormat="1" ht="15" customHeight="1" x14ac:dyDescent="0.15">
      <c r="A156" s="497">
        <v>41852</v>
      </c>
      <c r="B156" s="479">
        <v>9025.9599999999991</v>
      </c>
      <c r="C156" s="482">
        <v>3136.35</v>
      </c>
      <c r="D156" s="489">
        <f t="shared" si="10"/>
        <v>12162.31</v>
      </c>
      <c r="E156" s="480">
        <v>0</v>
      </c>
      <c r="F156" s="486">
        <v>0</v>
      </c>
      <c r="G156" s="486">
        <v>0</v>
      </c>
      <c r="H156" s="486">
        <v>0</v>
      </c>
      <c r="I156" s="586">
        <f t="shared" si="11"/>
        <v>12162.31</v>
      </c>
      <c r="J156" s="587">
        <f t="shared" si="12"/>
        <v>208.31999999999789</v>
      </c>
      <c r="L156" s="515"/>
      <c r="M156" s="515"/>
      <c r="N156" s="515"/>
      <c r="O156" s="515"/>
      <c r="P156" s="515"/>
      <c r="Q156" s="515"/>
    </row>
    <row r="157" spans="1:27" s="523" customFormat="1" ht="15" customHeight="1" x14ac:dyDescent="0.15">
      <c r="A157" s="497">
        <v>41821</v>
      </c>
      <c r="B157" s="479">
        <v>9022.94</v>
      </c>
      <c r="C157" s="480">
        <v>2931.05</v>
      </c>
      <c r="D157" s="489">
        <f t="shared" si="10"/>
        <v>11953.990000000002</v>
      </c>
      <c r="E157" s="480">
        <v>0</v>
      </c>
      <c r="F157" s="486">
        <v>0</v>
      </c>
      <c r="G157" s="486">
        <v>0</v>
      </c>
      <c r="H157" s="486">
        <v>0</v>
      </c>
      <c r="I157" s="586">
        <f t="shared" si="11"/>
        <v>11953.990000000002</v>
      </c>
      <c r="J157" s="587">
        <f t="shared" si="12"/>
        <v>694.52000000000044</v>
      </c>
      <c r="L157" s="515"/>
      <c r="M157" s="515"/>
      <c r="N157" s="515"/>
      <c r="O157" s="515"/>
      <c r="P157" s="515"/>
      <c r="Q157" s="515"/>
    </row>
    <row r="158" spans="1:27" s="523" customFormat="1" ht="15" customHeight="1" x14ac:dyDescent="0.15">
      <c r="A158" s="497">
        <v>41791</v>
      </c>
      <c r="B158" s="481">
        <v>9018.42</v>
      </c>
      <c r="C158" s="482">
        <v>2241.0500000000002</v>
      </c>
      <c r="D158" s="489">
        <f t="shared" si="10"/>
        <v>11259.470000000001</v>
      </c>
      <c r="E158" s="480">
        <v>0</v>
      </c>
      <c r="F158" s="486">
        <v>0</v>
      </c>
      <c r="G158" s="486">
        <v>0</v>
      </c>
      <c r="H158" s="486">
        <v>0</v>
      </c>
      <c r="I158" s="586">
        <f t="shared" si="11"/>
        <v>11259.470000000001</v>
      </c>
      <c r="J158" s="587">
        <f t="shared" si="12"/>
        <v>669.07000000000153</v>
      </c>
      <c r="L158" s="515"/>
      <c r="M158" s="515"/>
      <c r="N158" s="515"/>
      <c r="O158" s="515"/>
      <c r="P158" s="515"/>
      <c r="Q158" s="515"/>
    </row>
    <row r="159" spans="1:27" s="523" customFormat="1" ht="15" customHeight="1" x14ac:dyDescent="0.15">
      <c r="A159" s="497">
        <v>41760</v>
      </c>
      <c r="B159" s="479">
        <v>9014.0499999999993</v>
      </c>
      <c r="C159" s="480">
        <v>1576.35</v>
      </c>
      <c r="D159" s="489">
        <f t="shared" si="10"/>
        <v>10590.4</v>
      </c>
      <c r="E159" s="480">
        <v>0</v>
      </c>
      <c r="F159" s="486">
        <v>0</v>
      </c>
      <c r="G159" s="486">
        <v>0</v>
      </c>
      <c r="H159" s="486">
        <v>0</v>
      </c>
      <c r="I159" s="586">
        <f t="shared" si="11"/>
        <v>10590.4</v>
      </c>
      <c r="J159" s="587">
        <f t="shared" si="12"/>
        <v>628.60999999999876</v>
      </c>
      <c r="L159" s="515"/>
      <c r="M159" s="515"/>
      <c r="N159" s="515"/>
      <c r="O159" s="515"/>
      <c r="P159" s="515"/>
      <c r="Q159" s="515"/>
    </row>
    <row r="160" spans="1:27" s="523" customFormat="1" ht="15" customHeight="1" x14ac:dyDescent="0.15">
      <c r="A160" s="497">
        <v>41730</v>
      </c>
      <c r="B160" s="481">
        <v>9009.5300000000007</v>
      </c>
      <c r="C160" s="482">
        <v>952.26</v>
      </c>
      <c r="D160" s="489">
        <f t="shared" si="10"/>
        <v>9961.7900000000009</v>
      </c>
      <c r="E160" s="480">
        <v>0</v>
      </c>
      <c r="F160" s="486">
        <v>0</v>
      </c>
      <c r="G160" s="486">
        <v>0</v>
      </c>
      <c r="H160" s="486">
        <v>0</v>
      </c>
      <c r="I160" s="586">
        <f t="shared" si="11"/>
        <v>9961.7900000000009</v>
      </c>
      <c r="J160" s="587">
        <f t="shared" si="12"/>
        <v>209.86000000000058</v>
      </c>
      <c r="L160" s="515"/>
      <c r="M160" s="515"/>
      <c r="N160" s="515"/>
      <c r="O160" s="515"/>
      <c r="P160" s="515"/>
      <c r="Q160" s="515"/>
    </row>
    <row r="161" spans="1:17" s="523" customFormat="1" ht="15" customHeight="1" x14ac:dyDescent="0.15">
      <c r="A161" s="497">
        <v>41699</v>
      </c>
      <c r="B161" s="479">
        <v>9003.7199999999993</v>
      </c>
      <c r="C161" s="480">
        <v>748.21</v>
      </c>
      <c r="D161" s="489">
        <f t="shared" si="10"/>
        <v>9751.93</v>
      </c>
      <c r="E161" s="480">
        <v>0</v>
      </c>
      <c r="F161" s="486">
        <v>0</v>
      </c>
      <c r="G161" s="486">
        <v>0</v>
      </c>
      <c r="H161" s="486">
        <v>0</v>
      </c>
      <c r="I161" s="586">
        <f t="shared" si="11"/>
        <v>9751.93</v>
      </c>
      <c r="J161" s="587">
        <f t="shared" si="12"/>
        <v>598.32999999999993</v>
      </c>
      <c r="L161" s="515"/>
      <c r="M161" s="515"/>
      <c r="N161" s="515"/>
      <c r="O161" s="515"/>
      <c r="P161" s="515"/>
      <c r="Q161" s="515"/>
    </row>
    <row r="162" spans="1:17" s="523" customFormat="1" ht="15" customHeight="1" x14ac:dyDescent="0.15">
      <c r="A162" s="497">
        <v>41671</v>
      </c>
      <c r="B162" s="481">
        <v>5059.21</v>
      </c>
      <c r="C162" s="482">
        <v>4094.39</v>
      </c>
      <c r="D162" s="489">
        <f t="shared" si="10"/>
        <v>9153.6</v>
      </c>
      <c r="E162" s="480">
        <v>0</v>
      </c>
      <c r="F162" s="486">
        <v>0</v>
      </c>
      <c r="G162" s="486">
        <v>0</v>
      </c>
      <c r="H162" s="486">
        <v>0</v>
      </c>
      <c r="I162" s="586">
        <f t="shared" si="11"/>
        <v>9153.6</v>
      </c>
      <c r="J162" s="587">
        <f t="shared" si="12"/>
        <v>584.42000000000007</v>
      </c>
      <c r="K162" s="524">
        <f>SUM(J151:J162)</f>
        <v>4497.2799999999988</v>
      </c>
      <c r="L162" s="515"/>
      <c r="M162" s="515"/>
      <c r="N162" s="515"/>
      <c r="O162" s="515"/>
      <c r="P162" s="515"/>
      <c r="Q162" s="515"/>
    </row>
    <row r="163" spans="1:17" s="501" customFormat="1" ht="15" customHeight="1" x14ac:dyDescent="0.2">
      <c r="A163" s="497">
        <v>41640</v>
      </c>
      <c r="B163" s="481">
        <v>5056.16</v>
      </c>
      <c r="C163" s="482">
        <v>3513.02</v>
      </c>
      <c r="D163" s="489">
        <f t="shared" si="10"/>
        <v>8569.18</v>
      </c>
      <c r="E163" s="480">
        <v>0</v>
      </c>
      <c r="F163" s="486">
        <v>0</v>
      </c>
      <c r="G163" s="486">
        <v>0</v>
      </c>
      <c r="H163" s="486">
        <v>0</v>
      </c>
      <c r="I163" s="586">
        <f t="shared" si="11"/>
        <v>8569.18</v>
      </c>
      <c r="J163" s="587">
        <f t="shared" si="12"/>
        <v>546.3700000000008</v>
      </c>
      <c r="L163" s="515"/>
      <c r="M163" s="515"/>
      <c r="N163" s="515"/>
      <c r="O163" s="515"/>
      <c r="P163" s="515"/>
      <c r="Q163" s="515"/>
    </row>
    <row r="164" spans="1:17" s="501" customFormat="1" ht="15" customHeight="1" x14ac:dyDescent="0.2">
      <c r="A164" s="497">
        <v>41609</v>
      </c>
      <c r="B164" s="481">
        <v>5052.79</v>
      </c>
      <c r="C164" s="482">
        <v>2970.02</v>
      </c>
      <c r="D164" s="489">
        <f t="shared" si="10"/>
        <v>8022.8099999999995</v>
      </c>
      <c r="E164" s="480">
        <v>0</v>
      </c>
      <c r="F164" s="486">
        <v>0</v>
      </c>
      <c r="G164" s="486">
        <v>0</v>
      </c>
      <c r="H164" s="486">
        <v>0</v>
      </c>
      <c r="I164" s="586">
        <f t="shared" si="11"/>
        <v>8022.8099999999995</v>
      </c>
      <c r="J164" s="587">
        <f t="shared" si="12"/>
        <v>663.95999999999913</v>
      </c>
      <c r="L164" s="515"/>
      <c r="M164" s="515"/>
      <c r="N164" s="515"/>
      <c r="O164" s="515"/>
      <c r="P164" s="515"/>
      <c r="Q164" s="515"/>
    </row>
    <row r="165" spans="1:17" s="501" customFormat="1" ht="15" customHeight="1" x14ac:dyDescent="0.2">
      <c r="A165" s="497">
        <v>41579</v>
      </c>
      <c r="B165" s="481">
        <v>5049.42</v>
      </c>
      <c r="C165" s="482">
        <v>2309.4299999999998</v>
      </c>
      <c r="D165" s="489">
        <f t="shared" si="10"/>
        <v>7358.85</v>
      </c>
      <c r="E165" s="480">
        <v>0</v>
      </c>
      <c r="F165" s="486">
        <v>0</v>
      </c>
      <c r="G165" s="486">
        <v>0</v>
      </c>
      <c r="H165" s="486">
        <v>0</v>
      </c>
      <c r="I165" s="586">
        <f t="shared" si="11"/>
        <v>7358.85</v>
      </c>
      <c r="J165" s="587">
        <f t="shared" si="12"/>
        <v>353.16000000000076</v>
      </c>
      <c r="L165" s="515"/>
      <c r="M165" s="515"/>
      <c r="N165" s="515"/>
      <c r="O165" s="515"/>
      <c r="P165" s="515"/>
      <c r="Q165" s="515"/>
    </row>
    <row r="166" spans="1:17" s="501" customFormat="1" x14ac:dyDescent="0.2">
      <c r="A166" s="497">
        <v>41548</v>
      </c>
      <c r="B166" s="481">
        <v>5046.16</v>
      </c>
      <c r="C166" s="482">
        <v>1959.53</v>
      </c>
      <c r="D166" s="489">
        <f t="shared" si="10"/>
        <v>7005.69</v>
      </c>
      <c r="E166" s="480">
        <v>0</v>
      </c>
      <c r="F166" s="486">
        <v>0</v>
      </c>
      <c r="G166" s="486">
        <v>0</v>
      </c>
      <c r="H166" s="486">
        <v>0</v>
      </c>
      <c r="I166" s="586">
        <f t="shared" si="11"/>
        <v>7005.69</v>
      </c>
      <c r="J166" s="587">
        <f t="shared" si="12"/>
        <v>192.15999999999985</v>
      </c>
    </row>
    <row r="167" spans="1:17" s="501" customFormat="1" x14ac:dyDescent="0.2">
      <c r="A167" s="497">
        <v>41518</v>
      </c>
      <c r="B167" s="481">
        <v>5025</v>
      </c>
      <c r="C167" s="482">
        <v>1788.53</v>
      </c>
      <c r="D167" s="489">
        <f t="shared" si="10"/>
        <v>6813.53</v>
      </c>
      <c r="E167" s="480">
        <v>0</v>
      </c>
      <c r="F167" s="486">
        <v>0</v>
      </c>
      <c r="G167" s="486">
        <v>0</v>
      </c>
      <c r="H167" s="486">
        <v>0</v>
      </c>
      <c r="I167" s="586">
        <f t="shared" si="11"/>
        <v>6813.53</v>
      </c>
      <c r="J167" s="587">
        <f t="shared" si="12"/>
        <v>198.01999999999953</v>
      </c>
    </row>
    <row r="168" spans="1:17" s="501" customFormat="1" x14ac:dyDescent="0.2">
      <c r="A168" s="497">
        <v>41487</v>
      </c>
      <c r="B168" s="481">
        <v>5025</v>
      </c>
      <c r="C168" s="482">
        <v>1590.51</v>
      </c>
      <c r="D168" s="489">
        <f t="shared" si="10"/>
        <v>6615.51</v>
      </c>
      <c r="E168" s="480">
        <v>0</v>
      </c>
      <c r="F168" s="486">
        <v>0</v>
      </c>
      <c r="G168" s="486">
        <v>0</v>
      </c>
      <c r="H168" s="486">
        <v>0</v>
      </c>
      <c r="I168" s="586">
        <f t="shared" si="11"/>
        <v>6615.51</v>
      </c>
      <c r="J168" s="587">
        <f t="shared" si="12"/>
        <v>225.60000000000036</v>
      </c>
    </row>
    <row r="169" spans="1:17" s="501" customFormat="1" x14ac:dyDescent="0.2">
      <c r="A169" s="497">
        <v>41456</v>
      </c>
      <c r="B169" s="481">
        <v>5025</v>
      </c>
      <c r="C169" s="482">
        <v>1364.91</v>
      </c>
      <c r="D169" s="489">
        <f t="shared" si="10"/>
        <v>6389.91</v>
      </c>
      <c r="E169" s="480">
        <v>0</v>
      </c>
      <c r="F169" s="486">
        <v>0</v>
      </c>
      <c r="G169" s="486">
        <v>0</v>
      </c>
      <c r="H169" s="486">
        <v>0</v>
      </c>
      <c r="I169" s="586">
        <f t="shared" si="11"/>
        <v>6389.91</v>
      </c>
      <c r="J169" s="587">
        <f t="shared" si="12"/>
        <v>165</v>
      </c>
    </row>
    <row r="170" spans="1:17" s="501" customFormat="1" x14ac:dyDescent="0.2">
      <c r="A170" s="497">
        <v>41426</v>
      </c>
      <c r="B170" s="481">
        <v>5025</v>
      </c>
      <c r="C170" s="482">
        <v>1199.9100000000001</v>
      </c>
      <c r="D170" s="489">
        <f t="shared" si="10"/>
        <v>6224.91</v>
      </c>
      <c r="E170" s="480">
        <v>0</v>
      </c>
      <c r="F170" s="486">
        <v>0</v>
      </c>
      <c r="G170" s="486">
        <v>0</v>
      </c>
      <c r="H170" s="486">
        <v>0</v>
      </c>
      <c r="I170" s="586">
        <f t="shared" si="11"/>
        <v>6224.91</v>
      </c>
      <c r="J170" s="587">
        <f t="shared" si="12"/>
        <v>-13.480000000000473</v>
      </c>
    </row>
    <row r="171" spans="1:17" s="501" customFormat="1" x14ac:dyDescent="0.2">
      <c r="A171" s="497">
        <v>41395</v>
      </c>
      <c r="B171" s="481">
        <v>5025</v>
      </c>
      <c r="C171" s="482">
        <v>1213.3900000000001</v>
      </c>
      <c r="D171" s="489">
        <f t="shared" si="10"/>
        <v>6238.39</v>
      </c>
      <c r="E171" s="480">
        <v>0</v>
      </c>
      <c r="F171" s="486">
        <v>0</v>
      </c>
      <c r="G171" s="486">
        <v>0</v>
      </c>
      <c r="H171" s="486">
        <v>0</v>
      </c>
      <c r="I171" s="586">
        <f t="shared" si="11"/>
        <v>6238.39</v>
      </c>
      <c r="J171" s="587">
        <f t="shared" si="12"/>
        <v>244</v>
      </c>
    </row>
    <row r="172" spans="1:17" s="501" customFormat="1" x14ac:dyDescent="0.2">
      <c r="A172" s="497">
        <v>41365</v>
      </c>
      <c r="B172" s="481">
        <v>5025</v>
      </c>
      <c r="C172" s="482">
        <v>969.39</v>
      </c>
      <c r="D172" s="489">
        <f t="shared" si="10"/>
        <v>5994.39</v>
      </c>
      <c r="E172" s="480">
        <v>0</v>
      </c>
      <c r="F172" s="486">
        <v>0</v>
      </c>
      <c r="G172" s="486">
        <v>0</v>
      </c>
      <c r="H172" s="486">
        <v>0</v>
      </c>
      <c r="I172" s="586">
        <f t="shared" si="11"/>
        <v>5994.39</v>
      </c>
      <c r="J172" s="587">
        <f t="shared" si="12"/>
        <v>65</v>
      </c>
    </row>
    <row r="173" spans="1:17" s="501" customFormat="1" x14ac:dyDescent="0.2">
      <c r="A173" s="497">
        <v>41334</v>
      </c>
      <c r="B173" s="481">
        <v>5025</v>
      </c>
      <c r="C173" s="482">
        <v>904.39</v>
      </c>
      <c r="D173" s="489">
        <f t="shared" si="10"/>
        <v>5929.39</v>
      </c>
      <c r="E173" s="480">
        <v>0</v>
      </c>
      <c r="F173" s="486">
        <v>0</v>
      </c>
      <c r="G173" s="486">
        <v>0</v>
      </c>
      <c r="H173" s="486">
        <v>0</v>
      </c>
      <c r="I173" s="586">
        <f t="shared" si="11"/>
        <v>5929.39</v>
      </c>
      <c r="J173" s="587">
        <f t="shared" si="12"/>
        <v>205.01000000000022</v>
      </c>
    </row>
    <row r="174" spans="1:17" s="501" customFormat="1" x14ac:dyDescent="0.2">
      <c r="A174" s="497">
        <v>41306</v>
      </c>
      <c r="B174" s="481">
        <v>5025</v>
      </c>
      <c r="C174" s="482">
        <v>699.38</v>
      </c>
      <c r="D174" s="489">
        <f t="shared" si="10"/>
        <v>5724.38</v>
      </c>
      <c r="E174" s="480">
        <v>0</v>
      </c>
      <c r="F174" s="486">
        <v>0</v>
      </c>
      <c r="G174" s="486">
        <v>0</v>
      </c>
      <c r="H174" s="486">
        <v>0</v>
      </c>
      <c r="I174" s="586">
        <f t="shared" si="11"/>
        <v>5724.38</v>
      </c>
      <c r="J174" s="587">
        <f t="shared" si="12"/>
        <v>192.15999999999985</v>
      </c>
    </row>
    <row r="175" spans="1:17" s="501" customFormat="1" x14ac:dyDescent="0.2">
      <c r="A175" s="497">
        <v>41275</v>
      </c>
      <c r="B175" s="481">
        <v>5025</v>
      </c>
      <c r="C175" s="482">
        <v>507.22</v>
      </c>
      <c r="D175" s="489">
        <f t="shared" si="10"/>
        <v>5532.22</v>
      </c>
      <c r="E175" s="480">
        <v>0</v>
      </c>
      <c r="F175" s="486">
        <v>0</v>
      </c>
      <c r="G175" s="486">
        <v>0</v>
      </c>
      <c r="H175" s="486">
        <v>0</v>
      </c>
      <c r="I175" s="586">
        <f t="shared" si="11"/>
        <v>5532.22</v>
      </c>
      <c r="J175" s="587">
        <f t="shared" si="12"/>
        <v>74.289999999999964</v>
      </c>
    </row>
    <row r="176" spans="1:17" s="501" customFormat="1" x14ac:dyDescent="0.2">
      <c r="A176" s="497">
        <v>41244</v>
      </c>
      <c r="B176" s="481">
        <v>5025</v>
      </c>
      <c r="C176" s="482">
        <v>432.93</v>
      </c>
      <c r="D176" s="489">
        <f t="shared" si="10"/>
        <v>5457.93</v>
      </c>
      <c r="E176" s="480">
        <v>0</v>
      </c>
      <c r="F176" s="486">
        <v>0</v>
      </c>
      <c r="G176" s="486">
        <v>0</v>
      </c>
      <c r="H176" s="486">
        <v>0</v>
      </c>
      <c r="I176" s="586">
        <f t="shared" si="11"/>
        <v>5457.93</v>
      </c>
      <c r="J176" s="587">
        <f t="shared" si="12"/>
        <v>-250.09000000000015</v>
      </c>
    </row>
    <row r="177" spans="1:10" s="501" customFormat="1" x14ac:dyDescent="0.2">
      <c r="A177" s="497">
        <v>41214</v>
      </c>
      <c r="B177" s="481">
        <v>5025</v>
      </c>
      <c r="C177" s="482">
        <v>683.02</v>
      </c>
      <c r="D177" s="489">
        <f t="shared" si="10"/>
        <v>5708.02</v>
      </c>
      <c r="E177" s="480">
        <v>0</v>
      </c>
      <c r="F177" s="486">
        <v>0</v>
      </c>
      <c r="G177" s="486">
        <v>0</v>
      </c>
      <c r="H177" s="486">
        <v>0</v>
      </c>
      <c r="I177" s="586">
        <f t="shared" si="11"/>
        <v>5708.02</v>
      </c>
      <c r="J177" s="587">
        <f t="shared" si="12"/>
        <v>-38.509999999999309</v>
      </c>
    </row>
    <row r="178" spans="1:10" s="501" customFormat="1" x14ac:dyDescent="0.2">
      <c r="A178" s="497">
        <v>41183</v>
      </c>
      <c r="B178" s="481">
        <v>4025</v>
      </c>
      <c r="C178" s="482">
        <v>1721.53</v>
      </c>
      <c r="D178" s="489">
        <f t="shared" si="10"/>
        <v>5746.53</v>
      </c>
      <c r="E178" s="480">
        <v>0</v>
      </c>
      <c r="F178" s="486">
        <v>0</v>
      </c>
      <c r="G178" s="486">
        <v>0</v>
      </c>
      <c r="H178" s="486">
        <v>0</v>
      </c>
      <c r="I178" s="586">
        <f t="shared" si="11"/>
        <v>5746.53</v>
      </c>
      <c r="J178" s="588"/>
    </row>
    <row r="179" spans="1:10" s="501" customFormat="1" x14ac:dyDescent="0.2">
      <c r="A179" s="492"/>
      <c r="B179" s="167"/>
      <c r="C179" s="167"/>
      <c r="D179" s="167"/>
      <c r="E179" s="167"/>
      <c r="F179" s="167"/>
      <c r="G179" s="167"/>
      <c r="H179" s="167"/>
      <c r="I179" s="167"/>
      <c r="J179" s="168"/>
    </row>
    <row r="180" spans="1:10" s="501" customFormat="1" x14ac:dyDescent="0.2">
      <c r="A180" s="492"/>
      <c r="B180" s="167"/>
      <c r="C180" s="167"/>
      <c r="D180" s="167"/>
      <c r="E180" s="167"/>
      <c r="F180" s="167"/>
      <c r="G180" s="167"/>
      <c r="H180" s="167"/>
      <c r="I180" s="167"/>
      <c r="J180" s="168"/>
    </row>
    <row r="181" spans="1:10" s="501" customFormat="1" x14ac:dyDescent="0.2">
      <c r="A181" s="492"/>
      <c r="B181" s="167"/>
      <c r="C181" s="167"/>
      <c r="D181" s="167"/>
      <c r="E181" s="167"/>
      <c r="F181" s="167"/>
      <c r="G181" s="167"/>
      <c r="H181" s="167"/>
      <c r="I181" s="167"/>
      <c r="J181" s="168"/>
    </row>
    <row r="182" spans="1:10" s="501" customFormat="1" x14ac:dyDescent="0.2">
      <c r="A182" s="492"/>
      <c r="B182" s="167"/>
      <c r="C182" s="167"/>
      <c r="D182" s="167"/>
      <c r="E182" s="167"/>
      <c r="F182" s="167"/>
      <c r="G182" s="167"/>
      <c r="H182" s="167"/>
      <c r="I182" s="167"/>
      <c r="J182" s="168"/>
    </row>
    <row r="183" spans="1:10" s="501" customFormat="1" x14ac:dyDescent="0.2">
      <c r="A183" s="492"/>
      <c r="B183" s="167"/>
      <c r="C183" s="167"/>
      <c r="D183" s="167"/>
      <c r="E183" s="167"/>
      <c r="F183" s="167"/>
      <c r="G183" s="167"/>
      <c r="H183" s="167"/>
      <c r="I183" s="167"/>
      <c r="J183" s="168"/>
    </row>
    <row r="184" spans="1:10" s="501" customFormat="1" x14ac:dyDescent="0.2">
      <c r="A184" s="492"/>
      <c r="B184" s="167"/>
      <c r="C184" s="167"/>
      <c r="D184" s="167"/>
      <c r="E184" s="167"/>
      <c r="F184" s="167"/>
      <c r="G184" s="167"/>
      <c r="H184" s="167"/>
      <c r="I184" s="167"/>
      <c r="J184" s="168"/>
    </row>
    <row r="185" spans="1:10" s="501" customFormat="1" x14ac:dyDescent="0.2">
      <c r="A185" s="492"/>
      <c r="B185" s="167"/>
      <c r="C185" s="167"/>
      <c r="D185" s="167"/>
      <c r="E185" s="167"/>
      <c r="F185" s="167"/>
      <c r="G185" s="167"/>
      <c r="H185" s="167"/>
      <c r="I185" s="167"/>
      <c r="J185" s="168"/>
    </row>
    <row r="186" spans="1:10" s="501" customFormat="1" x14ac:dyDescent="0.2">
      <c r="A186" s="492"/>
      <c r="B186" s="167"/>
      <c r="C186" s="167"/>
      <c r="D186" s="167"/>
      <c r="E186" s="167"/>
      <c r="F186" s="167"/>
      <c r="G186" s="167"/>
      <c r="H186" s="167"/>
      <c r="I186" s="167"/>
      <c r="J186" s="168"/>
    </row>
    <row r="187" spans="1:10" s="501" customFormat="1" x14ac:dyDescent="0.2">
      <c r="A187" s="492"/>
      <c r="B187" s="167"/>
      <c r="C187" s="167"/>
      <c r="D187" s="167"/>
      <c r="E187" s="167"/>
      <c r="F187" s="167"/>
      <c r="G187" s="167"/>
      <c r="H187" s="167"/>
      <c r="I187" s="167"/>
      <c r="J187" s="168"/>
    </row>
    <row r="188" spans="1:10" s="501" customFormat="1" x14ac:dyDescent="0.2">
      <c r="A188" s="492"/>
      <c r="B188" s="167"/>
      <c r="C188" s="167"/>
      <c r="D188" s="167"/>
      <c r="E188" s="167"/>
      <c r="F188" s="167"/>
      <c r="G188" s="167"/>
      <c r="H188" s="167"/>
      <c r="I188" s="167"/>
      <c r="J188" s="168"/>
    </row>
    <row r="189" spans="1:10" s="501" customFormat="1" x14ac:dyDescent="0.2">
      <c r="A189" s="492"/>
      <c r="B189" s="167"/>
      <c r="C189" s="167"/>
      <c r="D189" s="167"/>
      <c r="E189" s="167"/>
      <c r="F189" s="167"/>
      <c r="G189" s="167"/>
      <c r="H189" s="167"/>
      <c r="I189" s="167"/>
      <c r="J189" s="168"/>
    </row>
    <row r="190" spans="1:10" s="501" customFormat="1" x14ac:dyDescent="0.2">
      <c r="A190" s="492"/>
      <c r="B190" s="167"/>
      <c r="C190" s="167"/>
      <c r="D190" s="167"/>
      <c r="E190" s="167"/>
      <c r="F190" s="167"/>
      <c r="G190" s="167"/>
      <c r="H190" s="167"/>
      <c r="I190" s="167"/>
      <c r="J190" s="168"/>
    </row>
    <row r="191" spans="1:10" s="501" customFormat="1" x14ac:dyDescent="0.2">
      <c r="A191" s="492"/>
      <c r="B191" s="167"/>
      <c r="C191" s="167"/>
      <c r="D191" s="167"/>
      <c r="E191" s="167"/>
      <c r="F191" s="167"/>
      <c r="G191" s="167"/>
      <c r="H191" s="167"/>
      <c r="I191" s="167"/>
      <c r="J191" s="168"/>
    </row>
    <row r="192" spans="1:10" s="501" customFormat="1" x14ac:dyDescent="0.2">
      <c r="A192" s="492"/>
      <c r="B192" s="167"/>
      <c r="C192" s="167"/>
      <c r="D192" s="167"/>
      <c r="E192" s="167"/>
      <c r="F192" s="167"/>
      <c r="G192" s="167"/>
      <c r="H192" s="167"/>
      <c r="I192" s="167"/>
      <c r="J192" s="168"/>
    </row>
    <row r="193" spans="1:10" s="501" customFormat="1" x14ac:dyDescent="0.2">
      <c r="A193" s="492"/>
      <c r="B193" s="167"/>
      <c r="C193" s="167"/>
      <c r="D193" s="167"/>
      <c r="E193" s="167"/>
      <c r="F193" s="167"/>
      <c r="G193" s="167"/>
      <c r="H193" s="167"/>
      <c r="I193" s="167"/>
      <c r="J193" s="168"/>
    </row>
    <row r="194" spans="1:10" s="501" customFormat="1" x14ac:dyDescent="0.2">
      <c r="A194" s="492"/>
      <c r="B194" s="167"/>
      <c r="C194" s="167"/>
      <c r="D194" s="167"/>
      <c r="E194" s="167"/>
      <c r="F194" s="167"/>
      <c r="G194" s="167"/>
      <c r="H194" s="167"/>
      <c r="I194" s="167"/>
      <c r="J194" s="168"/>
    </row>
    <row r="195" spans="1:10" s="501" customFormat="1" x14ac:dyDescent="0.2">
      <c r="A195" s="492"/>
      <c r="B195" s="167"/>
      <c r="C195" s="167"/>
      <c r="D195" s="167"/>
      <c r="E195" s="167"/>
      <c r="F195" s="167"/>
      <c r="G195" s="167"/>
      <c r="H195" s="167"/>
      <c r="I195" s="167"/>
      <c r="J195" s="168"/>
    </row>
    <row r="196" spans="1:10" s="501" customFormat="1" x14ac:dyDescent="0.2">
      <c r="A196" s="492"/>
      <c r="B196" s="167"/>
      <c r="C196" s="167"/>
      <c r="D196" s="167"/>
      <c r="E196" s="167"/>
      <c r="F196" s="167"/>
      <c r="G196" s="167"/>
      <c r="H196" s="167"/>
      <c r="I196" s="167"/>
      <c r="J196" s="168"/>
    </row>
    <row r="197" spans="1:10" s="501" customFormat="1" x14ac:dyDescent="0.2">
      <c r="A197" s="492"/>
      <c r="B197" s="167"/>
      <c r="C197" s="167"/>
      <c r="D197" s="167"/>
      <c r="E197" s="167"/>
      <c r="F197" s="167"/>
      <c r="G197" s="167"/>
      <c r="H197" s="167"/>
      <c r="I197" s="167"/>
      <c r="J197" s="168"/>
    </row>
    <row r="198" spans="1:10" s="501" customFormat="1" x14ac:dyDescent="0.2">
      <c r="A198" s="492"/>
      <c r="B198" s="167"/>
      <c r="C198" s="167"/>
      <c r="D198" s="167"/>
      <c r="E198" s="167"/>
      <c r="F198" s="167"/>
      <c r="G198" s="167"/>
      <c r="H198" s="167"/>
      <c r="I198" s="167"/>
      <c r="J198" s="168"/>
    </row>
    <row r="199" spans="1:10" s="501" customFormat="1" x14ac:dyDescent="0.2">
      <c r="A199" s="492"/>
      <c r="B199" s="167"/>
      <c r="C199" s="167"/>
      <c r="D199" s="167"/>
      <c r="E199" s="167"/>
      <c r="F199" s="167"/>
      <c r="G199" s="167"/>
      <c r="H199" s="167"/>
      <c r="I199" s="167"/>
      <c r="J199" s="168"/>
    </row>
    <row r="200" spans="1:10" s="501" customFormat="1" x14ac:dyDescent="0.2">
      <c r="A200" s="492"/>
      <c r="B200" s="167"/>
      <c r="C200" s="167"/>
      <c r="D200" s="167"/>
      <c r="E200" s="167"/>
      <c r="F200" s="167"/>
      <c r="G200" s="167"/>
      <c r="H200" s="167"/>
      <c r="I200" s="167"/>
      <c r="J200" s="168"/>
    </row>
    <row r="201" spans="1:10" s="501" customFormat="1" x14ac:dyDescent="0.2">
      <c r="A201" s="492"/>
      <c r="B201" s="167"/>
      <c r="C201" s="167"/>
      <c r="D201" s="167"/>
      <c r="E201" s="167"/>
      <c r="F201" s="167"/>
      <c r="G201" s="167"/>
      <c r="H201" s="167"/>
      <c r="I201" s="167"/>
      <c r="J201" s="168"/>
    </row>
    <row r="202" spans="1:10" s="501" customFormat="1" x14ac:dyDescent="0.2">
      <c r="A202" s="492"/>
      <c r="B202" s="167"/>
      <c r="C202" s="167"/>
      <c r="D202" s="167"/>
      <c r="E202" s="167"/>
      <c r="F202" s="167"/>
      <c r="G202" s="167"/>
      <c r="H202" s="167"/>
      <c r="I202" s="167"/>
      <c r="J202" s="168"/>
    </row>
    <row r="203" spans="1:10" s="501" customFormat="1" x14ac:dyDescent="0.2">
      <c r="A203" s="492"/>
      <c r="B203" s="167"/>
      <c r="C203" s="167"/>
      <c r="D203" s="167"/>
      <c r="E203" s="167"/>
      <c r="F203" s="167"/>
      <c r="G203" s="167"/>
      <c r="H203" s="167"/>
      <c r="I203" s="167"/>
      <c r="J203" s="168"/>
    </row>
    <row r="204" spans="1:10" s="501" customFormat="1" x14ac:dyDescent="0.2">
      <c r="A204" s="492"/>
      <c r="B204" s="167"/>
      <c r="C204" s="167"/>
      <c r="D204" s="167"/>
      <c r="E204" s="167"/>
      <c r="F204" s="167"/>
      <c r="G204" s="167"/>
      <c r="H204" s="167"/>
      <c r="I204" s="167"/>
      <c r="J204" s="168"/>
    </row>
    <row r="205" spans="1:10" s="501" customFormat="1" x14ac:dyDescent="0.2">
      <c r="A205" s="492"/>
      <c r="B205" s="167"/>
      <c r="C205" s="167"/>
      <c r="D205" s="167"/>
      <c r="E205" s="167"/>
      <c r="F205" s="167"/>
      <c r="G205" s="167"/>
      <c r="H205" s="167"/>
      <c r="I205" s="167"/>
      <c r="J205" s="168"/>
    </row>
    <row r="206" spans="1:10" s="501" customFormat="1" x14ac:dyDescent="0.2">
      <c r="A206" s="492"/>
      <c r="B206" s="167"/>
      <c r="C206" s="167"/>
      <c r="D206" s="167"/>
      <c r="E206" s="167"/>
      <c r="F206" s="167"/>
      <c r="G206" s="167"/>
      <c r="H206" s="167"/>
      <c r="I206" s="167"/>
      <c r="J206" s="168"/>
    </row>
    <row r="207" spans="1:10" s="501" customFormat="1" x14ac:dyDescent="0.2">
      <c r="A207" s="492"/>
      <c r="B207" s="167"/>
      <c r="C207" s="167"/>
      <c r="D207" s="167"/>
      <c r="E207" s="167"/>
      <c r="F207" s="167"/>
      <c r="G207" s="167"/>
      <c r="H207" s="167"/>
      <c r="I207" s="167"/>
      <c r="J207" s="168"/>
    </row>
    <row r="208" spans="1:10" s="501" customFormat="1" x14ac:dyDescent="0.2">
      <c r="A208" s="492"/>
      <c r="B208" s="167"/>
      <c r="C208" s="167"/>
      <c r="D208" s="167"/>
      <c r="E208" s="167"/>
      <c r="F208" s="167"/>
      <c r="G208" s="167"/>
      <c r="H208" s="167"/>
      <c r="I208" s="167"/>
      <c r="J208" s="168"/>
    </row>
    <row r="209" spans="1:10" s="501" customFormat="1" x14ac:dyDescent="0.2">
      <c r="A209" s="492"/>
      <c r="B209" s="167"/>
      <c r="C209" s="167"/>
      <c r="D209" s="167"/>
      <c r="E209" s="167"/>
      <c r="F209" s="167"/>
      <c r="G209" s="167"/>
      <c r="H209" s="167"/>
      <c r="I209" s="167"/>
      <c r="J209" s="168"/>
    </row>
    <row r="210" spans="1:10" s="501" customFormat="1" x14ac:dyDescent="0.2">
      <c r="A210" s="492"/>
      <c r="B210" s="167"/>
      <c r="C210" s="167"/>
      <c r="D210" s="167"/>
      <c r="E210" s="167"/>
      <c r="F210" s="167"/>
      <c r="G210" s="167"/>
      <c r="H210" s="167"/>
      <c r="I210" s="167"/>
      <c r="J210" s="168"/>
    </row>
    <row r="211" spans="1:10" s="501" customFormat="1" x14ac:dyDescent="0.2">
      <c r="A211" s="492"/>
      <c r="B211" s="167"/>
      <c r="C211" s="167"/>
      <c r="D211" s="167"/>
      <c r="E211" s="167"/>
      <c r="F211" s="167"/>
      <c r="G211" s="167"/>
      <c r="H211" s="167"/>
      <c r="I211" s="167"/>
      <c r="J211" s="168"/>
    </row>
    <row r="212" spans="1:10" s="501" customFormat="1" x14ac:dyDescent="0.2">
      <c r="A212" s="492"/>
      <c r="B212" s="167"/>
      <c r="C212" s="167"/>
      <c r="D212" s="167"/>
      <c r="E212" s="167"/>
      <c r="F212" s="167"/>
      <c r="G212" s="167"/>
      <c r="H212" s="167"/>
      <c r="I212" s="167"/>
      <c r="J212" s="168"/>
    </row>
    <row r="213" spans="1:10" s="501" customFormat="1" x14ac:dyDescent="0.2">
      <c r="A213" s="492"/>
      <c r="B213" s="167"/>
      <c r="C213" s="167"/>
      <c r="D213" s="167"/>
      <c r="E213" s="167"/>
      <c r="F213" s="167"/>
      <c r="G213" s="167"/>
      <c r="H213" s="167"/>
      <c r="I213" s="167"/>
      <c r="J213" s="168"/>
    </row>
    <row r="214" spans="1:10" s="501" customFormat="1" x14ac:dyDescent="0.2">
      <c r="A214" s="492"/>
      <c r="B214" s="167"/>
      <c r="C214" s="167"/>
      <c r="D214" s="167"/>
      <c r="E214" s="167"/>
      <c r="F214" s="167"/>
      <c r="G214" s="167"/>
      <c r="H214" s="167"/>
      <c r="I214" s="167"/>
      <c r="J214" s="168"/>
    </row>
    <row r="215" spans="1:10" s="501" customFormat="1" x14ac:dyDescent="0.2">
      <c r="A215" s="492"/>
      <c r="B215" s="167"/>
      <c r="C215" s="167"/>
      <c r="D215" s="167"/>
      <c r="E215" s="167"/>
      <c r="F215" s="167"/>
      <c r="G215" s="167"/>
      <c r="H215" s="167"/>
      <c r="I215" s="167"/>
      <c r="J215" s="168"/>
    </row>
    <row r="216" spans="1:10" s="501" customFormat="1" x14ac:dyDescent="0.2">
      <c r="A216" s="492"/>
      <c r="B216" s="167"/>
      <c r="C216" s="167"/>
      <c r="D216" s="167"/>
      <c r="E216" s="167"/>
      <c r="F216" s="167"/>
      <c r="G216" s="167"/>
      <c r="H216" s="167"/>
      <c r="I216" s="167"/>
      <c r="J216" s="168"/>
    </row>
    <row r="217" spans="1:10" s="501" customFormat="1" x14ac:dyDescent="0.2">
      <c r="A217" s="492"/>
      <c r="B217" s="167"/>
      <c r="C217" s="167"/>
      <c r="D217" s="167"/>
      <c r="E217" s="167"/>
      <c r="F217" s="167"/>
      <c r="G217" s="167"/>
      <c r="H217" s="167"/>
      <c r="I217" s="167"/>
      <c r="J217" s="168"/>
    </row>
    <row r="218" spans="1:10" s="501" customFormat="1" x14ac:dyDescent="0.2">
      <c r="A218" s="492"/>
      <c r="B218" s="167"/>
      <c r="C218" s="167"/>
      <c r="D218" s="167"/>
      <c r="E218" s="167"/>
      <c r="F218" s="167"/>
      <c r="G218" s="167"/>
      <c r="H218" s="167"/>
      <c r="I218" s="167"/>
      <c r="J218" s="168"/>
    </row>
    <row r="219" spans="1:10" s="501" customFormat="1" x14ac:dyDescent="0.2">
      <c r="A219" s="492"/>
      <c r="B219" s="167"/>
      <c r="C219" s="167"/>
      <c r="D219" s="167"/>
      <c r="E219" s="167"/>
      <c r="F219" s="167"/>
      <c r="G219" s="167"/>
      <c r="H219" s="167"/>
      <c r="I219" s="167"/>
      <c r="J219" s="168"/>
    </row>
    <row r="220" spans="1:10" s="501" customFormat="1" x14ac:dyDescent="0.2">
      <c r="A220" s="492"/>
      <c r="B220" s="167"/>
      <c r="C220" s="167"/>
      <c r="D220" s="167"/>
      <c r="E220" s="167"/>
      <c r="F220" s="167"/>
      <c r="G220" s="167"/>
      <c r="H220" s="167"/>
      <c r="I220" s="167"/>
      <c r="J220" s="168"/>
    </row>
    <row r="221" spans="1:10" s="501" customFormat="1" x14ac:dyDescent="0.2">
      <c r="A221" s="492"/>
      <c r="B221" s="167"/>
      <c r="C221" s="167"/>
      <c r="D221" s="167"/>
      <c r="E221" s="167"/>
      <c r="F221" s="167"/>
      <c r="G221" s="167"/>
      <c r="H221" s="167"/>
      <c r="I221" s="167"/>
      <c r="J221" s="168"/>
    </row>
    <row r="222" spans="1:10" s="501" customFormat="1" x14ac:dyDescent="0.2">
      <c r="A222" s="492"/>
      <c r="B222" s="167"/>
      <c r="C222" s="167"/>
      <c r="D222" s="167"/>
      <c r="E222" s="167"/>
      <c r="F222" s="167"/>
      <c r="G222" s="167"/>
      <c r="H222" s="167"/>
      <c r="I222" s="167"/>
      <c r="J222" s="168"/>
    </row>
    <row r="223" spans="1:10" s="501" customFormat="1" x14ac:dyDescent="0.2">
      <c r="A223" s="492"/>
      <c r="B223" s="167"/>
      <c r="C223" s="167"/>
      <c r="D223" s="167"/>
      <c r="E223" s="167"/>
      <c r="F223" s="167"/>
      <c r="G223" s="167"/>
      <c r="H223" s="167"/>
      <c r="I223" s="167"/>
      <c r="J223" s="168"/>
    </row>
    <row r="224" spans="1:10" s="501" customFormat="1" x14ac:dyDescent="0.2">
      <c r="A224" s="492"/>
      <c r="B224" s="167"/>
      <c r="C224" s="167"/>
      <c r="D224" s="167"/>
      <c r="E224" s="167"/>
      <c r="F224" s="167"/>
      <c r="G224" s="167"/>
      <c r="H224" s="167"/>
      <c r="I224" s="167"/>
      <c r="J224" s="168"/>
    </row>
    <row r="225" spans="1:10" s="501" customFormat="1" x14ac:dyDescent="0.2">
      <c r="A225" s="492"/>
      <c r="B225" s="167"/>
      <c r="C225" s="167"/>
      <c r="D225" s="167"/>
      <c r="E225" s="167"/>
      <c r="F225" s="167"/>
      <c r="G225" s="167"/>
      <c r="H225" s="167"/>
      <c r="I225" s="167"/>
      <c r="J225" s="168"/>
    </row>
    <row r="226" spans="1:10" s="501" customFormat="1" x14ac:dyDescent="0.2">
      <c r="A226" s="492"/>
      <c r="B226" s="167"/>
      <c r="C226" s="167"/>
      <c r="D226" s="167"/>
      <c r="E226" s="167"/>
      <c r="F226" s="167"/>
      <c r="G226" s="167"/>
      <c r="H226" s="167"/>
      <c r="I226" s="167"/>
      <c r="J226" s="168"/>
    </row>
    <row r="227" spans="1:10" s="501" customFormat="1" x14ac:dyDescent="0.2">
      <c r="A227" s="492"/>
      <c r="B227" s="167"/>
      <c r="C227" s="167"/>
      <c r="D227" s="167"/>
      <c r="E227" s="167"/>
      <c r="F227" s="167"/>
      <c r="G227" s="167"/>
      <c r="H227" s="167"/>
      <c r="I227" s="167"/>
      <c r="J227" s="168"/>
    </row>
    <row r="228" spans="1:10" s="501" customFormat="1" x14ac:dyDescent="0.2">
      <c r="A228" s="492"/>
      <c r="B228" s="167"/>
      <c r="C228" s="167"/>
      <c r="D228" s="167"/>
      <c r="E228" s="167"/>
      <c r="F228" s="167"/>
      <c r="G228" s="167"/>
      <c r="H228" s="167"/>
      <c r="I228" s="167"/>
      <c r="J228" s="168"/>
    </row>
    <row r="229" spans="1:10" s="501" customFormat="1" x14ac:dyDescent="0.2">
      <c r="A229" s="492"/>
      <c r="B229" s="167"/>
      <c r="C229" s="167"/>
      <c r="D229" s="167"/>
      <c r="E229" s="167"/>
      <c r="F229" s="167"/>
      <c r="G229" s="167"/>
      <c r="H229" s="167"/>
      <c r="I229" s="167"/>
      <c r="J229" s="168"/>
    </row>
    <row r="230" spans="1:10" s="501" customFormat="1" x14ac:dyDescent="0.2">
      <c r="A230" s="492"/>
      <c r="B230" s="167"/>
      <c r="C230" s="167"/>
      <c r="D230" s="167"/>
      <c r="E230" s="167"/>
      <c r="F230" s="167"/>
      <c r="G230" s="167"/>
      <c r="H230" s="167"/>
      <c r="I230" s="167"/>
      <c r="J230" s="168"/>
    </row>
    <row r="231" spans="1:10" s="501" customFormat="1" x14ac:dyDescent="0.2">
      <c r="A231" s="492"/>
      <c r="B231" s="167"/>
      <c r="C231" s="167"/>
      <c r="D231" s="167"/>
      <c r="E231" s="167"/>
      <c r="F231" s="167"/>
      <c r="G231" s="167"/>
      <c r="H231" s="167"/>
      <c r="I231" s="167"/>
      <c r="J231" s="168"/>
    </row>
    <row r="232" spans="1:10" s="501" customFormat="1" x14ac:dyDescent="0.2">
      <c r="A232" s="492"/>
      <c r="B232" s="167"/>
      <c r="C232" s="167"/>
      <c r="D232" s="167"/>
      <c r="E232" s="167"/>
      <c r="F232" s="167"/>
      <c r="G232" s="167"/>
      <c r="H232" s="167"/>
      <c r="I232" s="167"/>
      <c r="J232" s="168"/>
    </row>
    <row r="233" spans="1:10" s="501" customFormat="1" x14ac:dyDescent="0.2">
      <c r="A233" s="492"/>
      <c r="B233" s="167"/>
      <c r="C233" s="167"/>
      <c r="D233" s="167"/>
      <c r="E233" s="167"/>
      <c r="F233" s="167"/>
      <c r="G233" s="167"/>
      <c r="H233" s="167"/>
      <c r="I233" s="167"/>
      <c r="J233" s="168"/>
    </row>
    <row r="234" spans="1:10" s="501" customFormat="1" x14ac:dyDescent="0.2">
      <c r="A234" s="492"/>
      <c r="B234" s="167"/>
      <c r="C234" s="167"/>
      <c r="D234" s="167"/>
      <c r="E234" s="167"/>
      <c r="F234" s="167"/>
      <c r="G234" s="167"/>
      <c r="H234" s="167"/>
      <c r="I234" s="167"/>
      <c r="J234" s="168"/>
    </row>
    <row r="235" spans="1:10" s="501" customFormat="1" x14ac:dyDescent="0.2">
      <c r="A235" s="492"/>
      <c r="B235" s="167"/>
      <c r="C235" s="167"/>
      <c r="D235" s="167"/>
      <c r="E235" s="167"/>
      <c r="F235" s="167"/>
      <c r="G235" s="167"/>
      <c r="H235" s="167"/>
      <c r="I235" s="167"/>
      <c r="J235" s="168"/>
    </row>
    <row r="236" spans="1:10" s="501" customFormat="1" x14ac:dyDescent="0.2">
      <c r="A236" s="492"/>
      <c r="B236" s="167"/>
      <c r="C236" s="167"/>
      <c r="D236" s="167"/>
      <c r="E236" s="167"/>
      <c r="F236" s="167"/>
      <c r="G236" s="167"/>
      <c r="H236" s="167"/>
      <c r="I236" s="167"/>
      <c r="J236" s="168"/>
    </row>
    <row r="237" spans="1:10" s="501" customFormat="1" x14ac:dyDescent="0.2">
      <c r="A237" s="492"/>
      <c r="B237" s="167"/>
      <c r="C237" s="167"/>
      <c r="D237" s="167"/>
      <c r="E237" s="167"/>
      <c r="F237" s="167"/>
      <c r="G237" s="167"/>
      <c r="H237" s="167"/>
      <c r="I237" s="167"/>
      <c r="J237" s="168"/>
    </row>
    <row r="238" spans="1:10" s="501" customFormat="1" x14ac:dyDescent="0.2">
      <c r="A238" s="492"/>
      <c r="B238" s="167"/>
      <c r="C238" s="167"/>
      <c r="D238" s="167"/>
      <c r="E238" s="167"/>
      <c r="F238" s="167"/>
      <c r="G238" s="167"/>
      <c r="H238" s="167"/>
      <c r="I238" s="167"/>
      <c r="J238" s="168"/>
    </row>
    <row r="239" spans="1:10" s="501" customFormat="1" x14ac:dyDescent="0.2">
      <c r="A239" s="492"/>
      <c r="B239" s="167"/>
      <c r="C239" s="167"/>
      <c r="D239" s="167"/>
      <c r="E239" s="167"/>
      <c r="F239" s="167"/>
      <c r="G239" s="167"/>
      <c r="H239" s="167"/>
      <c r="I239" s="167"/>
      <c r="J239" s="168"/>
    </row>
    <row r="240" spans="1:10" s="501" customFormat="1" x14ac:dyDescent="0.2">
      <c r="A240" s="492"/>
      <c r="B240" s="167"/>
      <c r="C240" s="167"/>
      <c r="D240" s="167"/>
      <c r="E240" s="167"/>
      <c r="F240" s="167"/>
      <c r="G240" s="167"/>
      <c r="H240" s="167"/>
      <c r="I240" s="167"/>
      <c r="J240" s="168"/>
    </row>
    <row r="241" spans="1:10" s="501" customFormat="1" x14ac:dyDescent="0.2">
      <c r="A241" s="492"/>
      <c r="B241" s="167"/>
      <c r="C241" s="167"/>
      <c r="D241" s="167"/>
      <c r="E241" s="167"/>
      <c r="F241" s="167"/>
      <c r="G241" s="167"/>
      <c r="H241" s="167"/>
      <c r="I241" s="167"/>
      <c r="J241" s="168"/>
    </row>
    <row r="242" spans="1:10" s="501" customFormat="1" x14ac:dyDescent="0.2">
      <c r="A242" s="492"/>
      <c r="B242" s="167"/>
      <c r="C242" s="167"/>
      <c r="D242" s="167"/>
      <c r="E242" s="167"/>
      <c r="F242" s="167"/>
      <c r="G242" s="167"/>
      <c r="H242" s="167"/>
      <c r="I242" s="167"/>
      <c r="J242" s="168"/>
    </row>
    <row r="243" spans="1:10" s="501" customFormat="1" x14ac:dyDescent="0.2">
      <c r="A243" s="492"/>
      <c r="B243" s="167"/>
      <c r="C243" s="167"/>
      <c r="D243" s="167"/>
      <c r="E243" s="167"/>
      <c r="F243" s="167"/>
      <c r="G243" s="167"/>
      <c r="H243" s="167"/>
      <c r="I243" s="167"/>
      <c r="J243" s="168"/>
    </row>
    <row r="244" spans="1:10" s="501" customFormat="1" x14ac:dyDescent="0.2">
      <c r="A244" s="492"/>
      <c r="B244" s="167"/>
      <c r="C244" s="167"/>
      <c r="D244" s="167"/>
      <c r="E244" s="167"/>
      <c r="F244" s="167"/>
      <c r="G244" s="167"/>
      <c r="H244" s="167"/>
      <c r="I244" s="167"/>
      <c r="J244" s="168"/>
    </row>
    <row r="245" spans="1:10" s="501" customFormat="1" x14ac:dyDescent="0.2">
      <c r="A245" s="492"/>
      <c r="B245" s="167"/>
      <c r="C245" s="167"/>
      <c r="D245" s="167"/>
      <c r="E245" s="167"/>
      <c r="F245" s="167"/>
      <c r="G245" s="167"/>
      <c r="H245" s="167"/>
      <c r="I245" s="167"/>
      <c r="J245" s="168"/>
    </row>
    <row r="246" spans="1:10" s="501" customFormat="1" x14ac:dyDescent="0.2">
      <c r="A246" s="492"/>
      <c r="B246" s="167"/>
      <c r="C246" s="167"/>
      <c r="D246" s="167"/>
      <c r="E246" s="167"/>
      <c r="F246" s="167"/>
      <c r="G246" s="167"/>
      <c r="H246" s="167"/>
      <c r="I246" s="167"/>
      <c r="J246" s="168"/>
    </row>
    <row r="247" spans="1:10" s="501" customFormat="1" x14ac:dyDescent="0.2">
      <c r="A247" s="492"/>
      <c r="B247" s="167"/>
      <c r="C247" s="167"/>
      <c r="D247" s="167"/>
      <c r="E247" s="167"/>
      <c r="F247" s="167"/>
      <c r="G247" s="167"/>
      <c r="H247" s="167"/>
      <c r="I247" s="167"/>
      <c r="J247" s="168"/>
    </row>
    <row r="248" spans="1:10" s="501" customFormat="1" x14ac:dyDescent="0.2">
      <c r="A248" s="492"/>
      <c r="B248" s="167"/>
      <c r="C248" s="167"/>
      <c r="D248" s="167"/>
      <c r="E248" s="167"/>
      <c r="F248" s="167"/>
      <c r="G248" s="167"/>
      <c r="H248" s="167"/>
      <c r="I248" s="167"/>
      <c r="J248" s="168"/>
    </row>
    <row r="249" spans="1:10" s="501" customFormat="1" x14ac:dyDescent="0.2">
      <c r="A249" s="492"/>
      <c r="B249" s="167"/>
      <c r="C249" s="167"/>
      <c r="D249" s="167"/>
      <c r="E249" s="167"/>
      <c r="F249" s="167"/>
      <c r="G249" s="167"/>
      <c r="H249" s="167"/>
      <c r="I249" s="167"/>
      <c r="J249" s="168"/>
    </row>
    <row r="250" spans="1:10" s="501" customFormat="1" x14ac:dyDescent="0.2">
      <c r="A250" s="492"/>
      <c r="B250" s="167"/>
      <c r="C250" s="167"/>
      <c r="D250" s="167"/>
      <c r="E250" s="167"/>
      <c r="F250" s="167"/>
      <c r="G250" s="167"/>
      <c r="H250" s="167"/>
      <c r="I250" s="167"/>
      <c r="J250" s="168"/>
    </row>
    <row r="251" spans="1:10" s="501" customFormat="1" x14ac:dyDescent="0.2">
      <c r="A251" s="492"/>
      <c r="B251" s="167"/>
      <c r="C251" s="167"/>
      <c r="D251" s="167"/>
      <c r="E251" s="167"/>
      <c r="F251" s="167"/>
      <c r="G251" s="167"/>
      <c r="H251" s="167"/>
      <c r="I251" s="167"/>
      <c r="J251" s="168"/>
    </row>
    <row r="252" spans="1:10" s="501" customFormat="1" x14ac:dyDescent="0.2">
      <c r="A252" s="492"/>
      <c r="B252" s="167"/>
      <c r="C252" s="167"/>
      <c r="D252" s="167"/>
      <c r="E252" s="167"/>
      <c r="F252" s="167"/>
      <c r="G252" s="167"/>
      <c r="H252" s="167"/>
      <c r="I252" s="167"/>
      <c r="J252" s="168"/>
    </row>
    <row r="253" spans="1:10" s="501" customFormat="1" x14ac:dyDescent="0.2">
      <c r="A253" s="492"/>
      <c r="B253" s="167"/>
      <c r="C253" s="167"/>
      <c r="D253" s="167"/>
      <c r="E253" s="167"/>
      <c r="F253" s="167"/>
      <c r="G253" s="167"/>
      <c r="H253" s="167"/>
      <c r="I253" s="167"/>
      <c r="J253" s="168"/>
    </row>
    <row r="254" spans="1:10" s="501" customFormat="1" x14ac:dyDescent="0.2">
      <c r="A254" s="492"/>
      <c r="B254" s="167"/>
      <c r="C254" s="167"/>
      <c r="D254" s="167"/>
      <c r="E254" s="167"/>
      <c r="F254" s="167"/>
      <c r="G254" s="167"/>
      <c r="H254" s="167"/>
      <c r="I254" s="167"/>
      <c r="J254" s="168"/>
    </row>
    <row r="255" spans="1:10" s="501" customFormat="1" x14ac:dyDescent="0.2">
      <c r="A255" s="492"/>
      <c r="B255" s="167"/>
      <c r="C255" s="167"/>
      <c r="D255" s="167"/>
      <c r="E255" s="167"/>
      <c r="F255" s="167"/>
      <c r="G255" s="167"/>
      <c r="H255" s="167"/>
      <c r="I255" s="167"/>
      <c r="J255" s="168"/>
    </row>
    <row r="256" spans="1:10" s="501" customFormat="1" x14ac:dyDescent="0.2">
      <c r="A256" s="492"/>
      <c r="B256" s="167"/>
      <c r="C256" s="167"/>
      <c r="D256" s="167"/>
      <c r="E256" s="167"/>
      <c r="F256" s="167"/>
      <c r="G256" s="167"/>
      <c r="H256" s="167"/>
      <c r="I256" s="167"/>
      <c r="J256" s="168"/>
    </row>
    <row r="257" spans="1:10" s="501" customFormat="1" x14ac:dyDescent="0.2">
      <c r="A257" s="492"/>
      <c r="B257" s="167"/>
      <c r="C257" s="167"/>
      <c r="D257" s="167"/>
      <c r="E257" s="167"/>
      <c r="F257" s="167"/>
      <c r="G257" s="167"/>
      <c r="H257" s="167"/>
      <c r="I257" s="167"/>
      <c r="J257" s="168"/>
    </row>
    <row r="258" spans="1:10" s="501" customFormat="1" x14ac:dyDescent="0.2">
      <c r="A258" s="492"/>
      <c r="B258" s="167"/>
      <c r="C258" s="167"/>
      <c r="D258" s="167"/>
      <c r="E258" s="167"/>
      <c r="F258" s="167"/>
      <c r="G258" s="167"/>
      <c r="H258" s="167"/>
      <c r="I258" s="167"/>
      <c r="J258" s="168"/>
    </row>
    <row r="259" spans="1:10" s="501" customFormat="1" x14ac:dyDescent="0.2">
      <c r="A259" s="492"/>
      <c r="B259" s="167"/>
      <c r="C259" s="167"/>
      <c r="D259" s="167"/>
      <c r="E259" s="167"/>
      <c r="F259" s="167"/>
      <c r="G259" s="167"/>
      <c r="H259" s="167"/>
      <c r="I259" s="167"/>
      <c r="J259" s="168"/>
    </row>
    <row r="260" spans="1:10" s="501" customFormat="1" x14ac:dyDescent="0.2">
      <c r="A260" s="492"/>
      <c r="B260" s="167"/>
      <c r="C260" s="167"/>
      <c r="D260" s="167"/>
      <c r="E260" s="167"/>
      <c r="F260" s="167"/>
      <c r="G260" s="167"/>
      <c r="H260" s="167"/>
      <c r="I260" s="167"/>
      <c r="J260" s="168"/>
    </row>
    <row r="261" spans="1:10" s="501" customFormat="1" x14ac:dyDescent="0.2">
      <c r="A261" s="492"/>
      <c r="B261" s="167"/>
      <c r="C261" s="167"/>
      <c r="D261" s="167"/>
      <c r="E261" s="167"/>
      <c r="F261" s="167"/>
      <c r="G261" s="167"/>
      <c r="H261" s="167"/>
      <c r="I261" s="167"/>
      <c r="J261" s="168"/>
    </row>
    <row r="262" spans="1:10" s="501" customFormat="1" x14ac:dyDescent="0.2">
      <c r="A262" s="492"/>
      <c r="B262" s="167"/>
      <c r="C262" s="167"/>
      <c r="D262" s="167"/>
      <c r="E262" s="167"/>
      <c r="F262" s="167"/>
      <c r="G262" s="167"/>
      <c r="H262" s="167"/>
      <c r="I262" s="167"/>
      <c r="J262" s="168"/>
    </row>
    <row r="263" spans="1:10" s="501" customFormat="1" x14ac:dyDescent="0.2">
      <c r="A263" s="492"/>
      <c r="B263" s="167"/>
      <c r="C263" s="167"/>
      <c r="D263" s="167"/>
      <c r="E263" s="167"/>
      <c r="F263" s="167"/>
      <c r="G263" s="167"/>
      <c r="H263" s="167"/>
      <c r="I263" s="167"/>
      <c r="J263" s="168"/>
    </row>
    <row r="264" spans="1:10" s="501" customFormat="1" x14ac:dyDescent="0.2">
      <c r="A264" s="492"/>
      <c r="B264" s="167"/>
      <c r="C264" s="167"/>
      <c r="D264" s="167"/>
      <c r="E264" s="167"/>
      <c r="F264" s="167"/>
      <c r="G264" s="167"/>
      <c r="H264" s="167"/>
      <c r="I264" s="167"/>
      <c r="J264" s="168"/>
    </row>
    <row r="265" spans="1:10" s="501" customFormat="1" x14ac:dyDescent="0.2">
      <c r="A265" s="492"/>
      <c r="B265" s="167"/>
      <c r="C265" s="167"/>
      <c r="D265" s="167"/>
      <c r="E265" s="167"/>
      <c r="F265" s="167"/>
      <c r="G265" s="167"/>
      <c r="H265" s="167"/>
      <c r="I265" s="167"/>
      <c r="J265" s="168"/>
    </row>
    <row r="266" spans="1:10" s="501" customFormat="1" x14ac:dyDescent="0.2">
      <c r="A266" s="492"/>
      <c r="B266" s="167"/>
      <c r="C266" s="167"/>
      <c r="D266" s="167"/>
      <c r="E266" s="167"/>
      <c r="F266" s="167"/>
      <c r="G266" s="167"/>
      <c r="H266" s="167"/>
      <c r="I266" s="167"/>
      <c r="J266" s="168"/>
    </row>
    <row r="267" spans="1:10" s="501" customFormat="1" x14ac:dyDescent="0.2">
      <c r="A267" s="492"/>
      <c r="B267" s="167"/>
      <c r="C267" s="167"/>
      <c r="D267" s="167"/>
      <c r="E267" s="167"/>
      <c r="F267" s="167"/>
      <c r="G267" s="167"/>
      <c r="H267" s="167"/>
      <c r="I267" s="167"/>
      <c r="J267" s="168"/>
    </row>
    <row r="268" spans="1:10" s="501" customFormat="1" x14ac:dyDescent="0.2">
      <c r="A268" s="492"/>
      <c r="B268" s="167"/>
      <c r="C268" s="167"/>
      <c r="D268" s="167"/>
      <c r="E268" s="167"/>
      <c r="F268" s="167"/>
      <c r="G268" s="167"/>
      <c r="H268" s="167"/>
      <c r="I268" s="167"/>
      <c r="J268" s="168"/>
    </row>
    <row r="269" spans="1:10" s="501" customFormat="1" x14ac:dyDescent="0.2">
      <c r="A269" s="492"/>
      <c r="B269" s="167"/>
      <c r="C269" s="167"/>
      <c r="D269" s="167"/>
      <c r="E269" s="167"/>
      <c r="F269" s="167"/>
      <c r="G269" s="167"/>
      <c r="H269" s="167"/>
      <c r="I269" s="167"/>
      <c r="J269" s="168"/>
    </row>
    <row r="270" spans="1:10" s="501" customFormat="1" x14ac:dyDescent="0.2">
      <c r="A270" s="492"/>
      <c r="B270" s="167"/>
      <c r="C270" s="167"/>
      <c r="D270" s="167"/>
      <c r="E270" s="167"/>
      <c r="F270" s="167"/>
      <c r="G270" s="167"/>
      <c r="H270" s="167"/>
      <c r="I270" s="167"/>
      <c r="J270" s="168"/>
    </row>
    <row r="271" spans="1:10" s="501" customFormat="1" x14ac:dyDescent="0.2">
      <c r="A271" s="492"/>
      <c r="B271" s="167"/>
      <c r="C271" s="167"/>
      <c r="D271" s="167"/>
      <c r="E271" s="167"/>
      <c r="F271" s="167"/>
      <c r="G271" s="167"/>
      <c r="H271" s="167"/>
      <c r="I271" s="167"/>
      <c r="J271" s="168"/>
    </row>
    <row r="272" spans="1:10" s="501" customFormat="1" x14ac:dyDescent="0.2">
      <c r="A272" s="492"/>
      <c r="B272" s="167"/>
      <c r="C272" s="167"/>
      <c r="D272" s="167"/>
      <c r="E272" s="167"/>
      <c r="F272" s="167"/>
      <c r="G272" s="167"/>
      <c r="H272" s="167"/>
      <c r="I272" s="167"/>
      <c r="J272" s="168"/>
    </row>
    <row r="273" spans="1:10" s="501" customFormat="1" x14ac:dyDescent="0.2">
      <c r="A273" s="492"/>
      <c r="B273" s="167"/>
      <c r="C273" s="167"/>
      <c r="D273" s="167"/>
      <c r="E273" s="167"/>
      <c r="F273" s="167"/>
      <c r="G273" s="167"/>
      <c r="H273" s="167"/>
      <c r="I273" s="167"/>
      <c r="J273" s="168"/>
    </row>
    <row r="274" spans="1:10" s="501" customFormat="1" x14ac:dyDescent="0.2">
      <c r="A274" s="492"/>
      <c r="B274" s="167"/>
      <c r="C274" s="167"/>
      <c r="D274" s="167"/>
      <c r="E274" s="167"/>
      <c r="F274" s="167"/>
      <c r="G274" s="167"/>
      <c r="H274" s="167"/>
      <c r="I274" s="167"/>
      <c r="J274" s="168"/>
    </row>
    <row r="275" spans="1:10" s="501" customFormat="1" x14ac:dyDescent="0.2">
      <c r="A275" s="492"/>
      <c r="B275" s="167"/>
      <c r="C275" s="167"/>
      <c r="D275" s="167"/>
      <c r="E275" s="167"/>
      <c r="F275" s="167"/>
      <c r="G275" s="167"/>
      <c r="H275" s="167"/>
      <c r="I275" s="167"/>
      <c r="J275" s="168"/>
    </row>
    <row r="276" spans="1:10" s="501" customFormat="1" x14ac:dyDescent="0.2">
      <c r="A276" s="492"/>
      <c r="B276" s="167"/>
      <c r="C276" s="167"/>
      <c r="D276" s="167"/>
      <c r="E276" s="167"/>
      <c r="F276" s="167"/>
      <c r="G276" s="167"/>
      <c r="H276" s="167"/>
      <c r="I276" s="167"/>
      <c r="J276" s="168"/>
    </row>
    <row r="277" spans="1:10" s="501" customFormat="1" x14ac:dyDescent="0.2">
      <c r="A277" s="492"/>
      <c r="B277" s="167"/>
      <c r="C277" s="167"/>
      <c r="D277" s="167"/>
      <c r="E277" s="167"/>
      <c r="F277" s="167"/>
      <c r="G277" s="167"/>
      <c r="H277" s="167"/>
      <c r="I277" s="167"/>
      <c r="J277" s="168"/>
    </row>
    <row r="278" spans="1:10" s="501" customFormat="1" x14ac:dyDescent="0.2">
      <c r="A278" s="492"/>
      <c r="B278" s="167"/>
      <c r="C278" s="167"/>
      <c r="D278" s="167"/>
      <c r="E278" s="167"/>
      <c r="F278" s="167"/>
      <c r="G278" s="167"/>
      <c r="H278" s="167"/>
      <c r="I278" s="167"/>
      <c r="J278" s="168"/>
    </row>
    <row r="279" spans="1:10" s="501" customFormat="1" x14ac:dyDescent="0.2">
      <c r="A279" s="492"/>
      <c r="B279" s="167"/>
      <c r="C279" s="167"/>
      <c r="D279" s="167"/>
      <c r="E279" s="167"/>
      <c r="F279" s="167"/>
      <c r="G279" s="167"/>
      <c r="H279" s="167"/>
      <c r="I279" s="167"/>
      <c r="J279" s="168"/>
    </row>
    <row r="280" spans="1:10" s="501" customFormat="1" x14ac:dyDescent="0.2">
      <c r="A280" s="492"/>
      <c r="B280" s="167"/>
      <c r="C280" s="167"/>
      <c r="D280" s="167"/>
      <c r="E280" s="167"/>
      <c r="F280" s="167"/>
      <c r="G280" s="167"/>
      <c r="H280" s="167"/>
      <c r="I280" s="167"/>
      <c r="J280" s="168"/>
    </row>
    <row r="281" spans="1:10" s="501" customFormat="1" x14ac:dyDescent="0.2">
      <c r="A281" s="492"/>
      <c r="B281" s="167"/>
      <c r="C281" s="167"/>
      <c r="D281" s="167"/>
      <c r="E281" s="167"/>
      <c r="F281" s="167"/>
      <c r="G281" s="167"/>
      <c r="H281" s="167"/>
      <c r="I281" s="167"/>
      <c r="J281" s="168"/>
    </row>
    <row r="282" spans="1:10" s="501" customFormat="1" x14ac:dyDescent="0.2">
      <c r="A282" s="492"/>
      <c r="B282" s="167"/>
      <c r="C282" s="167"/>
      <c r="D282" s="167"/>
      <c r="E282" s="167"/>
      <c r="F282" s="167"/>
      <c r="G282" s="167"/>
      <c r="H282" s="167"/>
      <c r="I282" s="167"/>
      <c r="J282" s="168"/>
    </row>
    <row r="283" spans="1:10" s="501" customFormat="1" x14ac:dyDescent="0.2">
      <c r="A283" s="492"/>
      <c r="B283" s="167"/>
      <c r="C283" s="167"/>
      <c r="D283" s="167"/>
      <c r="E283" s="167"/>
      <c r="F283" s="167"/>
      <c r="G283" s="167"/>
      <c r="H283" s="167"/>
      <c r="I283" s="167"/>
      <c r="J283" s="168"/>
    </row>
    <row r="284" spans="1:10" s="501" customFormat="1" x14ac:dyDescent="0.2">
      <c r="A284" s="492"/>
      <c r="B284" s="167"/>
      <c r="C284" s="167"/>
      <c r="D284" s="167"/>
      <c r="E284" s="167"/>
      <c r="F284" s="167"/>
      <c r="G284" s="167"/>
      <c r="H284" s="167"/>
      <c r="I284" s="167"/>
      <c r="J284" s="168"/>
    </row>
    <row r="285" spans="1:10" s="501" customFormat="1" x14ac:dyDescent="0.2">
      <c r="A285" s="492"/>
      <c r="B285" s="167"/>
      <c r="C285" s="167"/>
      <c r="D285" s="167"/>
      <c r="E285" s="167"/>
      <c r="F285" s="167"/>
      <c r="G285" s="167"/>
      <c r="H285" s="167"/>
      <c r="I285" s="167"/>
      <c r="J285" s="168"/>
    </row>
    <row r="286" spans="1:10" s="501" customFormat="1" x14ac:dyDescent="0.2">
      <c r="A286" s="492"/>
      <c r="B286" s="167"/>
      <c r="C286" s="167"/>
      <c r="D286" s="167"/>
      <c r="E286" s="167"/>
      <c r="F286" s="167"/>
      <c r="G286" s="167"/>
      <c r="H286" s="167"/>
      <c r="I286" s="167"/>
      <c r="J286" s="168"/>
    </row>
    <row r="287" spans="1:10" s="501" customFormat="1" x14ac:dyDescent="0.2">
      <c r="A287" s="492"/>
      <c r="B287" s="167"/>
      <c r="C287" s="167"/>
      <c r="D287" s="167"/>
      <c r="E287" s="167"/>
      <c r="F287" s="167"/>
      <c r="G287" s="167"/>
      <c r="H287" s="167"/>
      <c r="I287" s="167"/>
      <c r="J287" s="168"/>
    </row>
    <row r="288" spans="1:10" s="501" customFormat="1" x14ac:dyDescent="0.2">
      <c r="A288" s="492"/>
      <c r="B288" s="167"/>
      <c r="C288" s="167"/>
      <c r="D288" s="167"/>
      <c r="E288" s="167"/>
      <c r="F288" s="167"/>
      <c r="G288" s="167"/>
      <c r="H288" s="167"/>
      <c r="I288" s="167"/>
      <c r="J288" s="168"/>
    </row>
    <row r="289" spans="1:10" s="501" customFormat="1" x14ac:dyDescent="0.2">
      <c r="A289" s="492"/>
      <c r="B289" s="167"/>
      <c r="C289" s="167"/>
      <c r="D289" s="167"/>
      <c r="E289" s="167"/>
      <c r="F289" s="167"/>
      <c r="G289" s="167"/>
      <c r="H289" s="167"/>
      <c r="I289" s="167"/>
      <c r="J289" s="168"/>
    </row>
    <row r="290" spans="1:10" s="501" customFormat="1" x14ac:dyDescent="0.2">
      <c r="A290" s="492"/>
      <c r="B290" s="167"/>
      <c r="C290" s="167"/>
      <c r="D290" s="167"/>
      <c r="E290" s="167"/>
      <c r="F290" s="167"/>
      <c r="G290" s="167"/>
      <c r="H290" s="167"/>
      <c r="I290" s="167"/>
      <c r="J290" s="168"/>
    </row>
    <row r="291" spans="1:10" s="501" customFormat="1" x14ac:dyDescent="0.2">
      <c r="A291" s="492"/>
      <c r="B291" s="167"/>
      <c r="C291" s="167"/>
      <c r="D291" s="167"/>
      <c r="E291" s="167"/>
      <c r="F291" s="167"/>
      <c r="G291" s="167"/>
      <c r="H291" s="167"/>
      <c r="I291" s="167"/>
      <c r="J291" s="168"/>
    </row>
    <row r="292" spans="1:10" s="501" customFormat="1" x14ac:dyDescent="0.2">
      <c r="A292" s="492"/>
      <c r="B292" s="167"/>
      <c r="C292" s="167"/>
      <c r="D292" s="167"/>
      <c r="E292" s="167"/>
      <c r="F292" s="167"/>
      <c r="G292" s="167"/>
      <c r="H292" s="167"/>
      <c r="I292" s="167"/>
      <c r="J292" s="168"/>
    </row>
    <row r="293" spans="1:10" s="501" customFormat="1" x14ac:dyDescent="0.2">
      <c r="A293" s="492"/>
      <c r="B293" s="167"/>
      <c r="C293" s="167"/>
      <c r="D293" s="167"/>
      <c r="E293" s="167"/>
      <c r="F293" s="167"/>
      <c r="G293" s="167"/>
      <c r="H293" s="167"/>
      <c r="I293" s="167"/>
      <c r="J293" s="168"/>
    </row>
    <row r="294" spans="1:10" s="501" customFormat="1" x14ac:dyDescent="0.2">
      <c r="A294" s="492"/>
      <c r="B294" s="167"/>
      <c r="C294" s="167"/>
      <c r="D294" s="167"/>
      <c r="E294" s="167"/>
      <c r="F294" s="167"/>
      <c r="G294" s="167"/>
      <c r="H294" s="167"/>
      <c r="I294" s="167"/>
      <c r="J294" s="168"/>
    </row>
    <row r="295" spans="1:10" s="501" customFormat="1" x14ac:dyDescent="0.2">
      <c r="A295" s="492"/>
      <c r="B295" s="167"/>
      <c r="C295" s="167"/>
      <c r="D295" s="167"/>
      <c r="E295" s="167"/>
      <c r="F295" s="167"/>
      <c r="G295" s="167"/>
      <c r="H295" s="167"/>
      <c r="I295" s="167"/>
      <c r="J295" s="168"/>
    </row>
    <row r="296" spans="1:10" s="501" customFormat="1" x14ac:dyDescent="0.2">
      <c r="A296" s="492"/>
      <c r="B296" s="167"/>
      <c r="C296" s="167"/>
      <c r="D296" s="167"/>
      <c r="E296" s="167"/>
      <c r="F296" s="167"/>
      <c r="G296" s="167"/>
      <c r="H296" s="167"/>
      <c r="I296" s="167"/>
      <c r="J296" s="168"/>
    </row>
    <row r="297" spans="1:10" s="501" customFormat="1" x14ac:dyDescent="0.2">
      <c r="A297" s="492"/>
      <c r="B297" s="167"/>
      <c r="C297" s="167"/>
      <c r="D297" s="167"/>
      <c r="E297" s="167"/>
      <c r="F297" s="167"/>
      <c r="G297" s="167"/>
      <c r="H297" s="167"/>
      <c r="I297" s="167"/>
      <c r="J297" s="168"/>
    </row>
    <row r="298" spans="1:10" s="501" customFormat="1" x14ac:dyDescent="0.2">
      <c r="A298" s="492"/>
      <c r="B298" s="167"/>
      <c r="C298" s="167"/>
      <c r="D298" s="167"/>
      <c r="E298" s="167"/>
      <c r="F298" s="167"/>
      <c r="G298" s="167"/>
      <c r="H298" s="167"/>
      <c r="I298" s="167"/>
      <c r="J298" s="168"/>
    </row>
    <row r="299" spans="1:10" s="501" customFormat="1" x14ac:dyDescent="0.2">
      <c r="A299" s="492"/>
      <c r="B299" s="167"/>
      <c r="C299" s="167"/>
      <c r="D299" s="167"/>
      <c r="E299" s="167"/>
      <c r="F299" s="167"/>
      <c r="G299" s="167"/>
      <c r="H299" s="167"/>
      <c r="I299" s="167"/>
      <c r="J299" s="168"/>
    </row>
    <row r="300" spans="1:10" s="501" customFormat="1" x14ac:dyDescent="0.2">
      <c r="A300" s="492"/>
      <c r="B300" s="167"/>
      <c r="C300" s="167"/>
      <c r="D300" s="167"/>
      <c r="E300" s="167"/>
      <c r="F300" s="167"/>
      <c r="G300" s="167"/>
      <c r="H300" s="167"/>
      <c r="I300" s="167"/>
      <c r="J300" s="168"/>
    </row>
    <row r="301" spans="1:10" s="501" customFormat="1" x14ac:dyDescent="0.2">
      <c r="A301" s="492"/>
      <c r="B301" s="167"/>
      <c r="C301" s="167"/>
      <c r="D301" s="167"/>
      <c r="E301" s="167"/>
      <c r="F301" s="167"/>
      <c r="G301" s="167"/>
      <c r="H301" s="167"/>
      <c r="I301" s="167"/>
      <c r="J301" s="168"/>
    </row>
    <row r="302" spans="1:10" s="501" customFormat="1" x14ac:dyDescent="0.2">
      <c r="A302" s="492"/>
      <c r="B302" s="167"/>
      <c r="C302" s="167"/>
      <c r="D302" s="167"/>
      <c r="E302" s="167"/>
      <c r="F302" s="167"/>
      <c r="G302" s="167"/>
      <c r="H302" s="167"/>
      <c r="I302" s="167"/>
      <c r="J302" s="168"/>
    </row>
    <row r="303" spans="1:10" s="501" customFormat="1" x14ac:dyDescent="0.2">
      <c r="A303" s="492"/>
      <c r="B303" s="167"/>
      <c r="C303" s="167"/>
      <c r="D303" s="167"/>
      <c r="E303" s="167"/>
      <c r="F303" s="167"/>
      <c r="G303" s="167"/>
      <c r="H303" s="167"/>
      <c r="I303" s="167"/>
      <c r="J303" s="168"/>
    </row>
    <row r="304" spans="1:10" s="501" customFormat="1" x14ac:dyDescent="0.2">
      <c r="A304" s="492"/>
      <c r="B304" s="167"/>
      <c r="C304" s="167"/>
      <c r="D304" s="167"/>
      <c r="E304" s="167"/>
      <c r="F304" s="167"/>
      <c r="G304" s="167"/>
      <c r="H304" s="167"/>
      <c r="I304" s="167"/>
      <c r="J304" s="168"/>
    </row>
    <row r="305" spans="1:10" s="501" customFormat="1" x14ac:dyDescent="0.2">
      <c r="A305" s="492"/>
      <c r="B305" s="167"/>
      <c r="C305" s="167"/>
      <c r="D305" s="167"/>
      <c r="E305" s="167"/>
      <c r="F305" s="167"/>
      <c r="G305" s="167"/>
      <c r="H305" s="167"/>
      <c r="I305" s="167"/>
      <c r="J305" s="168"/>
    </row>
    <row r="306" spans="1:10" s="501" customFormat="1" x14ac:dyDescent="0.2">
      <c r="A306" s="492"/>
      <c r="B306" s="167"/>
      <c r="C306" s="167"/>
      <c r="D306" s="167"/>
      <c r="E306" s="167"/>
      <c r="F306" s="167"/>
      <c r="G306" s="167"/>
      <c r="H306" s="167"/>
      <c r="I306" s="167"/>
      <c r="J306" s="168"/>
    </row>
    <row r="307" spans="1:10" s="501" customFormat="1" x14ac:dyDescent="0.2">
      <c r="A307" s="492"/>
      <c r="B307" s="167"/>
      <c r="C307" s="167"/>
      <c r="D307" s="167"/>
      <c r="E307" s="167"/>
      <c r="F307" s="167"/>
      <c r="G307" s="167"/>
      <c r="H307" s="167"/>
      <c r="I307" s="167"/>
      <c r="J307" s="168"/>
    </row>
    <row r="308" spans="1:10" s="501" customFormat="1" x14ac:dyDescent="0.2">
      <c r="A308" s="492"/>
      <c r="B308" s="167"/>
      <c r="C308" s="167"/>
      <c r="D308" s="167"/>
      <c r="E308" s="167"/>
      <c r="F308" s="167"/>
      <c r="G308" s="167"/>
      <c r="H308" s="167"/>
      <c r="I308" s="167"/>
      <c r="J308" s="168"/>
    </row>
    <row r="309" spans="1:10" s="501" customFormat="1" x14ac:dyDescent="0.2">
      <c r="A309" s="492"/>
      <c r="B309" s="167"/>
      <c r="C309" s="167"/>
      <c r="D309" s="167"/>
      <c r="E309" s="167"/>
      <c r="F309" s="167"/>
      <c r="G309" s="167"/>
      <c r="H309" s="167"/>
      <c r="I309" s="167"/>
      <c r="J309" s="168"/>
    </row>
    <row r="310" spans="1:10" s="501" customFormat="1" x14ac:dyDescent="0.2">
      <c r="A310" s="492"/>
      <c r="B310" s="167"/>
      <c r="C310" s="167"/>
      <c r="D310" s="167"/>
      <c r="E310" s="167"/>
      <c r="F310" s="167"/>
      <c r="G310" s="167"/>
      <c r="H310" s="167"/>
      <c r="I310" s="167"/>
      <c r="J310" s="168"/>
    </row>
    <row r="311" spans="1:10" s="501" customFormat="1" x14ac:dyDescent="0.2">
      <c r="A311" s="492"/>
      <c r="B311" s="167"/>
      <c r="C311" s="167"/>
      <c r="D311" s="167"/>
      <c r="E311" s="167"/>
      <c r="F311" s="167"/>
      <c r="G311" s="167"/>
      <c r="H311" s="167"/>
      <c r="I311" s="167"/>
      <c r="J311" s="168"/>
    </row>
    <row r="312" spans="1:10" s="501" customFormat="1" x14ac:dyDescent="0.2">
      <c r="A312" s="492"/>
      <c r="B312" s="167"/>
      <c r="C312" s="167"/>
      <c r="D312" s="167"/>
      <c r="E312" s="167"/>
      <c r="F312" s="167"/>
      <c r="G312" s="167"/>
      <c r="H312" s="167"/>
      <c r="I312" s="167"/>
      <c r="J312" s="168"/>
    </row>
    <row r="313" spans="1:10" s="501" customFormat="1" x14ac:dyDescent="0.2">
      <c r="A313" s="492"/>
      <c r="B313" s="167"/>
      <c r="C313" s="167"/>
      <c r="D313" s="167"/>
      <c r="E313" s="167"/>
      <c r="F313" s="167"/>
      <c r="G313" s="167"/>
      <c r="H313" s="167"/>
      <c r="I313" s="167"/>
      <c r="J313" s="168"/>
    </row>
    <row r="314" spans="1:10" s="501" customFormat="1" x14ac:dyDescent="0.2">
      <c r="A314" s="492"/>
      <c r="B314" s="167"/>
      <c r="C314" s="167"/>
      <c r="D314" s="167"/>
      <c r="E314" s="167"/>
      <c r="F314" s="167"/>
      <c r="G314" s="167"/>
      <c r="H314" s="167"/>
      <c r="I314" s="167"/>
      <c r="J314" s="168"/>
    </row>
    <row r="315" spans="1:10" s="501" customFormat="1" x14ac:dyDescent="0.2">
      <c r="A315" s="492"/>
      <c r="B315" s="167"/>
      <c r="C315" s="167"/>
      <c r="D315" s="167"/>
      <c r="E315" s="167"/>
      <c r="F315" s="167"/>
      <c r="G315" s="167"/>
      <c r="H315" s="167"/>
      <c r="I315" s="167"/>
      <c r="J315" s="168"/>
    </row>
    <row r="316" spans="1:10" s="501" customFormat="1" x14ac:dyDescent="0.2">
      <c r="A316" s="492"/>
      <c r="B316" s="167"/>
      <c r="C316" s="167"/>
      <c r="D316" s="167"/>
      <c r="E316" s="167"/>
      <c r="F316" s="167"/>
      <c r="G316" s="167"/>
      <c r="H316" s="167"/>
      <c r="I316" s="167"/>
      <c r="J316" s="168"/>
    </row>
    <row r="317" spans="1:10" s="501" customFormat="1" x14ac:dyDescent="0.2">
      <c r="A317" s="492"/>
      <c r="B317" s="167"/>
      <c r="C317" s="167"/>
      <c r="D317" s="167"/>
      <c r="E317" s="167"/>
      <c r="F317" s="167"/>
      <c r="G317" s="167"/>
      <c r="H317" s="167"/>
      <c r="I317" s="167"/>
      <c r="J317" s="168"/>
    </row>
    <row r="318" spans="1:10" s="501" customFormat="1" x14ac:dyDescent="0.2">
      <c r="A318" s="492"/>
      <c r="B318" s="167"/>
      <c r="C318" s="167"/>
      <c r="D318" s="167"/>
      <c r="E318" s="167"/>
      <c r="F318" s="167"/>
      <c r="G318" s="167"/>
      <c r="H318" s="167"/>
      <c r="I318" s="167"/>
      <c r="J318" s="168"/>
    </row>
    <row r="319" spans="1:10" s="501" customFormat="1" x14ac:dyDescent="0.2">
      <c r="A319" s="492"/>
      <c r="B319" s="167"/>
      <c r="C319" s="167"/>
      <c r="D319" s="167"/>
      <c r="E319" s="167"/>
      <c r="F319" s="167"/>
      <c r="G319" s="167"/>
      <c r="H319" s="167"/>
      <c r="I319" s="167"/>
      <c r="J319" s="168"/>
    </row>
    <row r="320" spans="1:10" s="501" customFormat="1" x14ac:dyDescent="0.2">
      <c r="A320" s="492"/>
      <c r="B320" s="167"/>
      <c r="C320" s="167"/>
      <c r="D320" s="167"/>
      <c r="E320" s="167"/>
      <c r="F320" s="167"/>
      <c r="G320" s="167"/>
      <c r="H320" s="167"/>
      <c r="I320" s="167"/>
      <c r="J320" s="168"/>
    </row>
    <row r="321" spans="1:10" s="501" customFormat="1" x14ac:dyDescent="0.2">
      <c r="A321" s="492"/>
      <c r="B321" s="167"/>
      <c r="C321" s="167"/>
      <c r="D321" s="167"/>
      <c r="E321" s="167"/>
      <c r="F321" s="167"/>
      <c r="G321" s="167"/>
      <c r="H321" s="167"/>
      <c r="I321" s="167"/>
      <c r="J321" s="168"/>
    </row>
    <row r="322" spans="1:10" s="501" customFormat="1" x14ac:dyDescent="0.2">
      <c r="A322" s="492"/>
      <c r="B322" s="167"/>
      <c r="C322" s="167"/>
      <c r="D322" s="167"/>
      <c r="E322" s="167"/>
      <c r="F322" s="167"/>
      <c r="G322" s="167"/>
      <c r="H322" s="167"/>
      <c r="I322" s="167"/>
      <c r="J322" s="168"/>
    </row>
    <row r="323" spans="1:10" s="501" customFormat="1" x14ac:dyDescent="0.2">
      <c r="A323" s="492"/>
      <c r="B323" s="167"/>
      <c r="C323" s="167"/>
      <c r="D323" s="167"/>
      <c r="E323" s="167"/>
      <c r="F323" s="167"/>
      <c r="G323" s="167"/>
      <c r="H323" s="167"/>
      <c r="I323" s="167"/>
      <c r="J323" s="168"/>
    </row>
    <row r="324" spans="1:10" s="501" customFormat="1" x14ac:dyDescent="0.2">
      <c r="A324" s="492"/>
      <c r="B324" s="167"/>
      <c r="C324" s="167"/>
      <c r="D324" s="167"/>
      <c r="E324" s="167"/>
      <c r="F324" s="167"/>
      <c r="G324" s="167"/>
      <c r="H324" s="167"/>
      <c r="I324" s="167"/>
      <c r="J324" s="168"/>
    </row>
    <row r="325" spans="1:10" s="501" customFormat="1" x14ac:dyDescent="0.2">
      <c r="A325" s="492"/>
      <c r="B325" s="167"/>
      <c r="C325" s="167"/>
      <c r="D325" s="167"/>
      <c r="E325" s="167"/>
      <c r="F325" s="167"/>
      <c r="G325" s="167"/>
      <c r="H325" s="167"/>
      <c r="I325" s="167"/>
      <c r="J325" s="168"/>
    </row>
    <row r="326" spans="1:10" s="501" customFormat="1" x14ac:dyDescent="0.2">
      <c r="A326" s="492"/>
      <c r="B326" s="167"/>
      <c r="C326" s="167"/>
      <c r="D326" s="167"/>
      <c r="E326" s="167"/>
      <c r="F326" s="167"/>
      <c r="G326" s="167"/>
      <c r="H326" s="167"/>
      <c r="I326" s="167"/>
      <c r="J326" s="168"/>
    </row>
    <row r="327" spans="1:10" s="501" customFormat="1" x14ac:dyDescent="0.2">
      <c r="A327" s="492"/>
      <c r="B327" s="167"/>
      <c r="C327" s="167"/>
      <c r="D327" s="167"/>
      <c r="E327" s="167"/>
      <c r="F327" s="167"/>
      <c r="G327" s="167"/>
      <c r="H327" s="167"/>
      <c r="I327" s="167"/>
      <c r="J327" s="168"/>
    </row>
    <row r="328" spans="1:10" s="501" customFormat="1" x14ac:dyDescent="0.2">
      <c r="A328" s="492"/>
      <c r="B328" s="167"/>
      <c r="C328" s="167"/>
      <c r="D328" s="167"/>
      <c r="E328" s="167"/>
      <c r="F328" s="167"/>
      <c r="G328" s="167"/>
      <c r="H328" s="167"/>
      <c r="I328" s="167"/>
      <c r="J328" s="168"/>
    </row>
    <row r="329" spans="1:10" s="501" customFormat="1" x14ac:dyDescent="0.2">
      <c r="A329" s="492"/>
      <c r="B329" s="167"/>
      <c r="C329" s="167"/>
      <c r="D329" s="167"/>
      <c r="E329" s="167"/>
      <c r="F329" s="167"/>
      <c r="G329" s="167"/>
      <c r="H329" s="167"/>
      <c r="I329" s="167"/>
      <c r="J329" s="168"/>
    </row>
    <row r="330" spans="1:10" s="501" customFormat="1" x14ac:dyDescent="0.2">
      <c r="A330" s="492"/>
      <c r="B330" s="167"/>
      <c r="C330" s="167"/>
      <c r="D330" s="167"/>
      <c r="E330" s="167"/>
      <c r="F330" s="167"/>
      <c r="G330" s="167"/>
      <c r="H330" s="167"/>
      <c r="I330" s="167"/>
      <c r="J330" s="168"/>
    </row>
    <row r="331" spans="1:10" s="501" customFormat="1" x14ac:dyDescent="0.2">
      <c r="A331" s="492"/>
      <c r="B331" s="167"/>
      <c r="C331" s="167"/>
      <c r="D331" s="167"/>
      <c r="E331" s="167"/>
      <c r="F331" s="167"/>
      <c r="G331" s="167"/>
      <c r="H331" s="167"/>
      <c r="I331" s="167"/>
      <c r="J331" s="168"/>
    </row>
    <row r="332" spans="1:10" s="501" customFormat="1" x14ac:dyDescent="0.2">
      <c r="A332" s="492"/>
      <c r="B332" s="167"/>
      <c r="C332" s="167"/>
      <c r="D332" s="167"/>
      <c r="E332" s="167"/>
      <c r="F332" s="167"/>
      <c r="G332" s="167"/>
      <c r="H332" s="167"/>
      <c r="I332" s="167"/>
      <c r="J332" s="168"/>
    </row>
    <row r="333" spans="1:10" s="501" customFormat="1" x14ac:dyDescent="0.2">
      <c r="A333" s="492"/>
      <c r="B333" s="167"/>
      <c r="C333" s="167"/>
      <c r="D333" s="167"/>
      <c r="E333" s="167"/>
      <c r="F333" s="167"/>
      <c r="G333" s="167"/>
      <c r="H333" s="167"/>
      <c r="I333" s="167"/>
      <c r="J333" s="168"/>
    </row>
    <row r="334" spans="1:10" s="501" customFormat="1" x14ac:dyDescent="0.2">
      <c r="A334" s="492"/>
      <c r="B334" s="167"/>
      <c r="C334" s="167"/>
      <c r="D334" s="167"/>
      <c r="E334" s="167"/>
      <c r="F334" s="167"/>
      <c r="G334" s="167"/>
      <c r="H334" s="167"/>
      <c r="I334" s="167"/>
      <c r="J334" s="168"/>
    </row>
    <row r="335" spans="1:10" s="501" customFormat="1" x14ac:dyDescent="0.2">
      <c r="A335" s="492"/>
      <c r="B335" s="167"/>
      <c r="C335" s="167"/>
      <c r="D335" s="167"/>
      <c r="E335" s="167"/>
      <c r="F335" s="167"/>
      <c r="G335" s="167"/>
      <c r="H335" s="167"/>
      <c r="I335" s="167"/>
      <c r="J335" s="168"/>
    </row>
    <row r="336" spans="1:10" s="501" customFormat="1" x14ac:dyDescent="0.2">
      <c r="A336" s="492"/>
      <c r="B336" s="167"/>
      <c r="C336" s="167"/>
      <c r="D336" s="167"/>
      <c r="E336" s="167"/>
      <c r="F336" s="167"/>
      <c r="G336" s="167"/>
      <c r="H336" s="167"/>
      <c r="I336" s="167"/>
      <c r="J336" s="168"/>
    </row>
    <row r="337" spans="1:10" s="501" customFormat="1" x14ac:dyDescent="0.2">
      <c r="A337" s="492"/>
      <c r="B337" s="167"/>
      <c r="C337" s="167"/>
      <c r="D337" s="167"/>
      <c r="E337" s="167"/>
      <c r="F337" s="167"/>
      <c r="G337" s="167"/>
      <c r="H337" s="167"/>
      <c r="I337" s="167"/>
      <c r="J337" s="168"/>
    </row>
    <row r="338" spans="1:10" s="501" customFormat="1" x14ac:dyDescent="0.2">
      <c r="A338" s="492"/>
      <c r="B338" s="167"/>
      <c r="C338" s="167"/>
      <c r="D338" s="167"/>
      <c r="E338" s="167"/>
      <c r="F338" s="167"/>
      <c r="G338" s="167"/>
      <c r="H338" s="167"/>
      <c r="I338" s="167"/>
      <c r="J338" s="168"/>
    </row>
    <row r="339" spans="1:10" s="501" customFormat="1" x14ac:dyDescent="0.2">
      <c r="A339" s="492"/>
      <c r="B339" s="167"/>
      <c r="C339" s="167"/>
      <c r="D339" s="167"/>
      <c r="E339" s="167"/>
      <c r="F339" s="167"/>
      <c r="G339" s="167"/>
      <c r="H339" s="167"/>
      <c r="I339" s="167"/>
      <c r="J339" s="168"/>
    </row>
    <row r="340" spans="1:10" s="501" customFormat="1" x14ac:dyDescent="0.2">
      <c r="A340" s="492"/>
      <c r="B340" s="167"/>
      <c r="C340" s="167"/>
      <c r="D340" s="167"/>
      <c r="E340" s="167"/>
      <c r="F340" s="167"/>
      <c r="G340" s="167"/>
      <c r="H340" s="167"/>
      <c r="I340" s="167"/>
      <c r="J340" s="168"/>
    </row>
    <row r="341" spans="1:10" s="501" customFormat="1" x14ac:dyDescent="0.2">
      <c r="A341" s="492"/>
      <c r="B341" s="167"/>
      <c r="C341" s="167"/>
      <c r="D341" s="167"/>
      <c r="E341" s="167"/>
      <c r="F341" s="167"/>
      <c r="G341" s="167"/>
      <c r="H341" s="167"/>
      <c r="I341" s="167"/>
      <c r="J341" s="168"/>
    </row>
    <row r="342" spans="1:10" s="501" customFormat="1" x14ac:dyDescent="0.2">
      <c r="A342" s="492"/>
      <c r="B342" s="167"/>
      <c r="C342" s="167"/>
      <c r="D342" s="167"/>
      <c r="E342" s="167"/>
      <c r="F342" s="167"/>
      <c r="G342" s="167"/>
      <c r="H342" s="167"/>
      <c r="I342" s="167"/>
      <c r="J342" s="168"/>
    </row>
    <row r="343" spans="1:10" s="501" customFormat="1" x14ac:dyDescent="0.2">
      <c r="A343" s="492"/>
      <c r="B343" s="167"/>
      <c r="C343" s="167"/>
      <c r="D343" s="167"/>
      <c r="E343" s="167"/>
      <c r="F343" s="167"/>
      <c r="G343" s="167"/>
      <c r="H343" s="167"/>
      <c r="I343" s="167"/>
      <c r="J343" s="168"/>
    </row>
    <row r="344" spans="1:10" s="501" customFormat="1" x14ac:dyDescent="0.2">
      <c r="A344" s="492"/>
      <c r="B344" s="167"/>
      <c r="C344" s="167"/>
      <c r="D344" s="167"/>
      <c r="E344" s="167"/>
      <c r="F344" s="167"/>
      <c r="G344" s="167"/>
      <c r="H344" s="167"/>
      <c r="I344" s="167"/>
      <c r="J344" s="168"/>
    </row>
    <row r="345" spans="1:10" s="501" customFormat="1" x14ac:dyDescent="0.2">
      <c r="A345" s="492"/>
      <c r="B345" s="167"/>
      <c r="C345" s="167"/>
      <c r="D345" s="167"/>
      <c r="E345" s="167"/>
      <c r="F345" s="167"/>
      <c r="G345" s="167"/>
      <c r="H345" s="167"/>
      <c r="I345" s="167"/>
      <c r="J345" s="168"/>
    </row>
    <row r="346" spans="1:10" s="501" customFormat="1" x14ac:dyDescent="0.2">
      <c r="A346" s="492"/>
      <c r="B346" s="167"/>
      <c r="C346" s="167"/>
      <c r="D346" s="167"/>
      <c r="E346" s="167"/>
      <c r="F346" s="167"/>
      <c r="G346" s="167"/>
      <c r="H346" s="167"/>
      <c r="I346" s="167"/>
      <c r="J346" s="168"/>
    </row>
    <row r="347" spans="1:10" s="501" customFormat="1" x14ac:dyDescent="0.2">
      <c r="A347" s="492"/>
      <c r="B347" s="167"/>
      <c r="C347" s="167"/>
      <c r="D347" s="167"/>
      <c r="E347" s="167"/>
      <c r="F347" s="167"/>
      <c r="G347" s="167"/>
      <c r="H347" s="167"/>
      <c r="I347" s="167"/>
      <c r="J347" s="168"/>
    </row>
    <row r="348" spans="1:10" s="501" customFormat="1" x14ac:dyDescent="0.2">
      <c r="A348" s="492"/>
      <c r="B348" s="167"/>
      <c r="C348" s="167"/>
      <c r="D348" s="167"/>
      <c r="E348" s="167"/>
      <c r="F348" s="167"/>
      <c r="G348" s="167"/>
      <c r="H348" s="167"/>
      <c r="I348" s="167"/>
      <c r="J348" s="168"/>
    </row>
    <row r="349" spans="1:10" s="501" customFormat="1" x14ac:dyDescent="0.2">
      <c r="A349" s="492"/>
      <c r="B349" s="167"/>
      <c r="C349" s="167"/>
      <c r="D349" s="167"/>
      <c r="E349" s="167"/>
      <c r="F349" s="167"/>
      <c r="G349" s="167"/>
      <c r="H349" s="167"/>
      <c r="I349" s="167"/>
      <c r="J349" s="168"/>
    </row>
    <row r="350" spans="1:10" s="501" customFormat="1" x14ac:dyDescent="0.2">
      <c r="A350" s="492"/>
      <c r="B350" s="167"/>
      <c r="C350" s="167"/>
      <c r="D350" s="167"/>
      <c r="E350" s="167"/>
      <c r="F350" s="167"/>
      <c r="G350" s="167"/>
      <c r="H350" s="167"/>
      <c r="I350" s="167"/>
      <c r="J350" s="168"/>
    </row>
    <row r="351" spans="1:10" s="501" customFormat="1" x14ac:dyDescent="0.2">
      <c r="A351" s="492"/>
      <c r="B351" s="167"/>
      <c r="C351" s="167"/>
      <c r="D351" s="167"/>
      <c r="E351" s="167"/>
      <c r="F351" s="167"/>
      <c r="G351" s="167"/>
      <c r="H351" s="167"/>
      <c r="I351" s="167"/>
      <c r="J351" s="168"/>
    </row>
    <row r="352" spans="1:10" s="501" customFormat="1" x14ac:dyDescent="0.2">
      <c r="A352" s="492"/>
      <c r="B352" s="167"/>
      <c r="C352" s="167"/>
      <c r="D352" s="167"/>
      <c r="E352" s="167"/>
      <c r="F352" s="167"/>
      <c r="G352" s="167"/>
      <c r="H352" s="167"/>
      <c r="I352" s="167"/>
      <c r="J352" s="168"/>
    </row>
    <row r="353" spans="1:10" s="501" customFormat="1" x14ac:dyDescent="0.2">
      <c r="A353" s="492"/>
      <c r="B353" s="167"/>
      <c r="C353" s="167"/>
      <c r="D353" s="167"/>
      <c r="E353" s="167"/>
      <c r="F353" s="167"/>
      <c r="G353" s="167"/>
      <c r="H353" s="167"/>
      <c r="I353" s="167"/>
      <c r="J353" s="168"/>
    </row>
    <row r="354" spans="1:10" s="501" customFormat="1" x14ac:dyDescent="0.2">
      <c r="A354" s="492"/>
      <c r="B354" s="167"/>
      <c r="C354" s="167"/>
      <c r="D354" s="167"/>
      <c r="E354" s="167"/>
      <c r="F354" s="167"/>
      <c r="G354" s="167"/>
      <c r="H354" s="167"/>
      <c r="I354" s="167"/>
      <c r="J354" s="168"/>
    </row>
    <row r="355" spans="1:10" s="501" customFormat="1" x14ac:dyDescent="0.2">
      <c r="A355" s="492"/>
      <c r="B355" s="167"/>
      <c r="C355" s="167"/>
      <c r="D355" s="167"/>
      <c r="E355" s="167"/>
      <c r="F355" s="167"/>
      <c r="G355" s="167"/>
      <c r="H355" s="167"/>
      <c r="I355" s="167"/>
      <c r="J355" s="168"/>
    </row>
    <row r="356" spans="1:10" s="501" customFormat="1" x14ac:dyDescent="0.2">
      <c r="A356" s="492"/>
      <c r="B356" s="167"/>
      <c r="C356" s="167"/>
      <c r="D356" s="167"/>
      <c r="E356" s="167"/>
      <c r="F356" s="167"/>
      <c r="G356" s="167"/>
      <c r="H356" s="167"/>
      <c r="I356" s="167"/>
      <c r="J356" s="168"/>
    </row>
    <row r="357" spans="1:10" s="501" customFormat="1" x14ac:dyDescent="0.2">
      <c r="A357" s="492"/>
      <c r="B357" s="167"/>
      <c r="C357" s="167"/>
      <c r="D357" s="167"/>
      <c r="E357" s="167"/>
      <c r="F357" s="167"/>
      <c r="G357" s="167"/>
      <c r="H357" s="167"/>
      <c r="I357" s="167"/>
      <c r="J357" s="168"/>
    </row>
    <row r="358" spans="1:10" s="501" customFormat="1" x14ac:dyDescent="0.2">
      <c r="A358" s="492"/>
      <c r="B358" s="167"/>
      <c r="C358" s="167"/>
      <c r="D358" s="167"/>
      <c r="E358" s="167"/>
      <c r="F358" s="167"/>
      <c r="G358" s="167"/>
      <c r="H358" s="167"/>
      <c r="I358" s="167"/>
      <c r="J358" s="168"/>
    </row>
    <row r="359" spans="1:10" s="501" customFormat="1" x14ac:dyDescent="0.2">
      <c r="A359" s="492"/>
      <c r="B359" s="167"/>
      <c r="C359" s="167"/>
      <c r="D359" s="167"/>
      <c r="E359" s="167"/>
      <c r="F359" s="167"/>
      <c r="G359" s="167"/>
      <c r="H359" s="167"/>
      <c r="I359" s="167"/>
      <c r="J359" s="168"/>
    </row>
    <row r="360" spans="1:10" s="501" customFormat="1" x14ac:dyDescent="0.2">
      <c r="A360" s="492"/>
      <c r="B360" s="167"/>
      <c r="C360" s="167"/>
      <c r="D360" s="167"/>
      <c r="E360" s="167"/>
      <c r="F360" s="167"/>
      <c r="G360" s="167"/>
      <c r="H360" s="167"/>
      <c r="I360" s="167"/>
      <c r="J360" s="168"/>
    </row>
    <row r="361" spans="1:10" s="501" customFormat="1" x14ac:dyDescent="0.2">
      <c r="A361" s="492"/>
      <c r="B361" s="167"/>
      <c r="C361" s="167"/>
      <c r="D361" s="167"/>
      <c r="E361" s="167"/>
      <c r="F361" s="167"/>
      <c r="G361" s="167"/>
      <c r="H361" s="167"/>
      <c r="I361" s="167"/>
      <c r="J361" s="168"/>
    </row>
    <row r="362" spans="1:10" s="501" customFormat="1" x14ac:dyDescent="0.2">
      <c r="A362" s="492"/>
      <c r="B362" s="167"/>
      <c r="C362" s="167"/>
      <c r="D362" s="167"/>
      <c r="E362" s="167"/>
      <c r="F362" s="167"/>
      <c r="G362" s="167"/>
      <c r="H362" s="167"/>
      <c r="I362" s="167"/>
      <c r="J362" s="168"/>
    </row>
    <row r="363" spans="1:10" s="501" customFormat="1" x14ac:dyDescent="0.2">
      <c r="A363" s="492"/>
      <c r="B363" s="167"/>
      <c r="C363" s="167"/>
      <c r="D363" s="167"/>
      <c r="E363" s="167"/>
      <c r="F363" s="167"/>
      <c r="G363" s="167"/>
      <c r="H363" s="167"/>
      <c r="I363" s="167"/>
      <c r="J363" s="168"/>
    </row>
    <row r="364" spans="1:10" s="501" customFormat="1" x14ac:dyDescent="0.2">
      <c r="A364" s="492"/>
      <c r="B364" s="167"/>
      <c r="C364" s="167"/>
      <c r="D364" s="167"/>
      <c r="E364" s="167"/>
      <c r="F364" s="167"/>
      <c r="G364" s="167"/>
      <c r="H364" s="167"/>
      <c r="I364" s="167"/>
      <c r="J364" s="168"/>
    </row>
    <row r="365" spans="1:10" s="501" customFormat="1" x14ac:dyDescent="0.2">
      <c r="A365" s="492"/>
      <c r="B365" s="167"/>
      <c r="C365" s="167"/>
      <c r="D365" s="167"/>
      <c r="E365" s="167"/>
      <c r="F365" s="167"/>
      <c r="G365" s="167"/>
      <c r="H365" s="167"/>
      <c r="I365" s="167"/>
      <c r="J365" s="168"/>
    </row>
    <row r="366" spans="1:10" s="501" customFormat="1" x14ac:dyDescent="0.2">
      <c r="A366" s="492"/>
      <c r="B366" s="167"/>
      <c r="C366" s="167"/>
      <c r="D366" s="167"/>
      <c r="E366" s="167"/>
      <c r="F366" s="167"/>
      <c r="G366" s="167"/>
      <c r="H366" s="167"/>
      <c r="I366" s="167"/>
      <c r="J366" s="168"/>
    </row>
    <row r="367" spans="1:10" s="501" customFormat="1" x14ac:dyDescent="0.2">
      <c r="A367" s="492"/>
      <c r="B367" s="167"/>
      <c r="C367" s="167"/>
      <c r="D367" s="167"/>
      <c r="E367" s="167"/>
      <c r="F367" s="167"/>
      <c r="G367" s="167"/>
      <c r="H367" s="167"/>
      <c r="I367" s="167"/>
      <c r="J367" s="168"/>
    </row>
    <row r="368" spans="1:10" s="501" customFormat="1" x14ac:dyDescent="0.2">
      <c r="A368" s="492"/>
      <c r="B368" s="167"/>
      <c r="C368" s="167"/>
      <c r="D368" s="167"/>
      <c r="E368" s="167"/>
      <c r="F368" s="167"/>
      <c r="G368" s="167"/>
      <c r="H368" s="167"/>
      <c r="I368" s="167"/>
      <c r="J368" s="168"/>
    </row>
    <row r="369" spans="1:10" s="501" customFormat="1" x14ac:dyDescent="0.2">
      <c r="A369" s="492"/>
      <c r="B369" s="167"/>
      <c r="C369" s="167"/>
      <c r="D369" s="167"/>
      <c r="E369" s="167"/>
      <c r="F369" s="167"/>
      <c r="G369" s="167"/>
      <c r="H369" s="167"/>
      <c r="I369" s="167"/>
      <c r="J369" s="168"/>
    </row>
    <row r="370" spans="1:10" s="501" customFormat="1" x14ac:dyDescent="0.2">
      <c r="A370" s="492"/>
      <c r="B370" s="167"/>
      <c r="C370" s="167"/>
      <c r="D370" s="167"/>
      <c r="E370" s="167"/>
      <c r="F370" s="167"/>
      <c r="G370" s="167"/>
      <c r="H370" s="167"/>
      <c r="I370" s="167"/>
      <c r="J370" s="168"/>
    </row>
    <row r="371" spans="1:10" s="501" customFormat="1" x14ac:dyDescent="0.2">
      <c r="A371" s="492"/>
      <c r="B371" s="167"/>
      <c r="C371" s="167"/>
      <c r="D371" s="167"/>
      <c r="E371" s="167"/>
      <c r="F371" s="167"/>
      <c r="G371" s="167"/>
      <c r="H371" s="167"/>
      <c r="I371" s="167"/>
      <c r="J371" s="168"/>
    </row>
    <row r="372" spans="1:10" s="501" customFormat="1" x14ac:dyDescent="0.2">
      <c r="A372" s="492"/>
      <c r="B372" s="167"/>
      <c r="C372" s="167"/>
      <c r="D372" s="167"/>
      <c r="E372" s="167"/>
      <c r="F372" s="167"/>
      <c r="G372" s="167"/>
      <c r="H372" s="167"/>
      <c r="I372" s="167"/>
      <c r="J372" s="168"/>
    </row>
    <row r="373" spans="1:10" s="501" customFormat="1" x14ac:dyDescent="0.2">
      <c r="A373" s="492"/>
      <c r="B373" s="167"/>
      <c r="C373" s="167"/>
      <c r="D373" s="167"/>
      <c r="E373" s="167"/>
      <c r="F373" s="167"/>
      <c r="G373" s="167"/>
      <c r="H373" s="167"/>
      <c r="I373" s="167"/>
      <c r="J373" s="168"/>
    </row>
    <row r="374" spans="1:10" s="501" customFormat="1" x14ac:dyDescent="0.2">
      <c r="A374" s="492"/>
      <c r="B374" s="167"/>
      <c r="C374" s="167"/>
      <c r="D374" s="167"/>
      <c r="E374" s="167"/>
      <c r="F374" s="167"/>
      <c r="G374" s="167"/>
      <c r="H374" s="167"/>
      <c r="I374" s="167"/>
      <c r="J374" s="168"/>
    </row>
    <row r="375" spans="1:10" s="501" customFormat="1" x14ac:dyDescent="0.2">
      <c r="A375" s="492"/>
      <c r="B375" s="167"/>
      <c r="C375" s="167"/>
      <c r="D375" s="167"/>
      <c r="E375" s="167"/>
      <c r="F375" s="167"/>
      <c r="G375" s="167"/>
      <c r="H375" s="167"/>
      <c r="I375" s="167"/>
      <c r="J375" s="168"/>
    </row>
    <row r="376" spans="1:10" s="501" customFormat="1" x14ac:dyDescent="0.2">
      <c r="A376" s="492"/>
      <c r="B376" s="167"/>
      <c r="C376" s="167"/>
      <c r="D376" s="167"/>
      <c r="E376" s="167"/>
      <c r="F376" s="167"/>
      <c r="G376" s="167"/>
      <c r="H376" s="167"/>
      <c r="I376" s="167"/>
      <c r="J376" s="168"/>
    </row>
    <row r="377" spans="1:10" s="501" customFormat="1" x14ac:dyDescent="0.2">
      <c r="A377" s="492"/>
      <c r="B377" s="167"/>
      <c r="C377" s="167"/>
      <c r="D377" s="167"/>
      <c r="E377" s="167"/>
      <c r="F377" s="167"/>
      <c r="G377" s="167"/>
      <c r="H377" s="167"/>
      <c r="I377" s="167"/>
      <c r="J377" s="168"/>
    </row>
    <row r="378" spans="1:10" s="501" customFormat="1" x14ac:dyDescent="0.2">
      <c r="A378" s="492"/>
      <c r="B378" s="167"/>
      <c r="C378" s="167"/>
      <c r="D378" s="167"/>
      <c r="E378" s="167"/>
      <c r="F378" s="167"/>
      <c r="G378" s="167"/>
      <c r="H378" s="167"/>
      <c r="I378" s="167"/>
      <c r="J378" s="168"/>
    </row>
    <row r="379" spans="1:10" s="501" customFormat="1" x14ac:dyDescent="0.2">
      <c r="A379" s="492"/>
      <c r="B379" s="167"/>
      <c r="C379" s="167"/>
      <c r="D379" s="167"/>
      <c r="E379" s="167"/>
      <c r="F379" s="167"/>
      <c r="G379" s="167"/>
      <c r="H379" s="167"/>
      <c r="I379" s="167"/>
      <c r="J379" s="168"/>
    </row>
    <row r="380" spans="1:10" s="501" customFormat="1" x14ac:dyDescent="0.2">
      <c r="A380" s="492"/>
      <c r="B380" s="167"/>
      <c r="C380" s="167"/>
      <c r="D380" s="167"/>
      <c r="E380" s="167"/>
      <c r="F380" s="167"/>
      <c r="G380" s="167"/>
      <c r="H380" s="167"/>
      <c r="I380" s="167"/>
      <c r="J380" s="168"/>
    </row>
    <row r="381" spans="1:10" s="501" customFormat="1" x14ac:dyDescent="0.2">
      <c r="A381" s="492"/>
      <c r="B381" s="167"/>
      <c r="C381" s="167"/>
      <c r="D381" s="167"/>
      <c r="E381" s="167"/>
      <c r="F381" s="167"/>
      <c r="G381" s="167"/>
      <c r="H381" s="167"/>
      <c r="I381" s="167"/>
      <c r="J381" s="168"/>
    </row>
    <row r="382" spans="1:10" s="501" customFormat="1" x14ac:dyDescent="0.2">
      <c r="A382" s="492"/>
      <c r="B382" s="167"/>
      <c r="C382" s="167"/>
      <c r="D382" s="167"/>
      <c r="E382" s="167"/>
      <c r="F382" s="167"/>
      <c r="G382" s="167"/>
      <c r="H382" s="167"/>
      <c r="I382" s="167"/>
      <c r="J382" s="168"/>
    </row>
    <row r="383" spans="1:10" s="501" customFormat="1" x14ac:dyDescent="0.2">
      <c r="A383" s="492"/>
      <c r="B383" s="167"/>
      <c r="C383" s="167"/>
      <c r="D383" s="167"/>
      <c r="E383" s="167"/>
      <c r="F383" s="167"/>
      <c r="G383" s="167"/>
      <c r="H383" s="167"/>
      <c r="I383" s="167"/>
      <c r="J383" s="168"/>
    </row>
    <row r="384" spans="1:10" s="501" customFormat="1" x14ac:dyDescent="0.2">
      <c r="A384" s="492"/>
      <c r="B384" s="167"/>
      <c r="C384" s="167"/>
      <c r="D384" s="167"/>
      <c r="E384" s="167"/>
      <c r="F384" s="167"/>
      <c r="G384" s="167"/>
      <c r="H384" s="167"/>
      <c r="I384" s="167"/>
      <c r="J384" s="168"/>
    </row>
    <row r="385" spans="1:10" s="501" customFormat="1" x14ac:dyDescent="0.2">
      <c r="A385" s="492"/>
      <c r="B385" s="167"/>
      <c r="C385" s="167"/>
      <c r="D385" s="167"/>
      <c r="E385" s="167"/>
      <c r="F385" s="167"/>
      <c r="G385" s="167"/>
      <c r="H385" s="167"/>
      <c r="I385" s="167"/>
      <c r="J385" s="168"/>
    </row>
    <row r="386" spans="1:10" s="501" customFormat="1" x14ac:dyDescent="0.2">
      <c r="A386" s="492"/>
      <c r="B386" s="167"/>
      <c r="C386" s="167"/>
      <c r="D386" s="167"/>
      <c r="E386" s="167"/>
      <c r="F386" s="167"/>
      <c r="G386" s="167"/>
      <c r="H386" s="167"/>
      <c r="I386" s="167"/>
      <c r="J386" s="168"/>
    </row>
    <row r="387" spans="1:10" s="501" customFormat="1" x14ac:dyDescent="0.2">
      <c r="A387" s="492"/>
      <c r="B387" s="167"/>
      <c r="C387" s="167"/>
      <c r="D387" s="167"/>
      <c r="E387" s="167"/>
      <c r="F387" s="167"/>
      <c r="G387" s="167"/>
      <c r="H387" s="167"/>
      <c r="I387" s="167"/>
      <c r="J387" s="168"/>
    </row>
    <row r="388" spans="1:10" s="501" customFormat="1" x14ac:dyDescent="0.2">
      <c r="A388" s="492"/>
      <c r="B388" s="167"/>
      <c r="C388" s="167"/>
      <c r="D388" s="167"/>
      <c r="E388" s="167"/>
      <c r="F388" s="167"/>
      <c r="G388" s="167"/>
      <c r="H388" s="167"/>
      <c r="I388" s="167"/>
      <c r="J388" s="168"/>
    </row>
    <row r="389" spans="1:10" s="501" customFormat="1" x14ac:dyDescent="0.2">
      <c r="A389" s="492"/>
      <c r="B389" s="167"/>
      <c r="C389" s="167"/>
      <c r="D389" s="167"/>
      <c r="E389" s="167"/>
      <c r="F389" s="167"/>
      <c r="G389" s="167"/>
      <c r="H389" s="167"/>
      <c r="I389" s="167"/>
      <c r="J389" s="168"/>
    </row>
    <row r="390" spans="1:10" s="501" customFormat="1" x14ac:dyDescent="0.2">
      <c r="A390" s="492"/>
      <c r="B390" s="167"/>
      <c r="C390" s="167"/>
      <c r="D390" s="167"/>
      <c r="E390" s="167"/>
      <c r="F390" s="167"/>
      <c r="G390" s="167"/>
      <c r="H390" s="167"/>
      <c r="I390" s="167"/>
      <c r="J390" s="168"/>
    </row>
    <row r="391" spans="1:10" s="501" customFormat="1" x14ac:dyDescent="0.2">
      <c r="A391" s="492"/>
      <c r="B391" s="167"/>
      <c r="C391" s="167"/>
      <c r="D391" s="167"/>
      <c r="E391" s="167"/>
      <c r="F391" s="167"/>
      <c r="G391" s="167"/>
      <c r="H391" s="167"/>
      <c r="I391" s="167"/>
      <c r="J391" s="168"/>
    </row>
    <row r="392" spans="1:10" s="501" customFormat="1" x14ac:dyDescent="0.2">
      <c r="A392" s="492"/>
      <c r="B392" s="167"/>
      <c r="C392" s="167"/>
      <c r="D392" s="167"/>
      <c r="E392" s="167"/>
      <c r="F392" s="167"/>
      <c r="G392" s="167"/>
      <c r="H392" s="167"/>
      <c r="I392" s="167"/>
      <c r="J392" s="168"/>
    </row>
    <row r="393" spans="1:10" s="501" customFormat="1" x14ac:dyDescent="0.2">
      <c r="A393" s="492"/>
      <c r="B393" s="167"/>
      <c r="C393" s="167"/>
      <c r="D393" s="167"/>
      <c r="E393" s="167"/>
      <c r="F393" s="167"/>
      <c r="G393" s="167"/>
      <c r="H393" s="167"/>
      <c r="I393" s="167"/>
      <c r="J393" s="168"/>
    </row>
    <row r="394" spans="1:10" s="501" customFormat="1" x14ac:dyDescent="0.2">
      <c r="A394" s="492"/>
      <c r="B394" s="167"/>
      <c r="C394" s="167"/>
      <c r="D394" s="167"/>
      <c r="E394" s="167"/>
      <c r="F394" s="167"/>
      <c r="G394" s="167"/>
      <c r="H394" s="167"/>
      <c r="I394" s="167"/>
      <c r="J394" s="168"/>
    </row>
    <row r="395" spans="1:10" s="501" customFormat="1" x14ac:dyDescent="0.2">
      <c r="A395" s="492"/>
      <c r="B395" s="167"/>
      <c r="C395" s="167"/>
      <c r="D395" s="167"/>
      <c r="E395" s="167"/>
      <c r="F395" s="167"/>
      <c r="G395" s="167"/>
      <c r="H395" s="167"/>
      <c r="I395" s="167"/>
      <c r="J395" s="168"/>
    </row>
    <row r="396" spans="1:10" s="501" customFormat="1" x14ac:dyDescent="0.2">
      <c r="A396" s="492"/>
      <c r="B396" s="167"/>
      <c r="C396" s="167"/>
      <c r="D396" s="167"/>
      <c r="E396" s="167"/>
      <c r="F396" s="167"/>
      <c r="G396" s="167"/>
      <c r="H396" s="167"/>
      <c r="I396" s="167"/>
      <c r="J396" s="168"/>
    </row>
    <row r="397" spans="1:10" s="501" customFormat="1" x14ac:dyDescent="0.2">
      <c r="A397" s="492"/>
      <c r="B397" s="167"/>
      <c r="C397" s="167"/>
      <c r="D397" s="167"/>
      <c r="E397" s="167"/>
      <c r="F397" s="167"/>
      <c r="G397" s="167"/>
      <c r="H397" s="167"/>
      <c r="I397" s="167"/>
      <c r="J397" s="168"/>
    </row>
    <row r="398" spans="1:10" s="501" customFormat="1" x14ac:dyDescent="0.2">
      <c r="A398" s="492"/>
      <c r="B398" s="167"/>
      <c r="C398" s="167"/>
      <c r="D398" s="167"/>
      <c r="E398" s="167"/>
      <c r="F398" s="167"/>
      <c r="G398" s="167"/>
      <c r="H398" s="167"/>
      <c r="I398" s="167"/>
      <c r="J398" s="168"/>
    </row>
    <row r="399" spans="1:10" s="501" customFormat="1" x14ac:dyDescent="0.2">
      <c r="A399" s="492"/>
      <c r="B399" s="167"/>
      <c r="C399" s="167"/>
      <c r="D399" s="167"/>
      <c r="E399" s="167"/>
      <c r="F399" s="167"/>
      <c r="G399" s="167"/>
      <c r="H399" s="167"/>
      <c r="I399" s="167"/>
      <c r="J399" s="168"/>
    </row>
    <row r="400" spans="1:10" s="501" customFormat="1" x14ac:dyDescent="0.2">
      <c r="A400" s="492"/>
      <c r="B400" s="167"/>
      <c r="C400" s="167"/>
      <c r="D400" s="167"/>
      <c r="E400" s="167"/>
      <c r="F400" s="167"/>
      <c r="G400" s="167"/>
      <c r="H400" s="167"/>
      <c r="I400" s="167"/>
      <c r="J400" s="168"/>
    </row>
    <row r="401" spans="1:10" s="501" customFormat="1" x14ac:dyDescent="0.2">
      <c r="A401" s="492"/>
      <c r="B401" s="167"/>
      <c r="C401" s="167"/>
      <c r="D401" s="167"/>
      <c r="E401" s="167"/>
      <c r="F401" s="167"/>
      <c r="G401" s="167"/>
      <c r="H401" s="167"/>
      <c r="I401" s="167"/>
      <c r="J401" s="168"/>
    </row>
    <row r="402" spans="1:10" s="501" customFormat="1" x14ac:dyDescent="0.2">
      <c r="A402" s="492"/>
      <c r="B402" s="167"/>
      <c r="C402" s="167"/>
      <c r="D402" s="167"/>
      <c r="E402" s="167"/>
      <c r="F402" s="167"/>
      <c r="G402" s="167"/>
      <c r="H402" s="167"/>
      <c r="I402" s="167"/>
      <c r="J402" s="168"/>
    </row>
    <row r="403" spans="1:10" s="501" customFormat="1" x14ac:dyDescent="0.2">
      <c r="A403" s="492"/>
      <c r="B403" s="167"/>
      <c r="C403" s="167"/>
      <c r="D403" s="167"/>
      <c r="E403" s="167"/>
      <c r="F403" s="167"/>
      <c r="G403" s="167"/>
      <c r="H403" s="167"/>
      <c r="I403" s="167"/>
      <c r="J403" s="168"/>
    </row>
    <row r="404" spans="1:10" s="501" customFormat="1" x14ac:dyDescent="0.2">
      <c r="A404" s="492"/>
      <c r="B404" s="167"/>
      <c r="C404" s="167"/>
      <c r="D404" s="167"/>
      <c r="E404" s="167"/>
      <c r="F404" s="167"/>
      <c r="G404" s="167"/>
      <c r="H404" s="167"/>
      <c r="I404" s="167"/>
      <c r="J404" s="168"/>
    </row>
    <row r="405" spans="1:10" s="501" customFormat="1" x14ac:dyDescent="0.2">
      <c r="A405" s="492"/>
      <c r="B405" s="167"/>
      <c r="C405" s="167"/>
      <c r="D405" s="167"/>
      <c r="E405" s="167"/>
      <c r="F405" s="167"/>
      <c r="G405" s="167"/>
      <c r="H405" s="167"/>
      <c r="I405" s="167"/>
      <c r="J405" s="168"/>
    </row>
    <row r="406" spans="1:10" s="501" customFormat="1" x14ac:dyDescent="0.2">
      <c r="A406" s="492"/>
      <c r="B406" s="167"/>
      <c r="C406" s="167"/>
      <c r="D406" s="167"/>
      <c r="E406" s="167"/>
      <c r="F406" s="167"/>
      <c r="G406" s="167"/>
      <c r="H406" s="167"/>
      <c r="I406" s="167"/>
      <c r="J406" s="168"/>
    </row>
    <row r="407" spans="1:10" s="501" customFormat="1" x14ac:dyDescent="0.2">
      <c r="A407" s="492"/>
      <c r="B407" s="167"/>
      <c r="C407" s="167"/>
      <c r="D407" s="167"/>
      <c r="E407" s="167"/>
      <c r="F407" s="167"/>
      <c r="G407" s="167"/>
      <c r="H407" s="167"/>
      <c r="I407" s="167"/>
      <c r="J407" s="168"/>
    </row>
    <row r="408" spans="1:10" s="501" customFormat="1" x14ac:dyDescent="0.2">
      <c r="A408" s="492"/>
      <c r="B408" s="167"/>
      <c r="C408" s="167"/>
      <c r="D408" s="167"/>
      <c r="E408" s="167"/>
      <c r="F408" s="167"/>
      <c r="G408" s="167"/>
      <c r="H408" s="167"/>
      <c r="I408" s="167"/>
      <c r="J408" s="168"/>
    </row>
    <row r="409" spans="1:10" s="501" customFormat="1" x14ac:dyDescent="0.2">
      <c r="A409" s="492"/>
      <c r="B409" s="167"/>
      <c r="C409" s="167"/>
      <c r="D409" s="167"/>
      <c r="E409" s="167"/>
      <c r="F409" s="167"/>
      <c r="G409" s="167"/>
      <c r="H409" s="167"/>
      <c r="I409" s="167"/>
      <c r="J409" s="168"/>
    </row>
    <row r="410" spans="1:10" s="501" customFormat="1" x14ac:dyDescent="0.2">
      <c r="A410" s="492"/>
      <c r="B410" s="167"/>
      <c r="C410" s="167"/>
      <c r="D410" s="167"/>
      <c r="E410" s="167"/>
      <c r="F410" s="167"/>
      <c r="G410" s="167"/>
      <c r="H410" s="167"/>
      <c r="I410" s="167"/>
      <c r="J410" s="168"/>
    </row>
    <row r="411" spans="1:10" s="501" customFormat="1" x14ac:dyDescent="0.2">
      <c r="A411" s="492"/>
      <c r="B411" s="167"/>
      <c r="C411" s="167"/>
      <c r="D411" s="167"/>
      <c r="E411" s="167"/>
      <c r="F411" s="167"/>
      <c r="G411" s="167"/>
      <c r="H411" s="167"/>
      <c r="I411" s="167"/>
      <c r="J411" s="168"/>
    </row>
    <row r="412" spans="1:10" s="501" customFormat="1" x14ac:dyDescent="0.2">
      <c r="A412" s="492"/>
      <c r="B412" s="167"/>
      <c r="C412" s="167"/>
      <c r="D412" s="167"/>
      <c r="E412" s="167"/>
      <c r="F412" s="167"/>
      <c r="G412" s="167"/>
      <c r="H412" s="167"/>
      <c r="I412" s="167"/>
      <c r="J412" s="168"/>
    </row>
    <row r="413" spans="1:10" s="501" customFormat="1" x14ac:dyDescent="0.2">
      <c r="A413" s="492"/>
      <c r="B413" s="167"/>
      <c r="C413" s="167"/>
      <c r="D413" s="167"/>
      <c r="E413" s="167"/>
      <c r="F413" s="167"/>
      <c r="G413" s="167"/>
      <c r="H413" s="167"/>
      <c r="I413" s="167"/>
      <c r="J413" s="168"/>
    </row>
    <row r="414" spans="1:10" s="501" customFormat="1" x14ac:dyDescent="0.2">
      <c r="A414" s="492"/>
      <c r="B414" s="167"/>
      <c r="C414" s="167"/>
      <c r="D414" s="167"/>
      <c r="E414" s="167"/>
      <c r="F414" s="167"/>
      <c r="G414" s="167"/>
      <c r="H414" s="167"/>
      <c r="I414" s="167"/>
      <c r="J414" s="168"/>
    </row>
    <row r="415" spans="1:10" s="501" customFormat="1" x14ac:dyDescent="0.2">
      <c r="A415" s="492"/>
      <c r="B415" s="167"/>
      <c r="C415" s="167"/>
      <c r="D415" s="167"/>
      <c r="E415" s="167"/>
      <c r="F415" s="167"/>
      <c r="G415" s="167"/>
      <c r="H415" s="167"/>
      <c r="I415" s="167"/>
      <c r="J415" s="168"/>
    </row>
    <row r="416" spans="1:10" s="501" customFormat="1" x14ac:dyDescent="0.2">
      <c r="A416" s="492"/>
      <c r="B416" s="167"/>
      <c r="C416" s="167"/>
      <c r="D416" s="167"/>
      <c r="E416" s="167"/>
      <c r="F416" s="167"/>
      <c r="G416" s="167"/>
      <c r="H416" s="167"/>
      <c r="I416" s="167"/>
      <c r="J416" s="168"/>
    </row>
    <row r="417" spans="1:10" s="501" customFormat="1" x14ac:dyDescent="0.2">
      <c r="A417" s="492"/>
      <c r="B417" s="167"/>
      <c r="C417" s="167"/>
      <c r="D417" s="167"/>
      <c r="E417" s="167"/>
      <c r="F417" s="167"/>
      <c r="G417" s="167"/>
      <c r="H417" s="167"/>
      <c r="I417" s="167"/>
      <c r="J417" s="168"/>
    </row>
    <row r="418" spans="1:10" s="501" customFormat="1" x14ac:dyDescent="0.2">
      <c r="A418" s="492"/>
      <c r="B418" s="167"/>
      <c r="C418" s="167"/>
      <c r="D418" s="167"/>
      <c r="E418" s="167"/>
      <c r="F418" s="167"/>
      <c r="G418" s="167"/>
      <c r="H418" s="167"/>
      <c r="I418" s="167"/>
      <c r="J418" s="168"/>
    </row>
    <row r="419" spans="1:10" s="501" customFormat="1" x14ac:dyDescent="0.2">
      <c r="A419" s="492"/>
      <c r="B419" s="167"/>
      <c r="C419" s="167"/>
      <c r="D419" s="167"/>
      <c r="E419" s="167"/>
      <c r="F419" s="167"/>
      <c r="G419" s="167"/>
      <c r="H419" s="167"/>
      <c r="I419" s="167"/>
      <c r="J419" s="168"/>
    </row>
    <row r="420" spans="1:10" s="501" customFormat="1" x14ac:dyDescent="0.2">
      <c r="A420" s="492"/>
      <c r="B420" s="167"/>
      <c r="C420" s="167"/>
      <c r="D420" s="167"/>
      <c r="E420" s="167"/>
      <c r="F420" s="167"/>
      <c r="G420" s="167"/>
      <c r="H420" s="167"/>
      <c r="I420" s="167"/>
      <c r="J420" s="168"/>
    </row>
    <row r="421" spans="1:10" s="501" customFormat="1" x14ac:dyDescent="0.2">
      <c r="A421" s="492"/>
      <c r="B421" s="167"/>
      <c r="C421" s="167"/>
      <c r="D421" s="167"/>
      <c r="E421" s="167"/>
      <c r="F421" s="167"/>
      <c r="G421" s="167"/>
      <c r="H421" s="167"/>
      <c r="I421" s="167"/>
      <c r="J421" s="168"/>
    </row>
    <row r="422" spans="1:10" s="501" customFormat="1" x14ac:dyDescent="0.2">
      <c r="A422" s="492"/>
      <c r="B422" s="167"/>
      <c r="C422" s="167"/>
      <c r="D422" s="167"/>
      <c r="E422" s="167"/>
      <c r="F422" s="167"/>
      <c r="G422" s="167"/>
      <c r="H422" s="167"/>
      <c r="I422" s="167"/>
      <c r="J422" s="168"/>
    </row>
    <row r="423" spans="1:10" s="501" customFormat="1" x14ac:dyDescent="0.2">
      <c r="A423" s="492"/>
      <c r="B423" s="167"/>
      <c r="C423" s="167"/>
      <c r="D423" s="167"/>
      <c r="E423" s="167"/>
      <c r="F423" s="167"/>
      <c r="G423" s="167"/>
      <c r="H423" s="167"/>
      <c r="I423" s="167"/>
      <c r="J423" s="168"/>
    </row>
    <row r="424" spans="1:10" s="501" customFormat="1" x14ac:dyDescent="0.2">
      <c r="A424" s="492"/>
      <c r="B424" s="167"/>
      <c r="C424" s="167"/>
      <c r="D424" s="167"/>
      <c r="E424" s="167"/>
      <c r="F424" s="167"/>
      <c r="G424" s="167"/>
      <c r="H424" s="167"/>
      <c r="I424" s="167"/>
      <c r="J424" s="168"/>
    </row>
    <row r="425" spans="1:10" s="501" customFormat="1" x14ac:dyDescent="0.2">
      <c r="A425" s="492"/>
      <c r="B425" s="167"/>
      <c r="C425" s="167"/>
      <c r="D425" s="167"/>
      <c r="E425" s="167"/>
      <c r="F425" s="167"/>
      <c r="G425" s="167"/>
      <c r="H425" s="167"/>
      <c r="I425" s="167"/>
      <c r="J425" s="168"/>
    </row>
    <row r="426" spans="1:10" s="501" customFormat="1" x14ac:dyDescent="0.2">
      <c r="A426" s="492"/>
      <c r="B426" s="167"/>
      <c r="C426" s="167"/>
      <c r="D426" s="167"/>
      <c r="E426" s="167"/>
      <c r="F426" s="167"/>
      <c r="G426" s="167"/>
      <c r="H426" s="167"/>
      <c r="I426" s="167"/>
      <c r="J426" s="168"/>
    </row>
    <row r="427" spans="1:10" s="501" customFormat="1" x14ac:dyDescent="0.2">
      <c r="A427" s="492"/>
      <c r="B427" s="167"/>
      <c r="C427" s="167"/>
      <c r="D427" s="167"/>
      <c r="E427" s="167"/>
      <c r="F427" s="167"/>
      <c r="G427" s="167"/>
      <c r="H427" s="167"/>
      <c r="I427" s="167"/>
      <c r="J427" s="168"/>
    </row>
    <row r="428" spans="1:10" s="501" customFormat="1" x14ac:dyDescent="0.2">
      <c r="A428" s="492"/>
      <c r="B428" s="167"/>
      <c r="C428" s="167"/>
      <c r="D428" s="167"/>
      <c r="E428" s="167"/>
      <c r="F428" s="167"/>
      <c r="G428" s="167"/>
      <c r="H428" s="167"/>
      <c r="I428" s="167"/>
      <c r="J428" s="168"/>
    </row>
    <row r="429" spans="1:10" s="501" customFormat="1" x14ac:dyDescent="0.2">
      <c r="A429" s="492"/>
      <c r="B429" s="167"/>
      <c r="C429" s="167"/>
      <c r="D429" s="167"/>
      <c r="E429" s="167"/>
      <c r="F429" s="167"/>
      <c r="G429" s="167"/>
      <c r="H429" s="167"/>
      <c r="I429" s="167"/>
      <c r="J429" s="168"/>
    </row>
    <row r="430" spans="1:10" s="501" customFormat="1" x14ac:dyDescent="0.2">
      <c r="A430" s="492"/>
      <c r="B430" s="167"/>
      <c r="C430" s="167"/>
      <c r="D430" s="167"/>
      <c r="E430" s="167"/>
      <c r="F430" s="167"/>
      <c r="G430" s="167"/>
      <c r="H430" s="167"/>
      <c r="I430" s="167"/>
      <c r="J430" s="168"/>
    </row>
    <row r="431" spans="1:10" s="501" customFormat="1" x14ac:dyDescent="0.2">
      <c r="A431" s="492"/>
      <c r="B431" s="167"/>
      <c r="C431" s="167"/>
      <c r="D431" s="167"/>
      <c r="E431" s="167"/>
      <c r="F431" s="167"/>
      <c r="G431" s="167"/>
      <c r="H431" s="167"/>
      <c r="I431" s="167"/>
      <c r="J431" s="168"/>
    </row>
    <row r="432" spans="1:10" s="501" customFormat="1" x14ac:dyDescent="0.2">
      <c r="A432" s="492"/>
      <c r="B432" s="167"/>
      <c r="C432" s="167"/>
      <c r="D432" s="167"/>
      <c r="E432" s="167"/>
      <c r="F432" s="167"/>
      <c r="G432" s="167"/>
      <c r="H432" s="167"/>
      <c r="I432" s="167"/>
      <c r="J432" s="168"/>
    </row>
    <row r="433" spans="1:10" s="501" customFormat="1" x14ac:dyDescent="0.2">
      <c r="A433" s="492"/>
      <c r="B433" s="167"/>
      <c r="C433" s="167"/>
      <c r="D433" s="167"/>
      <c r="E433" s="167"/>
      <c r="F433" s="167"/>
      <c r="G433" s="167"/>
      <c r="H433" s="167"/>
      <c r="I433" s="167"/>
      <c r="J433" s="168"/>
    </row>
    <row r="434" spans="1:10" s="501" customFormat="1" x14ac:dyDescent="0.2">
      <c r="A434" s="492"/>
      <c r="B434" s="167"/>
      <c r="C434" s="167"/>
      <c r="D434" s="167"/>
      <c r="E434" s="167"/>
      <c r="F434" s="167"/>
      <c r="G434" s="167"/>
      <c r="H434" s="167"/>
      <c r="I434" s="167"/>
      <c r="J434" s="168"/>
    </row>
    <row r="435" spans="1:10" s="501" customFormat="1" x14ac:dyDescent="0.2">
      <c r="A435" s="492"/>
      <c r="B435" s="167"/>
      <c r="C435" s="167"/>
      <c r="D435" s="167"/>
      <c r="E435" s="167"/>
      <c r="F435" s="167"/>
      <c r="G435" s="167"/>
      <c r="H435" s="167"/>
      <c r="I435" s="167"/>
      <c r="J435" s="168"/>
    </row>
    <row r="436" spans="1:10" s="501" customFormat="1" x14ac:dyDescent="0.2">
      <c r="A436" s="492"/>
      <c r="B436" s="167"/>
      <c r="C436" s="167"/>
      <c r="D436" s="167"/>
      <c r="E436" s="167"/>
      <c r="F436" s="167"/>
      <c r="G436" s="167"/>
      <c r="H436" s="167"/>
      <c r="I436" s="167"/>
      <c r="J436" s="168"/>
    </row>
    <row r="437" spans="1:10" s="501" customFormat="1" x14ac:dyDescent="0.2">
      <c r="A437" s="492"/>
      <c r="B437" s="167"/>
      <c r="C437" s="167"/>
      <c r="D437" s="167"/>
      <c r="E437" s="167"/>
      <c r="F437" s="167"/>
      <c r="G437" s="167"/>
      <c r="H437" s="167"/>
      <c r="I437" s="167"/>
      <c r="J437" s="168"/>
    </row>
    <row r="438" spans="1:10" s="501" customFormat="1" x14ac:dyDescent="0.2">
      <c r="A438" s="492"/>
      <c r="B438" s="167"/>
      <c r="C438" s="167"/>
      <c r="D438" s="167"/>
      <c r="E438" s="167"/>
      <c r="F438" s="167"/>
      <c r="G438" s="167"/>
      <c r="H438" s="167"/>
      <c r="I438" s="167"/>
      <c r="J438" s="168"/>
    </row>
    <row r="439" spans="1:10" s="501" customFormat="1" x14ac:dyDescent="0.2">
      <c r="A439" s="492"/>
      <c r="B439" s="167"/>
      <c r="C439" s="167"/>
      <c r="D439" s="167"/>
      <c r="E439" s="167"/>
      <c r="F439" s="167"/>
      <c r="G439" s="167"/>
      <c r="H439" s="167"/>
      <c r="I439" s="167"/>
      <c r="J439" s="168"/>
    </row>
    <row r="440" spans="1:10" s="501" customFormat="1" x14ac:dyDescent="0.2">
      <c r="A440" s="492"/>
      <c r="B440" s="167"/>
      <c r="C440" s="167"/>
      <c r="D440" s="167"/>
      <c r="E440" s="167"/>
      <c r="F440" s="167"/>
      <c r="G440" s="167"/>
      <c r="H440" s="167"/>
      <c r="I440" s="167"/>
      <c r="J440" s="168"/>
    </row>
    <row r="441" spans="1:10" s="501" customFormat="1" x14ac:dyDescent="0.2">
      <c r="A441" s="492"/>
      <c r="B441" s="167"/>
      <c r="C441" s="167"/>
      <c r="D441" s="167"/>
      <c r="E441" s="167"/>
      <c r="F441" s="167"/>
      <c r="G441" s="167"/>
      <c r="H441" s="167"/>
      <c r="I441" s="167"/>
      <c r="J441" s="168"/>
    </row>
    <row r="442" spans="1:10" s="501" customFormat="1" x14ac:dyDescent="0.2">
      <c r="A442" s="492"/>
      <c r="B442" s="167"/>
      <c r="C442" s="167"/>
      <c r="D442" s="167"/>
      <c r="E442" s="167"/>
      <c r="F442" s="167"/>
      <c r="G442" s="167"/>
      <c r="H442" s="167"/>
      <c r="I442" s="167"/>
      <c r="J442" s="168"/>
    </row>
    <row r="443" spans="1:10" s="501" customFormat="1" x14ac:dyDescent="0.2">
      <c r="A443" s="492"/>
      <c r="B443" s="167"/>
      <c r="C443" s="167"/>
      <c r="D443" s="167"/>
      <c r="E443" s="167"/>
      <c r="F443" s="167"/>
      <c r="G443" s="167"/>
      <c r="H443" s="167"/>
      <c r="I443" s="167"/>
      <c r="J443" s="168"/>
    </row>
    <row r="444" spans="1:10" s="501" customFormat="1" x14ac:dyDescent="0.2">
      <c r="A444" s="492"/>
      <c r="B444" s="167"/>
      <c r="C444" s="167"/>
      <c r="D444" s="167"/>
      <c r="E444" s="167"/>
      <c r="F444" s="167"/>
      <c r="G444" s="167"/>
      <c r="H444" s="167"/>
      <c r="I444" s="167"/>
      <c r="J444" s="168"/>
    </row>
    <row r="445" spans="1:10" s="501" customFormat="1" x14ac:dyDescent="0.2">
      <c r="A445" s="492"/>
      <c r="B445" s="167"/>
      <c r="C445" s="167"/>
      <c r="D445" s="167"/>
      <c r="E445" s="167"/>
      <c r="F445" s="167"/>
      <c r="G445" s="167"/>
      <c r="H445" s="167"/>
      <c r="I445" s="167"/>
      <c r="J445" s="168"/>
    </row>
    <row r="446" spans="1:10" s="501" customFormat="1" x14ac:dyDescent="0.2">
      <c r="A446" s="492"/>
      <c r="B446" s="167"/>
      <c r="C446" s="167"/>
      <c r="D446" s="167"/>
      <c r="E446" s="167"/>
      <c r="F446" s="167"/>
      <c r="G446" s="167"/>
      <c r="H446" s="167"/>
      <c r="I446" s="167"/>
      <c r="J446" s="168"/>
    </row>
    <row r="447" spans="1:10" s="501" customFormat="1" x14ac:dyDescent="0.2">
      <c r="A447" s="492"/>
      <c r="B447" s="167"/>
      <c r="C447" s="167"/>
      <c r="D447" s="167"/>
      <c r="E447" s="167"/>
      <c r="F447" s="167"/>
      <c r="G447" s="167"/>
      <c r="H447" s="167"/>
      <c r="I447" s="167"/>
      <c r="J447" s="168"/>
    </row>
    <row r="448" spans="1:10" s="501" customFormat="1" x14ac:dyDescent="0.2">
      <c r="A448" s="492"/>
      <c r="B448" s="167"/>
      <c r="C448" s="167"/>
      <c r="D448" s="167"/>
      <c r="E448" s="167"/>
      <c r="F448" s="167"/>
      <c r="G448" s="167"/>
      <c r="H448" s="167"/>
      <c r="I448" s="167"/>
      <c r="J448" s="168"/>
    </row>
    <row r="449" spans="1:10" s="501" customFormat="1" x14ac:dyDescent="0.2">
      <c r="A449" s="492"/>
      <c r="B449" s="167"/>
      <c r="C449" s="167"/>
      <c r="D449" s="167"/>
      <c r="E449" s="167"/>
      <c r="F449" s="167"/>
      <c r="G449" s="167"/>
      <c r="H449" s="167"/>
      <c r="I449" s="167"/>
      <c r="J449" s="168"/>
    </row>
    <row r="450" spans="1:10" s="501" customFormat="1" x14ac:dyDescent="0.2">
      <c r="A450" s="492"/>
      <c r="B450" s="167"/>
      <c r="C450" s="167"/>
      <c r="D450" s="167"/>
      <c r="E450" s="167"/>
      <c r="F450" s="167"/>
      <c r="G450" s="167"/>
      <c r="H450" s="167"/>
      <c r="I450" s="167"/>
      <c r="J450" s="168"/>
    </row>
    <row r="451" spans="1:10" s="501" customFormat="1" x14ac:dyDescent="0.2">
      <c r="A451" s="492"/>
      <c r="B451" s="167"/>
      <c r="C451" s="167"/>
      <c r="D451" s="167"/>
      <c r="E451" s="167"/>
      <c r="F451" s="167"/>
      <c r="G451" s="167"/>
      <c r="H451" s="167"/>
      <c r="I451" s="167"/>
      <c r="J451" s="168"/>
    </row>
    <row r="452" spans="1:10" s="501" customFormat="1" x14ac:dyDescent="0.2">
      <c r="A452" s="492"/>
      <c r="B452" s="167"/>
      <c r="C452" s="167"/>
      <c r="D452" s="167"/>
      <c r="E452" s="167"/>
      <c r="F452" s="167"/>
      <c r="G452" s="167"/>
      <c r="H452" s="167"/>
      <c r="I452" s="167"/>
      <c r="J452" s="168"/>
    </row>
    <row r="453" spans="1:10" s="501" customFormat="1" x14ac:dyDescent="0.2">
      <c r="A453" s="492"/>
      <c r="B453" s="167"/>
      <c r="C453" s="167"/>
      <c r="D453" s="167"/>
      <c r="E453" s="167"/>
      <c r="F453" s="167"/>
      <c r="G453" s="167"/>
      <c r="H453" s="167"/>
      <c r="I453" s="167"/>
      <c r="J453" s="168"/>
    </row>
    <row r="454" spans="1:10" s="501" customFormat="1" x14ac:dyDescent="0.2">
      <c r="A454" s="492"/>
      <c r="B454" s="167"/>
      <c r="C454" s="167"/>
      <c r="D454" s="167"/>
      <c r="E454" s="167"/>
      <c r="F454" s="167"/>
      <c r="G454" s="167"/>
      <c r="H454" s="167"/>
      <c r="I454" s="167"/>
      <c r="J454" s="168"/>
    </row>
    <row r="455" spans="1:10" s="501" customFormat="1" x14ac:dyDescent="0.2">
      <c r="A455" s="492"/>
      <c r="B455" s="167"/>
      <c r="C455" s="167"/>
      <c r="D455" s="167"/>
      <c r="E455" s="167"/>
      <c r="F455" s="167"/>
      <c r="G455" s="167"/>
      <c r="H455" s="167"/>
      <c r="I455" s="167"/>
      <c r="J455" s="168"/>
    </row>
    <row r="456" spans="1:10" s="501" customFormat="1" x14ac:dyDescent="0.2">
      <c r="A456" s="492"/>
      <c r="B456" s="167"/>
      <c r="C456" s="167"/>
      <c r="D456" s="167"/>
      <c r="E456" s="167"/>
      <c r="F456" s="167"/>
      <c r="G456" s="167"/>
      <c r="H456" s="167"/>
      <c r="I456" s="167"/>
      <c r="J456" s="168"/>
    </row>
    <row r="457" spans="1:10" s="501" customFormat="1" x14ac:dyDescent="0.2">
      <c r="A457" s="492"/>
      <c r="B457" s="167"/>
      <c r="C457" s="167"/>
      <c r="D457" s="167"/>
      <c r="E457" s="167"/>
      <c r="F457" s="167"/>
      <c r="G457" s="167"/>
      <c r="H457" s="167"/>
      <c r="I457" s="167"/>
      <c r="J457" s="168"/>
    </row>
    <row r="458" spans="1:10" s="501" customFormat="1" x14ac:dyDescent="0.2">
      <c r="A458" s="492"/>
      <c r="B458" s="167"/>
      <c r="C458" s="167"/>
      <c r="D458" s="167"/>
      <c r="E458" s="167"/>
      <c r="F458" s="167"/>
      <c r="G458" s="167"/>
      <c r="H458" s="167"/>
      <c r="I458" s="167"/>
      <c r="J458" s="168"/>
    </row>
    <row r="459" spans="1:10" s="501" customFormat="1" x14ac:dyDescent="0.2">
      <c r="A459" s="492"/>
      <c r="B459" s="167"/>
      <c r="C459" s="167"/>
      <c r="D459" s="167"/>
      <c r="E459" s="167"/>
      <c r="F459" s="167"/>
      <c r="G459" s="167"/>
      <c r="H459" s="167"/>
      <c r="I459" s="167"/>
      <c r="J459" s="168"/>
    </row>
    <row r="460" spans="1:10" s="501" customFormat="1" x14ac:dyDescent="0.2">
      <c r="A460" s="492"/>
      <c r="B460" s="167"/>
      <c r="C460" s="167"/>
      <c r="D460" s="167"/>
      <c r="E460" s="167"/>
      <c r="F460" s="167"/>
      <c r="G460" s="167"/>
      <c r="H460" s="167"/>
      <c r="I460" s="167"/>
      <c r="J460" s="168"/>
    </row>
    <row r="461" spans="1:10" s="501" customFormat="1" x14ac:dyDescent="0.2">
      <c r="A461" s="492"/>
      <c r="B461" s="167"/>
      <c r="C461" s="167"/>
      <c r="D461" s="167"/>
      <c r="E461" s="167"/>
      <c r="F461" s="167"/>
      <c r="G461" s="167"/>
      <c r="H461" s="167"/>
      <c r="I461" s="167"/>
      <c r="J461" s="168"/>
    </row>
    <row r="462" spans="1:10" s="501" customFormat="1" x14ac:dyDescent="0.2">
      <c r="A462" s="492"/>
      <c r="B462" s="167"/>
      <c r="C462" s="167"/>
      <c r="D462" s="167"/>
      <c r="E462" s="167"/>
      <c r="F462" s="167"/>
      <c r="G462" s="167"/>
      <c r="H462" s="167"/>
      <c r="I462" s="167"/>
      <c r="J462" s="168"/>
    </row>
    <row r="463" spans="1:10" s="501" customFormat="1" x14ac:dyDescent="0.2">
      <c r="A463" s="492"/>
      <c r="B463" s="167"/>
      <c r="C463" s="167"/>
      <c r="D463" s="167"/>
      <c r="E463" s="167"/>
      <c r="F463" s="167"/>
      <c r="G463" s="167"/>
      <c r="H463" s="167"/>
      <c r="I463" s="167"/>
      <c r="J463" s="168"/>
    </row>
    <row r="464" spans="1:10" s="501" customFormat="1" x14ac:dyDescent="0.2">
      <c r="A464" s="492"/>
      <c r="B464" s="167"/>
      <c r="C464" s="167"/>
      <c r="D464" s="167"/>
      <c r="E464" s="167"/>
      <c r="F464" s="167"/>
      <c r="G464" s="167"/>
      <c r="H464" s="167"/>
      <c r="I464" s="167"/>
      <c r="J464" s="168"/>
    </row>
    <row r="465" spans="1:10" s="501" customFormat="1" x14ac:dyDescent="0.2">
      <c r="A465" s="492"/>
      <c r="B465" s="167"/>
      <c r="C465" s="167"/>
      <c r="D465" s="167"/>
      <c r="E465" s="167"/>
      <c r="F465" s="167"/>
      <c r="G465" s="167"/>
      <c r="H465" s="167"/>
      <c r="I465" s="167"/>
      <c r="J465" s="168"/>
    </row>
    <row r="466" spans="1:10" s="501" customFormat="1" x14ac:dyDescent="0.2">
      <c r="A466" s="492"/>
      <c r="B466" s="167"/>
      <c r="C466" s="167"/>
      <c r="D466" s="167"/>
      <c r="E466" s="167"/>
      <c r="F466" s="167"/>
      <c r="G466" s="167"/>
      <c r="H466" s="167"/>
      <c r="I466" s="167"/>
      <c r="J466" s="168"/>
    </row>
    <row r="467" spans="1:10" s="501" customFormat="1" x14ac:dyDescent="0.2">
      <c r="A467" s="492"/>
      <c r="B467" s="167"/>
      <c r="C467" s="167"/>
      <c r="D467" s="167"/>
      <c r="E467" s="167"/>
      <c r="F467" s="167"/>
      <c r="G467" s="167"/>
      <c r="H467" s="167"/>
      <c r="I467" s="167"/>
      <c r="J467" s="168"/>
    </row>
    <row r="468" spans="1:10" s="501" customFormat="1" x14ac:dyDescent="0.2">
      <c r="A468" s="492"/>
      <c r="B468" s="167"/>
      <c r="C468" s="167"/>
      <c r="D468" s="167"/>
      <c r="E468" s="167"/>
      <c r="F468" s="167"/>
      <c r="G468" s="167"/>
      <c r="H468" s="167"/>
      <c r="I468" s="167"/>
      <c r="J468" s="168"/>
    </row>
    <row r="469" spans="1:10" s="501" customFormat="1" x14ac:dyDescent="0.2">
      <c r="A469" s="492"/>
      <c r="B469" s="167"/>
      <c r="C469" s="167"/>
      <c r="D469" s="167"/>
      <c r="E469" s="167"/>
      <c r="F469" s="167"/>
      <c r="G469" s="167"/>
      <c r="H469" s="167"/>
      <c r="I469" s="167"/>
      <c r="J469" s="168"/>
    </row>
    <row r="470" spans="1:10" s="501" customFormat="1" x14ac:dyDescent="0.2">
      <c r="A470" s="492"/>
      <c r="B470" s="167"/>
      <c r="C470" s="167"/>
      <c r="D470" s="167"/>
      <c r="E470" s="167"/>
      <c r="F470" s="167"/>
      <c r="G470" s="167"/>
      <c r="H470" s="167"/>
      <c r="I470" s="167"/>
      <c r="J470" s="168"/>
    </row>
    <row r="471" spans="1:10" s="501" customFormat="1" x14ac:dyDescent="0.2">
      <c r="A471" s="492"/>
      <c r="B471" s="167"/>
      <c r="C471" s="167"/>
      <c r="D471" s="167"/>
      <c r="E471" s="167"/>
      <c r="F471" s="167"/>
      <c r="G471" s="167"/>
      <c r="H471" s="167"/>
      <c r="I471" s="167"/>
      <c r="J471" s="168"/>
    </row>
    <row r="472" spans="1:10" s="501" customFormat="1" x14ac:dyDescent="0.2">
      <c r="A472" s="492"/>
      <c r="B472" s="167"/>
      <c r="C472" s="167"/>
      <c r="D472" s="167"/>
      <c r="E472" s="167"/>
      <c r="F472" s="167"/>
      <c r="G472" s="167"/>
      <c r="H472" s="167"/>
      <c r="I472" s="167"/>
      <c r="J472" s="168"/>
    </row>
    <row r="473" spans="1:10" s="501" customFormat="1" x14ac:dyDescent="0.2">
      <c r="A473" s="492"/>
      <c r="B473" s="167"/>
      <c r="C473" s="167"/>
      <c r="D473" s="167"/>
      <c r="E473" s="167"/>
      <c r="F473" s="167"/>
      <c r="G473" s="167"/>
      <c r="H473" s="167"/>
      <c r="I473" s="167"/>
      <c r="J473" s="168"/>
    </row>
    <row r="474" spans="1:10" s="501" customFormat="1" x14ac:dyDescent="0.2">
      <c r="A474" s="492"/>
      <c r="B474" s="167"/>
      <c r="C474" s="167"/>
      <c r="D474" s="167"/>
      <c r="E474" s="167"/>
      <c r="F474" s="167"/>
      <c r="G474" s="167"/>
      <c r="H474" s="167"/>
      <c r="I474" s="167"/>
      <c r="J474" s="168"/>
    </row>
    <row r="475" spans="1:10" s="501" customFormat="1" x14ac:dyDescent="0.2">
      <c r="A475" s="492"/>
      <c r="B475" s="167"/>
      <c r="C475" s="167"/>
      <c r="D475" s="167"/>
      <c r="E475" s="167"/>
      <c r="F475" s="167"/>
      <c r="G475" s="167"/>
      <c r="H475" s="167"/>
      <c r="I475" s="167"/>
      <c r="J475" s="168"/>
    </row>
    <row r="476" spans="1:10" s="501" customFormat="1" x14ac:dyDescent="0.2">
      <c r="A476" s="492"/>
      <c r="B476" s="167"/>
      <c r="C476" s="167"/>
      <c r="D476" s="167"/>
      <c r="E476" s="167"/>
      <c r="F476" s="167"/>
      <c r="G476" s="167"/>
      <c r="H476" s="167"/>
      <c r="I476" s="167"/>
      <c r="J476" s="168"/>
    </row>
    <row r="477" spans="1:10" s="501" customFormat="1" x14ac:dyDescent="0.2">
      <c r="A477" s="492"/>
      <c r="B477" s="167"/>
      <c r="C477" s="167"/>
      <c r="D477" s="167"/>
      <c r="E477" s="167"/>
      <c r="F477" s="167"/>
      <c r="G477" s="167"/>
      <c r="H477" s="167"/>
      <c r="I477" s="167"/>
      <c r="J477" s="168"/>
    </row>
    <row r="478" spans="1:10" s="501" customFormat="1" x14ac:dyDescent="0.2">
      <c r="A478" s="492"/>
      <c r="B478" s="167"/>
      <c r="C478" s="167"/>
      <c r="D478" s="167"/>
      <c r="E478" s="167"/>
      <c r="F478" s="167"/>
      <c r="G478" s="167"/>
      <c r="H478" s="167"/>
      <c r="I478" s="167"/>
      <c r="J478" s="168"/>
    </row>
    <row r="479" spans="1:10" s="501" customFormat="1" x14ac:dyDescent="0.2">
      <c r="A479" s="492"/>
      <c r="B479" s="167"/>
      <c r="C479" s="167"/>
      <c r="D479" s="167"/>
      <c r="E479" s="167"/>
      <c r="F479" s="167"/>
      <c r="G479" s="167"/>
      <c r="H479" s="167"/>
      <c r="I479" s="167"/>
      <c r="J479" s="168"/>
    </row>
    <row r="480" spans="1:10" s="501" customFormat="1" x14ac:dyDescent="0.2">
      <c r="A480" s="492"/>
      <c r="B480" s="167"/>
      <c r="C480" s="167"/>
      <c r="D480" s="167"/>
      <c r="E480" s="167"/>
      <c r="F480" s="167"/>
      <c r="G480" s="167"/>
      <c r="H480" s="167"/>
      <c r="I480" s="167"/>
      <c r="J480" s="168"/>
    </row>
    <row r="481" spans="1:10" s="501" customFormat="1" x14ac:dyDescent="0.2">
      <c r="A481" s="492"/>
      <c r="B481" s="167"/>
      <c r="C481" s="167"/>
      <c r="D481" s="167"/>
      <c r="E481" s="167"/>
      <c r="F481" s="167"/>
      <c r="G481" s="167"/>
      <c r="H481" s="167"/>
      <c r="I481" s="167"/>
      <c r="J481" s="168"/>
    </row>
    <row r="482" spans="1:10" s="501" customFormat="1" x14ac:dyDescent="0.2">
      <c r="A482" s="492"/>
      <c r="B482" s="167"/>
      <c r="C482" s="167"/>
      <c r="D482" s="167"/>
      <c r="E482" s="167"/>
      <c r="F482" s="167"/>
      <c r="G482" s="167"/>
      <c r="H482" s="167"/>
      <c r="I482" s="167"/>
      <c r="J482" s="168"/>
    </row>
    <row r="483" spans="1:10" s="501" customFormat="1" x14ac:dyDescent="0.2">
      <c r="A483" s="492"/>
      <c r="B483" s="167"/>
      <c r="C483" s="167"/>
      <c r="D483" s="167"/>
      <c r="E483" s="167"/>
      <c r="F483" s="167"/>
      <c r="G483" s="167"/>
      <c r="H483" s="167"/>
      <c r="I483" s="167"/>
      <c r="J483" s="168"/>
    </row>
    <row r="484" spans="1:10" s="501" customFormat="1" x14ac:dyDescent="0.2">
      <c r="A484" s="492"/>
      <c r="B484" s="167"/>
      <c r="C484" s="167"/>
      <c r="D484" s="167"/>
      <c r="E484" s="167"/>
      <c r="F484" s="167"/>
      <c r="G484" s="167"/>
      <c r="H484" s="167"/>
      <c r="I484" s="167"/>
      <c r="J484" s="168"/>
    </row>
    <row r="485" spans="1:10" s="501" customFormat="1" x14ac:dyDescent="0.2">
      <c r="A485" s="492"/>
      <c r="B485" s="167"/>
      <c r="C485" s="167"/>
      <c r="D485" s="167"/>
      <c r="E485" s="167"/>
      <c r="F485" s="167"/>
      <c r="G485" s="167"/>
      <c r="H485" s="167"/>
      <c r="I485" s="167"/>
      <c r="J485" s="168"/>
    </row>
    <row r="486" spans="1:10" s="501" customFormat="1" x14ac:dyDescent="0.2">
      <c r="A486" s="492"/>
      <c r="B486" s="167"/>
      <c r="C486" s="167"/>
      <c r="D486" s="167"/>
      <c r="E486" s="167"/>
      <c r="F486" s="167"/>
      <c r="G486" s="167"/>
      <c r="H486" s="167"/>
      <c r="I486" s="167"/>
      <c r="J486" s="168"/>
    </row>
    <row r="487" spans="1:10" s="501" customFormat="1" x14ac:dyDescent="0.2">
      <c r="A487" s="492"/>
      <c r="B487" s="167"/>
      <c r="C487" s="167"/>
      <c r="D487" s="167"/>
      <c r="E487" s="167"/>
      <c r="F487" s="167"/>
      <c r="G487" s="167"/>
      <c r="H487" s="167"/>
      <c r="I487" s="167"/>
      <c r="J487" s="168"/>
    </row>
    <row r="488" spans="1:10" s="501" customFormat="1" x14ac:dyDescent="0.2">
      <c r="A488" s="492"/>
      <c r="B488" s="167"/>
      <c r="C488" s="167"/>
      <c r="D488" s="167"/>
      <c r="E488" s="167"/>
      <c r="F488" s="167"/>
      <c r="G488" s="167"/>
      <c r="H488" s="167"/>
      <c r="I488" s="167"/>
      <c r="J488" s="168"/>
    </row>
    <row r="489" spans="1:10" s="501" customFormat="1" x14ac:dyDescent="0.2">
      <c r="A489" s="492"/>
      <c r="B489" s="167"/>
      <c r="C489" s="167"/>
      <c r="D489" s="167"/>
      <c r="E489" s="167"/>
      <c r="F489" s="167"/>
      <c r="G489" s="167"/>
      <c r="H489" s="167"/>
      <c r="I489" s="167"/>
      <c r="J489" s="168"/>
    </row>
    <row r="490" spans="1:10" s="501" customFormat="1" x14ac:dyDescent="0.2">
      <c r="A490" s="492"/>
      <c r="B490" s="167"/>
      <c r="C490" s="167"/>
      <c r="D490" s="167"/>
      <c r="E490" s="167"/>
      <c r="F490" s="167"/>
      <c r="G490" s="167"/>
      <c r="H490" s="167"/>
      <c r="I490" s="167"/>
      <c r="J490" s="168"/>
    </row>
    <row r="491" spans="1:10" s="501" customFormat="1" x14ac:dyDescent="0.2">
      <c r="A491" s="492"/>
      <c r="B491" s="167"/>
      <c r="C491" s="167"/>
      <c r="D491" s="167"/>
      <c r="E491" s="167"/>
      <c r="F491" s="167"/>
      <c r="G491" s="167"/>
      <c r="H491" s="167"/>
      <c r="I491" s="167"/>
      <c r="J491" s="168"/>
    </row>
    <row r="492" spans="1:10" s="501" customFormat="1" x14ac:dyDescent="0.2">
      <c r="A492" s="492"/>
      <c r="B492" s="167"/>
      <c r="C492" s="167"/>
      <c r="D492" s="167"/>
      <c r="E492" s="167"/>
      <c r="F492" s="167"/>
      <c r="G492" s="167"/>
      <c r="H492" s="167"/>
      <c r="I492" s="167"/>
      <c r="J492" s="168"/>
    </row>
    <row r="493" spans="1:10" s="501" customFormat="1" x14ac:dyDescent="0.2">
      <c r="A493" s="492"/>
      <c r="B493" s="167"/>
      <c r="C493" s="167"/>
      <c r="D493" s="167"/>
      <c r="E493" s="167"/>
      <c r="F493" s="167"/>
      <c r="G493" s="167"/>
      <c r="H493" s="167"/>
      <c r="I493" s="167"/>
      <c r="J493" s="168"/>
    </row>
    <row r="494" spans="1:10" s="501" customFormat="1" x14ac:dyDescent="0.2">
      <c r="A494" s="492"/>
      <c r="B494" s="167"/>
      <c r="C494" s="167"/>
      <c r="D494" s="167"/>
      <c r="E494" s="167"/>
      <c r="F494" s="167"/>
      <c r="G494" s="167"/>
      <c r="H494" s="167"/>
      <c r="I494" s="167"/>
      <c r="J494" s="168"/>
    </row>
    <row r="495" spans="1:10" s="501" customFormat="1" x14ac:dyDescent="0.2">
      <c r="A495" s="492"/>
      <c r="B495" s="167"/>
      <c r="C495" s="167"/>
      <c r="D495" s="167"/>
      <c r="E495" s="167"/>
      <c r="F495" s="167"/>
      <c r="G495" s="167"/>
      <c r="H495" s="167"/>
      <c r="I495" s="167"/>
      <c r="J495" s="168"/>
    </row>
    <row r="496" spans="1:10" s="501" customFormat="1" x14ac:dyDescent="0.2">
      <c r="A496" s="492"/>
      <c r="B496" s="167"/>
      <c r="C496" s="167"/>
      <c r="D496" s="167"/>
      <c r="E496" s="167"/>
      <c r="F496" s="167"/>
      <c r="G496" s="167"/>
      <c r="H496" s="167"/>
      <c r="I496" s="167"/>
      <c r="J496" s="168"/>
    </row>
    <row r="497" spans="1:10" s="501" customFormat="1" x14ac:dyDescent="0.2">
      <c r="A497" s="492"/>
      <c r="B497" s="167"/>
      <c r="C497" s="167"/>
      <c r="D497" s="167"/>
      <c r="E497" s="167"/>
      <c r="F497" s="167"/>
      <c r="G497" s="167"/>
      <c r="H497" s="167"/>
      <c r="I497" s="167"/>
      <c r="J497" s="168"/>
    </row>
    <row r="498" spans="1:10" s="501" customFormat="1" x14ac:dyDescent="0.2">
      <c r="A498" s="492"/>
      <c r="B498" s="167"/>
      <c r="C498" s="167"/>
      <c r="D498" s="167"/>
      <c r="E498" s="167"/>
      <c r="F498" s="167"/>
      <c r="G498" s="167"/>
      <c r="H498" s="167"/>
      <c r="I498" s="167"/>
      <c r="J498" s="168"/>
    </row>
    <row r="499" spans="1:10" s="501" customFormat="1" x14ac:dyDescent="0.2">
      <c r="A499" s="492"/>
      <c r="B499" s="167"/>
      <c r="C499" s="167"/>
      <c r="D499" s="167"/>
      <c r="E499" s="167"/>
      <c r="F499" s="167"/>
      <c r="G499" s="167"/>
      <c r="H499" s="167"/>
      <c r="I499" s="167"/>
      <c r="J499" s="168"/>
    </row>
    <row r="500" spans="1:10" s="501" customFormat="1" x14ac:dyDescent="0.2">
      <c r="A500" s="492"/>
      <c r="B500" s="167"/>
      <c r="C500" s="167"/>
      <c r="D500" s="167"/>
      <c r="E500" s="167"/>
      <c r="F500" s="167"/>
      <c r="G500" s="167"/>
      <c r="H500" s="167"/>
      <c r="I500" s="167"/>
      <c r="J500" s="168"/>
    </row>
    <row r="501" spans="1:10" s="501" customFormat="1" x14ac:dyDescent="0.2">
      <c r="A501" s="492"/>
      <c r="B501" s="167"/>
      <c r="C501" s="167"/>
      <c r="D501" s="167"/>
      <c r="E501" s="167"/>
      <c r="F501" s="167"/>
      <c r="G501" s="167"/>
      <c r="H501" s="167"/>
      <c r="I501" s="167"/>
      <c r="J501" s="168"/>
    </row>
    <row r="502" spans="1:10" s="501" customFormat="1" x14ac:dyDescent="0.2">
      <c r="A502" s="492"/>
      <c r="B502" s="167"/>
      <c r="C502" s="167"/>
      <c r="D502" s="167"/>
      <c r="E502" s="167"/>
      <c r="F502" s="167"/>
      <c r="G502" s="167"/>
      <c r="H502" s="167"/>
      <c r="I502" s="167"/>
      <c r="J502" s="168"/>
    </row>
    <row r="503" spans="1:10" s="501" customFormat="1" x14ac:dyDescent="0.2">
      <c r="A503" s="492"/>
      <c r="B503" s="167"/>
      <c r="C503" s="167"/>
      <c r="D503" s="167"/>
      <c r="E503" s="167"/>
      <c r="F503" s="167"/>
      <c r="G503" s="167"/>
      <c r="H503" s="167"/>
      <c r="I503" s="167"/>
      <c r="J503" s="168"/>
    </row>
    <row r="504" spans="1:10" s="501" customFormat="1" x14ac:dyDescent="0.2">
      <c r="A504" s="492"/>
      <c r="B504" s="167"/>
      <c r="C504" s="167"/>
      <c r="D504" s="167"/>
      <c r="E504" s="167"/>
      <c r="F504" s="167"/>
      <c r="G504" s="167"/>
      <c r="H504" s="167"/>
      <c r="I504" s="167"/>
      <c r="J504" s="168"/>
    </row>
    <row r="505" spans="1:10" s="501" customFormat="1" x14ac:dyDescent="0.2">
      <c r="A505" s="492"/>
      <c r="B505" s="167"/>
      <c r="C505" s="167"/>
      <c r="D505" s="167"/>
      <c r="E505" s="167"/>
      <c r="F505" s="167"/>
      <c r="G505" s="167"/>
      <c r="H505" s="167"/>
      <c r="I505" s="167"/>
      <c r="J505" s="168"/>
    </row>
    <row r="506" spans="1:10" s="501" customFormat="1" x14ac:dyDescent="0.2">
      <c r="A506" s="492"/>
      <c r="B506" s="167"/>
      <c r="C506" s="167"/>
      <c r="D506" s="167"/>
      <c r="E506" s="167"/>
      <c r="F506" s="167"/>
      <c r="G506" s="167"/>
      <c r="H506" s="167"/>
      <c r="I506" s="167"/>
      <c r="J506" s="168"/>
    </row>
    <row r="507" spans="1:10" s="501" customFormat="1" x14ac:dyDescent="0.2">
      <c r="A507" s="492"/>
      <c r="B507" s="167"/>
      <c r="C507" s="167"/>
      <c r="D507" s="167"/>
      <c r="E507" s="167"/>
      <c r="F507" s="167"/>
      <c r="G507" s="167"/>
      <c r="H507" s="167"/>
      <c r="I507" s="167"/>
      <c r="J507" s="168"/>
    </row>
    <row r="508" spans="1:10" s="501" customFormat="1" x14ac:dyDescent="0.2">
      <c r="A508" s="492"/>
      <c r="B508" s="167"/>
      <c r="C508" s="167"/>
      <c r="D508" s="167"/>
      <c r="E508" s="167"/>
      <c r="F508" s="167"/>
      <c r="G508" s="167"/>
      <c r="H508" s="167"/>
      <c r="I508" s="167"/>
      <c r="J508" s="168"/>
    </row>
    <row r="509" spans="1:10" s="501" customFormat="1" x14ac:dyDescent="0.2">
      <c r="A509" s="492"/>
      <c r="B509" s="167"/>
      <c r="C509" s="167"/>
      <c r="D509" s="167"/>
      <c r="E509" s="167"/>
      <c r="F509" s="167"/>
      <c r="G509" s="167"/>
      <c r="H509" s="167"/>
      <c r="I509" s="167"/>
      <c r="J509" s="168"/>
    </row>
    <row r="510" spans="1:10" s="501" customFormat="1" x14ac:dyDescent="0.2">
      <c r="A510" s="492"/>
      <c r="B510" s="167"/>
      <c r="C510" s="167"/>
      <c r="D510" s="167"/>
      <c r="E510" s="167"/>
      <c r="F510" s="167"/>
      <c r="G510" s="167"/>
      <c r="H510" s="167"/>
      <c r="I510" s="167"/>
      <c r="J510" s="168"/>
    </row>
    <row r="511" spans="1:10" s="501" customFormat="1" x14ac:dyDescent="0.2">
      <c r="A511" s="492"/>
      <c r="B511" s="167"/>
      <c r="C511" s="167"/>
      <c r="D511" s="167"/>
      <c r="E511" s="167"/>
      <c r="F511" s="167"/>
      <c r="G511" s="167"/>
      <c r="H511" s="167"/>
      <c r="I511" s="167"/>
      <c r="J511" s="168"/>
    </row>
    <row r="512" spans="1:10" s="501" customFormat="1" x14ac:dyDescent="0.2">
      <c r="A512" s="492"/>
      <c r="B512" s="167"/>
      <c r="C512" s="167"/>
      <c r="D512" s="167"/>
      <c r="E512" s="167"/>
      <c r="F512" s="167"/>
      <c r="G512" s="167"/>
      <c r="H512" s="167"/>
      <c r="I512" s="167"/>
      <c r="J512" s="168"/>
    </row>
    <row r="513" spans="1:10" s="501" customFormat="1" x14ac:dyDescent="0.2">
      <c r="A513" s="492"/>
      <c r="B513" s="167"/>
      <c r="C513" s="167"/>
      <c r="D513" s="167"/>
      <c r="E513" s="167"/>
      <c r="F513" s="167"/>
      <c r="G513" s="167"/>
      <c r="H513" s="167"/>
      <c r="I513" s="167"/>
      <c r="J513" s="168"/>
    </row>
    <row r="514" spans="1:10" s="501" customFormat="1" x14ac:dyDescent="0.2">
      <c r="A514" s="492"/>
      <c r="B514" s="167"/>
      <c r="C514" s="167"/>
      <c r="D514" s="167"/>
      <c r="E514" s="167"/>
      <c r="F514" s="167"/>
      <c r="G514" s="167"/>
      <c r="H514" s="167"/>
      <c r="I514" s="167"/>
      <c r="J514" s="168"/>
    </row>
    <row r="515" spans="1:10" s="501" customFormat="1" x14ac:dyDescent="0.2">
      <c r="A515" s="492"/>
      <c r="B515" s="167"/>
      <c r="C515" s="167"/>
      <c r="D515" s="167"/>
      <c r="E515" s="167"/>
      <c r="F515" s="167"/>
      <c r="G515" s="167"/>
      <c r="H515" s="167"/>
      <c r="I515" s="167"/>
      <c r="J515" s="168"/>
    </row>
    <row r="516" spans="1:10" s="501" customFormat="1" x14ac:dyDescent="0.2">
      <c r="A516" s="492"/>
      <c r="B516" s="167"/>
      <c r="C516" s="167"/>
      <c r="D516" s="167"/>
      <c r="E516" s="167"/>
      <c r="F516" s="167"/>
      <c r="G516" s="167"/>
      <c r="H516" s="167"/>
      <c r="I516" s="167"/>
      <c r="J516" s="168"/>
    </row>
    <row r="517" spans="1:10" s="501" customFormat="1" x14ac:dyDescent="0.2">
      <c r="A517" s="492"/>
      <c r="B517" s="167"/>
      <c r="C517" s="167"/>
      <c r="D517" s="167"/>
      <c r="E517" s="167"/>
      <c r="F517" s="167"/>
      <c r="G517" s="167"/>
      <c r="H517" s="167"/>
      <c r="I517" s="167"/>
      <c r="J517" s="168"/>
    </row>
    <row r="518" spans="1:10" s="501" customFormat="1" x14ac:dyDescent="0.2">
      <c r="A518" s="492"/>
      <c r="B518" s="167"/>
      <c r="C518" s="167"/>
      <c r="D518" s="167"/>
      <c r="E518" s="167"/>
      <c r="F518" s="167"/>
      <c r="G518" s="167"/>
      <c r="H518" s="167"/>
      <c r="I518" s="167"/>
      <c r="J518" s="168"/>
    </row>
    <row r="519" spans="1:10" s="501" customFormat="1" x14ac:dyDescent="0.2">
      <c r="A519" s="492"/>
      <c r="B519" s="167"/>
      <c r="C519" s="167"/>
      <c r="D519" s="167"/>
      <c r="E519" s="167"/>
      <c r="F519" s="167"/>
      <c r="G519" s="167"/>
      <c r="H519" s="167"/>
      <c r="I519" s="167"/>
      <c r="J519" s="168"/>
    </row>
    <row r="520" spans="1:10" s="501" customFormat="1" x14ac:dyDescent="0.2">
      <c r="A520" s="492"/>
      <c r="B520" s="167"/>
      <c r="C520" s="167"/>
      <c r="D520" s="167"/>
      <c r="E520" s="167"/>
      <c r="F520" s="167"/>
      <c r="G520" s="167"/>
      <c r="H520" s="167"/>
      <c r="I520" s="167"/>
      <c r="J520" s="168"/>
    </row>
    <row r="521" spans="1:10" s="501" customFormat="1" x14ac:dyDescent="0.2">
      <c r="A521" s="492"/>
      <c r="B521" s="167"/>
      <c r="C521" s="167"/>
      <c r="D521" s="167"/>
      <c r="E521" s="167"/>
      <c r="F521" s="167"/>
      <c r="G521" s="167"/>
      <c r="H521" s="167"/>
      <c r="I521" s="167"/>
      <c r="J521" s="168"/>
    </row>
    <row r="522" spans="1:10" s="501" customFormat="1" x14ac:dyDescent="0.2">
      <c r="A522" s="492"/>
      <c r="B522" s="167"/>
      <c r="C522" s="167"/>
      <c r="D522" s="167"/>
      <c r="E522" s="167"/>
      <c r="F522" s="167"/>
      <c r="G522" s="167"/>
      <c r="H522" s="167"/>
      <c r="I522" s="167"/>
      <c r="J522" s="168"/>
    </row>
    <row r="523" spans="1:10" s="501" customFormat="1" x14ac:dyDescent="0.2">
      <c r="A523" s="492"/>
      <c r="B523" s="167"/>
      <c r="C523" s="167"/>
      <c r="D523" s="167"/>
      <c r="E523" s="167"/>
      <c r="F523" s="167"/>
      <c r="G523" s="167"/>
      <c r="H523" s="167"/>
      <c r="I523" s="167"/>
      <c r="J523" s="168"/>
    </row>
    <row r="524" spans="1:10" s="501" customFormat="1" x14ac:dyDescent="0.2">
      <c r="A524" s="492"/>
      <c r="B524" s="167"/>
      <c r="C524" s="167"/>
      <c r="D524" s="167"/>
      <c r="E524" s="167"/>
      <c r="F524" s="167"/>
      <c r="G524" s="167"/>
      <c r="H524" s="167"/>
      <c r="I524" s="167"/>
      <c r="J524" s="168"/>
    </row>
    <row r="525" spans="1:10" s="501" customFormat="1" x14ac:dyDescent="0.2">
      <c r="A525" s="492"/>
      <c r="B525" s="167"/>
      <c r="C525" s="167"/>
      <c r="D525" s="167"/>
      <c r="E525" s="167"/>
      <c r="F525" s="167"/>
      <c r="G525" s="167"/>
      <c r="H525" s="167"/>
      <c r="I525" s="167"/>
      <c r="J525" s="168"/>
    </row>
    <row r="526" spans="1:10" s="501" customFormat="1" x14ac:dyDescent="0.2">
      <c r="A526" s="492"/>
      <c r="B526" s="167"/>
      <c r="C526" s="167"/>
      <c r="D526" s="167"/>
      <c r="E526" s="167"/>
      <c r="F526" s="167"/>
      <c r="G526" s="167"/>
      <c r="H526" s="167"/>
      <c r="I526" s="167"/>
      <c r="J526" s="168"/>
    </row>
    <row r="527" spans="1:10" s="501" customFormat="1" x14ac:dyDescent="0.2">
      <c r="A527" s="492"/>
      <c r="B527" s="167"/>
      <c r="C527" s="167"/>
      <c r="D527" s="167"/>
      <c r="E527" s="167"/>
      <c r="F527" s="167"/>
      <c r="G527" s="167"/>
      <c r="H527" s="167"/>
      <c r="I527" s="167"/>
      <c r="J527" s="168"/>
    </row>
    <row r="528" spans="1:10" s="501" customFormat="1" x14ac:dyDescent="0.2">
      <c r="A528" s="492"/>
      <c r="B528" s="167"/>
      <c r="C528" s="167"/>
      <c r="D528" s="167"/>
      <c r="E528" s="167"/>
      <c r="F528" s="167"/>
      <c r="G528" s="167"/>
      <c r="H528" s="167"/>
      <c r="I528" s="167"/>
      <c r="J528" s="168"/>
    </row>
    <row r="529" spans="1:10" s="501" customFormat="1" x14ac:dyDescent="0.2">
      <c r="A529" s="492"/>
      <c r="B529" s="167"/>
      <c r="C529" s="167"/>
      <c r="D529" s="167"/>
      <c r="E529" s="167"/>
      <c r="F529" s="167"/>
      <c r="G529" s="167"/>
      <c r="H529" s="167"/>
      <c r="I529" s="167"/>
      <c r="J529" s="168"/>
    </row>
    <row r="530" spans="1:10" s="501" customFormat="1" x14ac:dyDescent="0.2">
      <c r="A530" s="492"/>
      <c r="B530" s="167"/>
      <c r="C530" s="167"/>
      <c r="D530" s="167"/>
      <c r="E530" s="167"/>
      <c r="F530" s="167"/>
      <c r="G530" s="167"/>
      <c r="H530" s="167"/>
      <c r="I530" s="167"/>
      <c r="J530" s="168"/>
    </row>
    <row r="531" spans="1:10" s="501" customFormat="1" x14ac:dyDescent="0.2">
      <c r="A531" s="492"/>
      <c r="B531" s="167"/>
      <c r="C531" s="167"/>
      <c r="D531" s="167"/>
      <c r="E531" s="167"/>
      <c r="F531" s="167"/>
      <c r="G531" s="167"/>
      <c r="H531" s="167"/>
      <c r="I531" s="167"/>
      <c r="J531" s="168"/>
    </row>
    <row r="532" spans="1:10" s="501" customFormat="1" x14ac:dyDescent="0.2">
      <c r="A532" s="492"/>
      <c r="B532" s="167"/>
      <c r="C532" s="167"/>
      <c r="D532" s="167"/>
      <c r="E532" s="167"/>
      <c r="F532" s="167"/>
      <c r="G532" s="167"/>
      <c r="H532" s="167"/>
      <c r="I532" s="167"/>
      <c r="J532" s="168"/>
    </row>
    <row r="533" spans="1:10" s="501" customFormat="1" x14ac:dyDescent="0.2">
      <c r="A533" s="492"/>
      <c r="B533" s="167"/>
      <c r="C533" s="167"/>
      <c r="D533" s="167"/>
      <c r="E533" s="167"/>
      <c r="F533" s="167"/>
      <c r="G533" s="167"/>
      <c r="H533" s="167"/>
      <c r="I533" s="167"/>
      <c r="J533" s="168"/>
    </row>
    <row r="534" spans="1:10" s="501" customFormat="1" x14ac:dyDescent="0.2">
      <c r="A534" s="492"/>
      <c r="B534" s="167"/>
      <c r="C534" s="167"/>
      <c r="D534" s="167"/>
      <c r="E534" s="167"/>
      <c r="F534" s="167"/>
      <c r="G534" s="167"/>
      <c r="H534" s="167"/>
      <c r="I534" s="167"/>
      <c r="J534" s="168"/>
    </row>
    <row r="535" spans="1:10" s="501" customFormat="1" x14ac:dyDescent="0.2">
      <c r="A535" s="492"/>
      <c r="B535" s="167"/>
      <c r="C535" s="167"/>
      <c r="D535" s="167"/>
      <c r="E535" s="167"/>
      <c r="F535" s="167"/>
      <c r="G535" s="167"/>
      <c r="H535" s="167"/>
      <c r="I535" s="167"/>
      <c r="J535" s="168"/>
    </row>
    <row r="536" spans="1:10" s="501" customFormat="1" x14ac:dyDescent="0.2">
      <c r="A536" s="492"/>
      <c r="B536" s="167"/>
      <c r="C536" s="167"/>
      <c r="D536" s="167"/>
      <c r="E536" s="167"/>
      <c r="F536" s="167"/>
      <c r="G536" s="167"/>
      <c r="H536" s="167"/>
      <c r="I536" s="167"/>
      <c r="J536" s="168"/>
    </row>
    <row r="537" spans="1:10" s="501" customFormat="1" x14ac:dyDescent="0.2">
      <c r="A537" s="492"/>
      <c r="B537" s="167"/>
      <c r="C537" s="167"/>
      <c r="D537" s="167"/>
      <c r="E537" s="167"/>
      <c r="F537" s="167"/>
      <c r="G537" s="167"/>
      <c r="H537" s="167"/>
      <c r="I537" s="167"/>
      <c r="J537" s="168"/>
    </row>
    <row r="538" spans="1:10" s="501" customFormat="1" x14ac:dyDescent="0.2">
      <c r="A538" s="492"/>
      <c r="B538" s="167"/>
      <c r="C538" s="167"/>
      <c r="D538" s="167"/>
      <c r="E538" s="167"/>
      <c r="F538" s="167"/>
      <c r="G538" s="167"/>
      <c r="H538" s="167"/>
      <c r="I538" s="167"/>
      <c r="J538" s="168"/>
    </row>
    <row r="539" spans="1:10" s="501" customFormat="1" x14ac:dyDescent="0.2">
      <c r="A539" s="492"/>
      <c r="B539" s="167"/>
      <c r="C539" s="167"/>
      <c r="D539" s="167"/>
      <c r="E539" s="167"/>
      <c r="F539" s="167"/>
      <c r="G539" s="167"/>
      <c r="H539" s="167"/>
      <c r="I539" s="167"/>
      <c r="J539" s="168"/>
    </row>
    <row r="540" spans="1:10" s="501" customFormat="1" x14ac:dyDescent="0.2">
      <c r="A540" s="492"/>
      <c r="B540" s="167"/>
      <c r="C540" s="167"/>
      <c r="D540" s="167"/>
      <c r="E540" s="167"/>
      <c r="F540" s="167"/>
      <c r="G540" s="167"/>
      <c r="H540" s="167"/>
      <c r="I540" s="167"/>
      <c r="J540" s="168"/>
    </row>
    <row r="541" spans="1:10" s="501" customFormat="1" x14ac:dyDescent="0.2">
      <c r="A541" s="492"/>
      <c r="B541" s="167"/>
      <c r="C541" s="167"/>
      <c r="D541" s="167"/>
      <c r="E541" s="167"/>
      <c r="F541" s="167"/>
      <c r="G541" s="167"/>
      <c r="H541" s="167"/>
      <c r="I541" s="167"/>
      <c r="J541" s="168"/>
    </row>
    <row r="542" spans="1:10" s="501" customFormat="1" x14ac:dyDescent="0.2">
      <c r="A542" s="492"/>
      <c r="B542" s="167"/>
      <c r="C542" s="167"/>
      <c r="D542" s="167"/>
      <c r="E542" s="167"/>
      <c r="F542" s="167"/>
      <c r="G542" s="167"/>
      <c r="H542" s="167"/>
      <c r="I542" s="167"/>
      <c r="J542" s="168"/>
    </row>
    <row r="543" spans="1:10" s="501" customFormat="1" x14ac:dyDescent="0.2">
      <c r="A543" s="492"/>
      <c r="B543" s="167"/>
      <c r="C543" s="167"/>
      <c r="D543" s="167"/>
      <c r="E543" s="167"/>
      <c r="F543" s="167"/>
      <c r="G543" s="167"/>
      <c r="H543" s="167"/>
      <c r="I543" s="167"/>
      <c r="J543" s="168"/>
    </row>
    <row r="544" spans="1:10" s="501" customFormat="1" x14ac:dyDescent="0.2">
      <c r="A544" s="492"/>
      <c r="B544" s="167"/>
      <c r="C544" s="167"/>
      <c r="D544" s="167"/>
      <c r="E544" s="167"/>
      <c r="F544" s="167"/>
      <c r="G544" s="167"/>
      <c r="H544" s="167"/>
      <c r="I544" s="167"/>
      <c r="J544" s="168"/>
    </row>
    <row r="545" spans="1:10" s="501" customFormat="1" x14ac:dyDescent="0.2">
      <c r="A545" s="492"/>
      <c r="B545" s="167"/>
      <c r="C545" s="167"/>
      <c r="D545" s="167"/>
      <c r="E545" s="167"/>
      <c r="F545" s="167"/>
      <c r="G545" s="167"/>
      <c r="H545" s="167"/>
      <c r="I545" s="167"/>
      <c r="J545" s="168"/>
    </row>
    <row r="546" spans="1:10" s="501" customFormat="1" x14ac:dyDescent="0.2">
      <c r="A546" s="492"/>
      <c r="B546" s="167"/>
      <c r="C546" s="167"/>
      <c r="D546" s="167"/>
      <c r="E546" s="167"/>
      <c r="F546" s="167"/>
      <c r="G546" s="167"/>
      <c r="H546" s="167"/>
      <c r="I546" s="167"/>
      <c r="J546" s="168"/>
    </row>
    <row r="547" spans="1:10" s="501" customFormat="1" x14ac:dyDescent="0.2">
      <c r="A547" s="492"/>
      <c r="B547" s="167"/>
      <c r="C547" s="167"/>
      <c r="D547" s="167"/>
      <c r="E547" s="167"/>
      <c r="F547" s="167"/>
      <c r="G547" s="167"/>
      <c r="H547" s="167"/>
      <c r="I547" s="167"/>
      <c r="J547" s="168"/>
    </row>
    <row r="548" spans="1:10" s="501" customFormat="1" x14ac:dyDescent="0.2">
      <c r="A548" s="492"/>
      <c r="B548" s="167"/>
      <c r="C548" s="167"/>
      <c r="D548" s="167"/>
      <c r="E548" s="167"/>
      <c r="F548" s="167"/>
      <c r="G548" s="167"/>
      <c r="H548" s="167"/>
      <c r="I548" s="167"/>
      <c r="J548" s="168"/>
    </row>
    <row r="549" spans="1:10" s="501" customFormat="1" x14ac:dyDescent="0.2">
      <c r="A549" s="492"/>
      <c r="B549" s="167"/>
      <c r="C549" s="167"/>
      <c r="D549" s="167"/>
      <c r="E549" s="167"/>
      <c r="F549" s="167"/>
      <c r="G549" s="167"/>
      <c r="H549" s="167"/>
      <c r="I549" s="167"/>
      <c r="J549" s="168"/>
    </row>
    <row r="550" spans="1:10" s="501" customFormat="1" x14ac:dyDescent="0.2">
      <c r="A550" s="492"/>
      <c r="B550" s="167"/>
      <c r="C550" s="167"/>
      <c r="D550" s="167"/>
      <c r="E550" s="167"/>
      <c r="F550" s="167"/>
      <c r="G550" s="167"/>
      <c r="H550" s="167"/>
      <c r="I550" s="167"/>
      <c r="J550" s="168"/>
    </row>
    <row r="551" spans="1:10" s="501" customFormat="1" x14ac:dyDescent="0.2">
      <c r="A551" s="492"/>
      <c r="B551" s="167"/>
      <c r="C551" s="167"/>
      <c r="D551" s="167"/>
      <c r="E551" s="167"/>
      <c r="F551" s="167"/>
      <c r="G551" s="167"/>
      <c r="H551" s="167"/>
      <c r="I551" s="167"/>
      <c r="J551" s="168"/>
    </row>
    <row r="552" spans="1:10" s="501" customFormat="1" x14ac:dyDescent="0.2">
      <c r="A552" s="492"/>
      <c r="B552" s="167"/>
      <c r="C552" s="167"/>
      <c r="D552" s="167"/>
      <c r="E552" s="167"/>
      <c r="F552" s="167"/>
      <c r="G552" s="167"/>
      <c r="H552" s="167"/>
      <c r="I552" s="167"/>
      <c r="J552" s="168"/>
    </row>
    <row r="553" spans="1:10" s="501" customFormat="1" x14ac:dyDescent="0.2">
      <c r="A553" s="492"/>
      <c r="B553" s="167"/>
      <c r="C553" s="167"/>
      <c r="D553" s="167"/>
      <c r="E553" s="167"/>
      <c r="F553" s="167"/>
      <c r="G553" s="167"/>
      <c r="H553" s="167"/>
      <c r="I553" s="167"/>
      <c r="J553" s="168"/>
    </row>
    <row r="554" spans="1:10" s="501" customFormat="1" x14ac:dyDescent="0.2">
      <c r="A554" s="492"/>
      <c r="B554" s="167"/>
      <c r="C554" s="167"/>
      <c r="D554" s="167"/>
      <c r="E554" s="167"/>
      <c r="F554" s="167"/>
      <c r="G554" s="167"/>
      <c r="H554" s="167"/>
      <c r="I554" s="167"/>
      <c r="J554" s="168"/>
    </row>
    <row r="555" spans="1:10" s="501" customFormat="1" x14ac:dyDescent="0.2">
      <c r="A555" s="492"/>
      <c r="B555" s="167"/>
      <c r="C555" s="167"/>
      <c r="D555" s="167"/>
      <c r="E555" s="167"/>
      <c r="F555" s="167"/>
      <c r="G555" s="167"/>
      <c r="H555" s="167"/>
      <c r="I555" s="167"/>
      <c r="J555" s="168"/>
    </row>
    <row r="556" spans="1:10" s="501" customFormat="1" x14ac:dyDescent="0.2">
      <c r="A556" s="492"/>
      <c r="B556" s="167"/>
      <c r="C556" s="167"/>
      <c r="D556" s="167"/>
      <c r="E556" s="167"/>
      <c r="F556" s="167"/>
      <c r="G556" s="167"/>
      <c r="H556" s="167"/>
      <c r="I556" s="167"/>
      <c r="J556" s="168"/>
    </row>
    <row r="557" spans="1:10" s="501" customFormat="1" x14ac:dyDescent="0.2">
      <c r="A557" s="492"/>
      <c r="B557" s="167"/>
      <c r="C557" s="167"/>
      <c r="D557" s="167"/>
      <c r="E557" s="167"/>
      <c r="F557" s="167"/>
      <c r="G557" s="167"/>
      <c r="H557" s="167"/>
      <c r="I557" s="167"/>
      <c r="J557" s="168"/>
    </row>
    <row r="558" spans="1:10" s="501" customFormat="1" x14ac:dyDescent="0.2">
      <c r="A558" s="492"/>
      <c r="B558" s="167"/>
      <c r="C558" s="167"/>
      <c r="D558" s="167"/>
      <c r="E558" s="167"/>
      <c r="F558" s="167"/>
      <c r="G558" s="167"/>
      <c r="H558" s="167"/>
      <c r="I558" s="167"/>
      <c r="J558" s="168"/>
    </row>
    <row r="559" spans="1:10" s="501" customFormat="1" x14ac:dyDescent="0.2">
      <c r="A559" s="492"/>
      <c r="B559" s="167"/>
      <c r="C559" s="167"/>
      <c r="D559" s="167"/>
      <c r="E559" s="167"/>
      <c r="F559" s="167"/>
      <c r="G559" s="167"/>
      <c r="H559" s="167"/>
      <c r="I559" s="167"/>
      <c r="J559" s="168"/>
    </row>
    <row r="560" spans="1:10" s="501" customFormat="1" x14ac:dyDescent="0.2">
      <c r="A560" s="492"/>
      <c r="B560" s="167"/>
      <c r="C560" s="167"/>
      <c r="D560" s="167"/>
      <c r="E560" s="167"/>
      <c r="F560" s="167"/>
      <c r="G560" s="167"/>
      <c r="H560" s="167"/>
      <c r="I560" s="167"/>
      <c r="J560" s="168"/>
    </row>
    <row r="561" spans="1:10" s="501" customFormat="1" x14ac:dyDescent="0.2">
      <c r="A561" s="492"/>
      <c r="B561" s="167"/>
      <c r="C561" s="167"/>
      <c r="D561" s="167"/>
      <c r="E561" s="167"/>
      <c r="F561" s="167"/>
      <c r="G561" s="167"/>
      <c r="H561" s="167"/>
      <c r="I561" s="167"/>
      <c r="J561" s="168"/>
    </row>
    <row r="562" spans="1:10" s="501" customFormat="1" x14ac:dyDescent="0.2">
      <c r="A562" s="492"/>
      <c r="B562" s="167"/>
      <c r="C562" s="167"/>
      <c r="D562" s="167"/>
      <c r="E562" s="167"/>
      <c r="F562" s="167"/>
      <c r="G562" s="167"/>
      <c r="H562" s="167"/>
      <c r="I562" s="167"/>
      <c r="J562" s="168"/>
    </row>
    <row r="563" spans="1:10" s="501" customFormat="1" x14ac:dyDescent="0.2">
      <c r="A563" s="492"/>
      <c r="B563" s="167"/>
      <c r="C563" s="167"/>
      <c r="D563" s="167"/>
      <c r="E563" s="167"/>
      <c r="F563" s="167"/>
      <c r="G563" s="167"/>
      <c r="H563" s="167"/>
      <c r="I563" s="167"/>
      <c r="J563" s="168"/>
    </row>
    <row r="564" spans="1:10" s="501" customFormat="1" x14ac:dyDescent="0.2">
      <c r="A564" s="492"/>
      <c r="B564" s="167"/>
      <c r="C564" s="167"/>
      <c r="D564" s="167"/>
      <c r="E564" s="167"/>
      <c r="F564" s="167"/>
      <c r="G564" s="167"/>
      <c r="H564" s="167"/>
      <c r="I564" s="167"/>
      <c r="J564" s="168"/>
    </row>
    <row r="565" spans="1:10" s="501" customFormat="1" x14ac:dyDescent="0.2">
      <c r="A565" s="492"/>
      <c r="B565" s="167"/>
      <c r="C565" s="167"/>
      <c r="D565" s="167"/>
      <c r="E565" s="167"/>
      <c r="F565" s="167"/>
      <c r="G565" s="167"/>
      <c r="H565" s="167"/>
      <c r="I565" s="167"/>
      <c r="J565" s="168"/>
    </row>
    <row r="566" spans="1:10" s="501" customFormat="1" x14ac:dyDescent="0.2">
      <c r="A566" s="492"/>
      <c r="B566" s="167"/>
      <c r="C566" s="167"/>
      <c r="D566" s="167"/>
      <c r="E566" s="167"/>
      <c r="F566" s="167"/>
      <c r="G566" s="167"/>
      <c r="H566" s="167"/>
      <c r="I566" s="167"/>
      <c r="J566" s="168"/>
    </row>
    <row r="567" spans="1:10" s="501" customFormat="1" x14ac:dyDescent="0.2">
      <c r="A567" s="492"/>
      <c r="B567" s="167"/>
      <c r="C567" s="167"/>
      <c r="D567" s="167"/>
      <c r="E567" s="167"/>
      <c r="F567" s="167"/>
      <c r="G567" s="167"/>
      <c r="H567" s="167"/>
      <c r="I567" s="167"/>
      <c r="J567" s="168"/>
    </row>
    <row r="568" spans="1:10" s="501" customFormat="1" x14ac:dyDescent="0.2">
      <c r="A568" s="492"/>
      <c r="B568" s="167"/>
      <c r="C568" s="167"/>
      <c r="D568" s="167"/>
      <c r="E568" s="167"/>
      <c r="F568" s="167"/>
      <c r="G568" s="167"/>
      <c r="H568" s="167"/>
      <c r="I568" s="167"/>
      <c r="J568" s="168"/>
    </row>
    <row r="569" spans="1:10" s="501" customFormat="1" x14ac:dyDescent="0.2">
      <c r="A569" s="492"/>
      <c r="B569" s="167"/>
      <c r="C569" s="167"/>
      <c r="D569" s="167"/>
      <c r="E569" s="167"/>
      <c r="F569" s="167"/>
      <c r="G569" s="167"/>
      <c r="H569" s="167"/>
      <c r="I569" s="167"/>
      <c r="J569" s="168"/>
    </row>
    <row r="570" spans="1:10" s="501" customFormat="1" x14ac:dyDescent="0.2">
      <c r="A570" s="492"/>
      <c r="B570" s="167"/>
      <c r="C570" s="167"/>
      <c r="D570" s="167"/>
      <c r="E570" s="167"/>
      <c r="F570" s="167"/>
      <c r="G570" s="167"/>
      <c r="H570" s="167"/>
      <c r="I570" s="167"/>
      <c r="J570" s="168"/>
    </row>
    <row r="571" spans="1:10" s="501" customFormat="1" x14ac:dyDescent="0.2">
      <c r="A571" s="492"/>
      <c r="B571" s="167"/>
      <c r="C571" s="167"/>
      <c r="D571" s="167"/>
      <c r="E571" s="167"/>
      <c r="F571" s="167"/>
      <c r="G571" s="167"/>
      <c r="H571" s="167"/>
      <c r="I571" s="167"/>
      <c r="J571" s="168"/>
    </row>
    <row r="572" spans="1:10" s="501" customFormat="1" x14ac:dyDescent="0.2">
      <c r="A572" s="492"/>
      <c r="B572" s="167"/>
      <c r="C572" s="167"/>
      <c r="D572" s="167"/>
      <c r="E572" s="167"/>
      <c r="F572" s="167"/>
      <c r="G572" s="167"/>
      <c r="H572" s="167"/>
      <c r="I572" s="167"/>
      <c r="J572" s="168"/>
    </row>
    <row r="573" spans="1:10" s="501" customFormat="1" x14ac:dyDescent="0.2">
      <c r="A573" s="492"/>
      <c r="B573" s="167"/>
      <c r="C573" s="167"/>
      <c r="D573" s="167"/>
      <c r="E573" s="167"/>
      <c r="F573" s="167"/>
      <c r="G573" s="167"/>
      <c r="H573" s="167"/>
      <c r="I573" s="167"/>
      <c r="J573" s="168"/>
    </row>
    <row r="574" spans="1:10" s="501" customFormat="1" x14ac:dyDescent="0.2">
      <c r="A574" s="492"/>
      <c r="B574" s="167"/>
      <c r="C574" s="167"/>
      <c r="D574" s="167"/>
      <c r="E574" s="167"/>
      <c r="F574" s="167"/>
      <c r="G574" s="167"/>
      <c r="H574" s="167"/>
      <c r="I574" s="167"/>
      <c r="J574" s="168"/>
    </row>
    <row r="575" spans="1:10" s="501" customFormat="1" x14ac:dyDescent="0.2">
      <c r="A575" s="492"/>
      <c r="B575" s="167"/>
      <c r="C575" s="167"/>
      <c r="D575" s="167"/>
      <c r="E575" s="167"/>
      <c r="F575" s="167"/>
      <c r="G575" s="167"/>
      <c r="H575" s="167"/>
      <c r="I575" s="167"/>
      <c r="J575" s="168"/>
    </row>
    <row r="576" spans="1:10" s="501" customFormat="1" x14ac:dyDescent="0.2">
      <c r="A576" s="492"/>
      <c r="B576" s="167"/>
      <c r="C576" s="167"/>
      <c r="D576" s="167"/>
      <c r="E576" s="167"/>
      <c r="F576" s="167"/>
      <c r="G576" s="167"/>
      <c r="H576" s="167"/>
      <c r="I576" s="167"/>
      <c r="J576" s="168"/>
    </row>
    <row r="577" spans="1:10" s="501" customFormat="1" x14ac:dyDescent="0.2">
      <c r="A577" s="492"/>
      <c r="B577" s="167"/>
      <c r="C577" s="167"/>
      <c r="D577" s="167"/>
      <c r="E577" s="167"/>
      <c r="F577" s="167"/>
      <c r="G577" s="167"/>
      <c r="H577" s="167"/>
      <c r="I577" s="167"/>
      <c r="J577" s="168"/>
    </row>
    <row r="578" spans="1:10" s="501" customFormat="1" x14ac:dyDescent="0.2">
      <c r="A578" s="492"/>
      <c r="B578" s="167"/>
      <c r="C578" s="167"/>
      <c r="D578" s="167"/>
      <c r="E578" s="167"/>
      <c r="F578" s="167"/>
      <c r="G578" s="167"/>
      <c r="H578" s="167"/>
      <c r="I578" s="167"/>
      <c r="J578" s="168"/>
    </row>
    <row r="579" spans="1:10" s="501" customFormat="1" x14ac:dyDescent="0.2">
      <c r="A579" s="492"/>
      <c r="B579" s="167"/>
      <c r="C579" s="167"/>
      <c r="D579" s="167"/>
      <c r="E579" s="167"/>
      <c r="F579" s="167"/>
      <c r="G579" s="167"/>
      <c r="H579" s="167"/>
      <c r="I579" s="167"/>
      <c r="J579" s="168"/>
    </row>
    <row r="580" spans="1:10" s="501" customFormat="1" x14ac:dyDescent="0.2">
      <c r="A580" s="492"/>
      <c r="B580" s="167"/>
      <c r="C580" s="167"/>
      <c r="D580" s="167"/>
      <c r="E580" s="167"/>
      <c r="F580" s="167"/>
      <c r="G580" s="167"/>
      <c r="H580" s="167"/>
      <c r="I580" s="167"/>
      <c r="J580" s="168"/>
    </row>
    <row r="581" spans="1:10" s="501" customFormat="1" x14ac:dyDescent="0.2">
      <c r="A581" s="492"/>
      <c r="B581" s="167"/>
      <c r="C581" s="167"/>
      <c r="D581" s="167"/>
      <c r="E581" s="167"/>
      <c r="F581" s="167"/>
      <c r="G581" s="167"/>
      <c r="H581" s="167"/>
      <c r="I581" s="167"/>
      <c r="J581" s="168"/>
    </row>
    <row r="582" spans="1:10" s="501" customFormat="1" x14ac:dyDescent="0.2">
      <c r="A582" s="492"/>
      <c r="B582" s="167"/>
      <c r="C582" s="167"/>
      <c r="D582" s="167"/>
      <c r="E582" s="167"/>
      <c r="F582" s="167"/>
      <c r="G582" s="167"/>
      <c r="H582" s="167"/>
      <c r="I582" s="167"/>
      <c r="J582" s="168"/>
    </row>
    <row r="583" spans="1:10" s="501" customFormat="1" x14ac:dyDescent="0.2">
      <c r="A583" s="492"/>
      <c r="B583" s="167"/>
      <c r="C583" s="167"/>
      <c r="D583" s="167"/>
      <c r="E583" s="167"/>
      <c r="F583" s="167"/>
      <c r="G583" s="167"/>
      <c r="H583" s="167"/>
      <c r="I583" s="167"/>
      <c r="J583" s="168"/>
    </row>
    <row r="584" spans="1:10" s="501" customFormat="1" x14ac:dyDescent="0.2">
      <c r="A584" s="492"/>
      <c r="B584" s="167"/>
      <c r="C584" s="167"/>
      <c r="D584" s="167"/>
      <c r="E584" s="167"/>
      <c r="F584" s="167"/>
      <c r="G584" s="167"/>
      <c r="H584" s="167"/>
      <c r="I584" s="167"/>
      <c r="J584" s="168"/>
    </row>
    <row r="585" spans="1:10" s="501" customFormat="1" x14ac:dyDescent="0.2">
      <c r="A585" s="492"/>
      <c r="B585" s="167"/>
      <c r="C585" s="167"/>
      <c r="D585" s="167"/>
      <c r="E585" s="167"/>
      <c r="F585" s="167"/>
      <c r="G585" s="167"/>
      <c r="H585" s="167"/>
      <c r="I585" s="167"/>
      <c r="J585" s="168"/>
    </row>
    <row r="586" spans="1:10" s="501" customFormat="1" x14ac:dyDescent="0.2">
      <c r="A586" s="492"/>
      <c r="B586" s="167"/>
      <c r="C586" s="167"/>
      <c r="D586" s="167"/>
      <c r="E586" s="167"/>
      <c r="F586" s="167"/>
      <c r="G586" s="167"/>
      <c r="H586" s="167"/>
      <c r="I586" s="167"/>
      <c r="J586" s="168"/>
    </row>
    <row r="587" spans="1:10" s="501" customFormat="1" x14ac:dyDescent="0.2">
      <c r="A587" s="492"/>
      <c r="B587" s="167"/>
      <c r="C587" s="167"/>
      <c r="D587" s="167"/>
      <c r="E587" s="167"/>
      <c r="F587" s="167"/>
      <c r="G587" s="167"/>
      <c r="H587" s="167"/>
      <c r="I587" s="167"/>
      <c r="J587" s="168"/>
    </row>
    <row r="588" spans="1:10" s="501" customFormat="1" x14ac:dyDescent="0.2">
      <c r="A588" s="492"/>
      <c r="B588" s="167"/>
      <c r="C588" s="167"/>
      <c r="D588" s="167"/>
      <c r="E588" s="167"/>
      <c r="F588" s="167"/>
      <c r="G588" s="167"/>
      <c r="H588" s="167"/>
      <c r="I588" s="167"/>
      <c r="J588" s="168"/>
    </row>
    <row r="589" spans="1:10" s="501" customFormat="1" x14ac:dyDescent="0.2">
      <c r="A589" s="492"/>
      <c r="B589" s="167"/>
      <c r="C589" s="167"/>
      <c r="D589" s="167"/>
      <c r="E589" s="167"/>
      <c r="F589" s="167"/>
      <c r="G589" s="167"/>
      <c r="H589" s="167"/>
      <c r="I589" s="167"/>
      <c r="J589" s="168"/>
    </row>
    <row r="590" spans="1:10" s="501" customFormat="1" x14ac:dyDescent="0.2">
      <c r="A590" s="492"/>
      <c r="B590" s="167"/>
      <c r="C590" s="167"/>
      <c r="D590" s="167"/>
      <c r="E590" s="167"/>
      <c r="F590" s="167"/>
      <c r="G590" s="167"/>
      <c r="H590" s="167"/>
      <c r="I590" s="167"/>
      <c r="J590" s="168"/>
    </row>
    <row r="591" spans="1:10" s="501" customFormat="1" x14ac:dyDescent="0.2">
      <c r="A591" s="492"/>
      <c r="B591" s="167"/>
      <c r="C591" s="167"/>
      <c r="D591" s="167"/>
      <c r="E591" s="167"/>
      <c r="F591" s="167"/>
      <c r="G591" s="167"/>
      <c r="H591" s="167"/>
      <c r="I591" s="167"/>
      <c r="J591" s="168"/>
    </row>
    <row r="592" spans="1:10" s="501" customFormat="1" x14ac:dyDescent="0.2">
      <c r="A592" s="492"/>
      <c r="B592" s="167"/>
      <c r="C592" s="167"/>
      <c r="D592" s="167"/>
      <c r="E592" s="167"/>
      <c r="F592" s="167"/>
      <c r="G592" s="167"/>
      <c r="H592" s="167"/>
      <c r="I592" s="167"/>
      <c r="J592" s="168"/>
    </row>
    <row r="593" spans="1:10" s="501" customFormat="1" x14ac:dyDescent="0.2">
      <c r="A593" s="492"/>
      <c r="B593" s="167"/>
      <c r="C593" s="167"/>
      <c r="D593" s="167"/>
      <c r="E593" s="167"/>
      <c r="F593" s="167"/>
      <c r="G593" s="167"/>
      <c r="H593" s="167"/>
      <c r="I593" s="167"/>
      <c r="J593" s="168"/>
    </row>
    <row r="594" spans="1:10" s="501" customFormat="1" x14ac:dyDescent="0.2">
      <c r="A594" s="492"/>
      <c r="B594" s="167"/>
      <c r="C594" s="167"/>
      <c r="D594" s="167"/>
      <c r="E594" s="167"/>
      <c r="F594" s="167"/>
      <c r="G594" s="167"/>
      <c r="H594" s="167"/>
      <c r="I594" s="167"/>
      <c r="J594" s="168"/>
    </row>
    <row r="595" spans="1:10" s="501" customFormat="1" x14ac:dyDescent="0.2">
      <c r="A595" s="492"/>
      <c r="B595" s="167"/>
      <c r="C595" s="167"/>
      <c r="D595" s="167"/>
      <c r="E595" s="167"/>
      <c r="F595" s="167"/>
      <c r="G595" s="167"/>
      <c r="H595" s="167"/>
      <c r="I595" s="167"/>
      <c r="J595" s="168"/>
    </row>
    <row r="596" spans="1:10" s="501" customFormat="1" x14ac:dyDescent="0.2">
      <c r="A596" s="492"/>
      <c r="B596" s="167"/>
      <c r="C596" s="167"/>
      <c r="D596" s="167"/>
      <c r="E596" s="167"/>
      <c r="F596" s="167"/>
      <c r="G596" s="167"/>
      <c r="H596" s="167"/>
      <c r="I596" s="167"/>
      <c r="J596" s="168"/>
    </row>
    <row r="597" spans="1:10" s="501" customFormat="1" x14ac:dyDescent="0.2">
      <c r="A597" s="492"/>
      <c r="B597" s="167"/>
      <c r="C597" s="167"/>
      <c r="D597" s="167"/>
      <c r="E597" s="167"/>
      <c r="F597" s="167"/>
      <c r="G597" s="167"/>
      <c r="H597" s="167"/>
      <c r="I597" s="167"/>
      <c r="J597" s="168"/>
    </row>
    <row r="598" spans="1:10" s="501" customFormat="1" x14ac:dyDescent="0.2">
      <c r="A598" s="492"/>
      <c r="B598" s="167"/>
      <c r="C598" s="167"/>
      <c r="D598" s="167"/>
      <c r="E598" s="167"/>
      <c r="F598" s="167"/>
      <c r="G598" s="167"/>
      <c r="H598" s="167"/>
      <c r="I598" s="167"/>
      <c r="J598" s="168"/>
    </row>
    <row r="599" spans="1:10" s="501" customFormat="1" x14ac:dyDescent="0.2">
      <c r="A599" s="492"/>
      <c r="B599" s="167"/>
      <c r="C599" s="167"/>
      <c r="D599" s="167"/>
      <c r="E599" s="167"/>
      <c r="F599" s="167"/>
      <c r="G599" s="167"/>
      <c r="H599" s="167"/>
      <c r="I599" s="167"/>
      <c r="J599" s="168"/>
    </row>
    <row r="600" spans="1:10" s="501" customFormat="1" x14ac:dyDescent="0.2">
      <c r="A600" s="492"/>
      <c r="B600" s="167"/>
      <c r="C600" s="167"/>
      <c r="D600" s="167"/>
      <c r="E600" s="167"/>
      <c r="F600" s="167"/>
      <c r="G600" s="167"/>
      <c r="H600" s="167"/>
      <c r="I600" s="167"/>
      <c r="J600" s="168"/>
    </row>
    <row r="601" spans="1:10" s="501" customFormat="1" x14ac:dyDescent="0.2">
      <c r="A601" s="492"/>
      <c r="B601" s="167"/>
      <c r="C601" s="167"/>
      <c r="D601" s="167"/>
      <c r="E601" s="167"/>
      <c r="F601" s="167"/>
      <c r="G601" s="167"/>
      <c r="H601" s="167"/>
      <c r="I601" s="167"/>
      <c r="J601" s="168"/>
    </row>
    <row r="602" spans="1:10" s="501" customFormat="1" x14ac:dyDescent="0.2">
      <c r="A602" s="492"/>
      <c r="B602" s="167"/>
      <c r="C602" s="167"/>
      <c r="D602" s="167"/>
      <c r="E602" s="167"/>
      <c r="F602" s="167"/>
      <c r="G602" s="167"/>
      <c r="H602" s="167"/>
      <c r="I602" s="167"/>
      <c r="J602" s="168"/>
    </row>
    <row r="603" spans="1:10" s="501" customFormat="1" x14ac:dyDescent="0.2">
      <c r="A603" s="492"/>
      <c r="B603" s="167"/>
      <c r="C603" s="167"/>
      <c r="D603" s="167"/>
      <c r="E603" s="167"/>
      <c r="F603" s="167"/>
      <c r="G603" s="167"/>
      <c r="H603" s="167"/>
      <c r="I603" s="167"/>
      <c r="J603" s="168"/>
    </row>
    <row r="604" spans="1:10" s="501" customFormat="1" x14ac:dyDescent="0.2">
      <c r="A604" s="492"/>
      <c r="B604" s="167"/>
      <c r="C604" s="167"/>
      <c r="D604" s="167"/>
      <c r="E604" s="167"/>
      <c r="F604" s="167"/>
      <c r="G604" s="167"/>
      <c r="H604" s="167"/>
      <c r="I604" s="167"/>
      <c r="J604" s="168"/>
    </row>
    <row r="605" spans="1:10" s="501" customFormat="1" x14ac:dyDescent="0.2">
      <c r="A605" s="492"/>
      <c r="B605" s="167"/>
      <c r="C605" s="167"/>
      <c r="D605" s="167"/>
      <c r="E605" s="167"/>
      <c r="F605" s="167"/>
      <c r="G605" s="167"/>
      <c r="H605" s="167"/>
      <c r="I605" s="167"/>
      <c r="J605" s="168"/>
    </row>
    <row r="606" spans="1:10" s="501" customFormat="1" x14ac:dyDescent="0.2">
      <c r="A606" s="492"/>
      <c r="B606" s="167"/>
      <c r="C606" s="167"/>
      <c r="D606" s="167"/>
      <c r="E606" s="167"/>
      <c r="F606" s="167"/>
      <c r="G606" s="167"/>
      <c r="H606" s="167"/>
      <c r="I606" s="167"/>
      <c r="J606" s="168"/>
    </row>
    <row r="607" spans="1:10" s="501" customFormat="1" x14ac:dyDescent="0.2">
      <c r="A607" s="492"/>
      <c r="B607" s="167"/>
      <c r="C607" s="167"/>
      <c r="D607" s="167"/>
      <c r="E607" s="167"/>
      <c r="F607" s="167"/>
      <c r="G607" s="167"/>
      <c r="H607" s="167"/>
      <c r="I607" s="167"/>
      <c r="J607" s="168"/>
    </row>
    <row r="608" spans="1:10" s="501" customFormat="1" x14ac:dyDescent="0.2">
      <c r="A608" s="492"/>
      <c r="B608" s="167"/>
      <c r="C608" s="167"/>
      <c r="D608" s="167"/>
      <c r="E608" s="167"/>
      <c r="F608" s="167"/>
      <c r="G608" s="167"/>
      <c r="H608" s="167"/>
      <c r="I608" s="167"/>
      <c r="J608" s="168"/>
    </row>
    <row r="609" spans="1:10" s="501" customFormat="1" x14ac:dyDescent="0.2">
      <c r="A609" s="492"/>
      <c r="B609" s="167"/>
      <c r="C609" s="167"/>
      <c r="D609" s="167"/>
      <c r="E609" s="167"/>
      <c r="F609" s="167"/>
      <c r="G609" s="167"/>
      <c r="H609" s="167"/>
      <c r="I609" s="167"/>
      <c r="J609" s="168"/>
    </row>
    <row r="610" spans="1:10" s="501" customFormat="1" x14ac:dyDescent="0.2">
      <c r="A610" s="492"/>
      <c r="B610" s="167"/>
      <c r="C610" s="167"/>
      <c r="D610" s="167"/>
      <c r="E610" s="167"/>
      <c r="F610" s="167"/>
      <c r="G610" s="167"/>
      <c r="H610" s="167"/>
      <c r="I610" s="167"/>
      <c r="J610" s="168"/>
    </row>
    <row r="611" spans="1:10" s="501" customFormat="1" x14ac:dyDescent="0.2">
      <c r="A611" s="492"/>
      <c r="B611" s="167"/>
      <c r="C611" s="167"/>
      <c r="D611" s="167"/>
      <c r="E611" s="167"/>
      <c r="F611" s="167"/>
      <c r="G611" s="167"/>
      <c r="H611" s="167"/>
      <c r="I611" s="167"/>
      <c r="J611" s="168"/>
    </row>
    <row r="612" spans="1:10" s="501" customFormat="1" x14ac:dyDescent="0.2">
      <c r="A612" s="492"/>
      <c r="B612" s="167"/>
      <c r="C612" s="167"/>
      <c r="D612" s="167"/>
      <c r="E612" s="167"/>
      <c r="F612" s="167"/>
      <c r="G612" s="167"/>
      <c r="H612" s="167"/>
      <c r="I612" s="167"/>
      <c r="J612" s="168"/>
    </row>
    <row r="613" spans="1:10" s="501" customFormat="1" x14ac:dyDescent="0.2">
      <c r="A613" s="492"/>
      <c r="B613" s="167"/>
      <c r="C613" s="167"/>
      <c r="D613" s="167"/>
      <c r="E613" s="167"/>
      <c r="F613" s="167"/>
      <c r="G613" s="167"/>
      <c r="H613" s="167"/>
      <c r="I613" s="167"/>
      <c r="J613" s="168"/>
    </row>
    <row r="614" spans="1:10" s="501" customFormat="1" x14ac:dyDescent="0.2">
      <c r="A614" s="492"/>
      <c r="B614" s="167"/>
      <c r="C614" s="167"/>
      <c r="D614" s="167"/>
      <c r="E614" s="167"/>
      <c r="F614" s="167"/>
      <c r="G614" s="167"/>
      <c r="H614" s="167"/>
      <c r="I614" s="167"/>
      <c r="J614" s="168"/>
    </row>
    <row r="615" spans="1:10" s="501" customFormat="1" x14ac:dyDescent="0.2">
      <c r="A615" s="492"/>
      <c r="B615" s="167"/>
      <c r="C615" s="167"/>
      <c r="D615" s="167"/>
      <c r="E615" s="167"/>
      <c r="F615" s="167"/>
      <c r="G615" s="167"/>
      <c r="H615" s="167"/>
      <c r="I615" s="167"/>
      <c r="J615" s="168"/>
    </row>
    <row r="616" spans="1:10" s="501" customFormat="1" x14ac:dyDescent="0.2">
      <c r="A616" s="492"/>
      <c r="B616" s="167"/>
      <c r="C616" s="167"/>
      <c r="D616" s="167"/>
      <c r="E616" s="167"/>
      <c r="F616" s="167"/>
      <c r="G616" s="167"/>
      <c r="H616" s="167"/>
      <c r="I616" s="167"/>
      <c r="J616" s="168"/>
    </row>
    <row r="617" spans="1:10" s="501" customFormat="1" x14ac:dyDescent="0.2">
      <c r="A617" s="492"/>
      <c r="B617" s="167"/>
      <c r="C617" s="167"/>
      <c r="D617" s="167"/>
      <c r="E617" s="167"/>
      <c r="F617" s="167"/>
      <c r="G617" s="167"/>
      <c r="H617" s="167"/>
      <c r="I617" s="167"/>
      <c r="J617" s="168"/>
    </row>
    <row r="618" spans="1:10" s="501" customFormat="1" x14ac:dyDescent="0.2">
      <c r="A618" s="492"/>
      <c r="B618" s="167"/>
      <c r="C618" s="167"/>
      <c r="D618" s="167"/>
      <c r="E618" s="167"/>
      <c r="F618" s="167"/>
      <c r="G618" s="167"/>
      <c r="H618" s="167"/>
      <c r="I618" s="167"/>
      <c r="J618" s="168"/>
    </row>
    <row r="619" spans="1:10" s="501" customFormat="1" x14ac:dyDescent="0.2">
      <c r="A619" s="492"/>
      <c r="B619" s="167"/>
      <c r="C619" s="167"/>
      <c r="D619" s="167"/>
      <c r="E619" s="167"/>
      <c r="F619" s="167"/>
      <c r="G619" s="167"/>
      <c r="H619" s="167"/>
      <c r="I619" s="167"/>
      <c r="J619" s="168"/>
    </row>
    <row r="620" spans="1:10" s="501" customFormat="1" x14ac:dyDescent="0.2">
      <c r="A620" s="492"/>
      <c r="B620" s="167"/>
      <c r="C620" s="167"/>
      <c r="D620" s="167"/>
      <c r="E620" s="167"/>
      <c r="F620" s="167"/>
      <c r="G620" s="167"/>
      <c r="H620" s="167"/>
      <c r="I620" s="167"/>
      <c r="J620" s="168"/>
    </row>
    <row r="621" spans="1:10" s="501" customFormat="1" x14ac:dyDescent="0.2">
      <c r="A621" s="492"/>
      <c r="B621" s="167"/>
      <c r="C621" s="167"/>
      <c r="D621" s="167"/>
      <c r="E621" s="167"/>
      <c r="F621" s="167"/>
      <c r="G621" s="167"/>
      <c r="H621" s="167"/>
      <c r="I621" s="167"/>
      <c r="J621" s="168"/>
    </row>
    <row r="622" spans="1:10" s="501" customFormat="1" x14ac:dyDescent="0.2">
      <c r="A622" s="492"/>
      <c r="B622" s="167"/>
      <c r="C622" s="167"/>
      <c r="D622" s="167"/>
      <c r="E622" s="167"/>
      <c r="F622" s="167"/>
      <c r="G622" s="167"/>
      <c r="H622" s="167"/>
      <c r="I622" s="167"/>
      <c r="J622" s="168"/>
    </row>
    <row r="623" spans="1:10" s="501" customFormat="1" x14ac:dyDescent="0.2">
      <c r="A623" s="492"/>
      <c r="B623" s="167"/>
      <c r="C623" s="167"/>
      <c r="D623" s="167"/>
      <c r="E623" s="167"/>
      <c r="F623" s="167"/>
      <c r="G623" s="167"/>
      <c r="H623" s="167"/>
      <c r="I623" s="167"/>
      <c r="J623" s="168"/>
    </row>
    <row r="624" spans="1:10" s="501" customFormat="1" x14ac:dyDescent="0.2">
      <c r="A624" s="492"/>
      <c r="B624" s="167"/>
      <c r="C624" s="167"/>
      <c r="D624" s="167"/>
      <c r="E624" s="167"/>
      <c r="F624" s="167"/>
      <c r="G624" s="167"/>
      <c r="H624" s="167"/>
      <c r="I624" s="167"/>
      <c r="J624" s="168"/>
    </row>
    <row r="625" spans="1:10" s="501" customFormat="1" x14ac:dyDescent="0.2">
      <c r="A625" s="492"/>
      <c r="B625" s="167"/>
      <c r="C625" s="167"/>
      <c r="D625" s="167"/>
      <c r="E625" s="167"/>
      <c r="F625" s="167"/>
      <c r="G625" s="167"/>
      <c r="H625" s="167"/>
      <c r="I625" s="167"/>
      <c r="J625" s="168"/>
    </row>
    <row r="626" spans="1:10" s="501" customFormat="1" x14ac:dyDescent="0.2">
      <c r="A626" s="492"/>
      <c r="B626" s="167"/>
      <c r="C626" s="167"/>
      <c r="D626" s="167"/>
      <c r="E626" s="167"/>
      <c r="F626" s="167"/>
      <c r="G626" s="167"/>
      <c r="H626" s="167"/>
      <c r="I626" s="167"/>
      <c r="J626" s="168"/>
    </row>
    <row r="627" spans="1:10" s="501" customFormat="1" x14ac:dyDescent="0.2">
      <c r="A627" s="492"/>
      <c r="B627" s="167"/>
      <c r="C627" s="167"/>
      <c r="D627" s="167"/>
      <c r="E627" s="167"/>
      <c r="F627" s="167"/>
      <c r="G627" s="167"/>
      <c r="H627" s="167"/>
      <c r="I627" s="167"/>
      <c r="J627" s="168"/>
    </row>
    <row r="628" spans="1:10" s="501" customFormat="1" x14ac:dyDescent="0.2">
      <c r="A628" s="492"/>
      <c r="B628" s="167"/>
      <c r="C628" s="167"/>
      <c r="D628" s="167"/>
      <c r="E628" s="167"/>
      <c r="F628" s="167"/>
      <c r="G628" s="167"/>
      <c r="H628" s="167"/>
      <c r="I628" s="167"/>
      <c r="J628" s="168"/>
    </row>
    <row r="629" spans="1:10" s="501" customFormat="1" x14ac:dyDescent="0.2">
      <c r="A629" s="492"/>
      <c r="B629" s="167"/>
      <c r="C629" s="167"/>
      <c r="D629" s="167"/>
      <c r="E629" s="167"/>
      <c r="F629" s="167"/>
      <c r="G629" s="167"/>
      <c r="H629" s="167"/>
      <c r="I629" s="167"/>
      <c r="J629" s="168"/>
    </row>
    <row r="630" spans="1:10" s="501" customFormat="1" x14ac:dyDescent="0.2">
      <c r="A630" s="492"/>
      <c r="B630" s="167"/>
      <c r="C630" s="167"/>
      <c r="D630" s="167"/>
      <c r="E630" s="167"/>
      <c r="F630" s="167"/>
      <c r="G630" s="167"/>
      <c r="H630" s="167"/>
      <c r="I630" s="167"/>
      <c r="J630" s="168"/>
    </row>
    <row r="631" spans="1:10" s="501" customFormat="1" x14ac:dyDescent="0.2">
      <c r="A631" s="492"/>
      <c r="B631" s="167"/>
      <c r="C631" s="167"/>
      <c r="D631" s="167"/>
      <c r="E631" s="167"/>
      <c r="F631" s="167"/>
      <c r="G631" s="167"/>
      <c r="H631" s="167"/>
      <c r="I631" s="167"/>
      <c r="J631" s="168"/>
    </row>
    <row r="632" spans="1:10" s="501" customFormat="1" x14ac:dyDescent="0.2">
      <c r="A632" s="492"/>
      <c r="B632" s="167"/>
      <c r="C632" s="167"/>
      <c r="D632" s="167"/>
      <c r="E632" s="167"/>
      <c r="F632" s="167"/>
      <c r="G632" s="167"/>
      <c r="H632" s="167"/>
      <c r="I632" s="167"/>
      <c r="J632" s="168"/>
    </row>
    <row r="633" spans="1:10" s="501" customFormat="1" x14ac:dyDescent="0.2">
      <c r="A633" s="492"/>
      <c r="B633" s="167"/>
      <c r="C633" s="167"/>
      <c r="D633" s="167"/>
      <c r="E633" s="167"/>
      <c r="F633" s="167"/>
      <c r="G633" s="167"/>
      <c r="H633" s="167"/>
      <c r="I633" s="167"/>
      <c r="J633" s="168"/>
    </row>
    <row r="634" spans="1:10" s="501" customFormat="1" x14ac:dyDescent="0.2">
      <c r="A634" s="492"/>
      <c r="B634" s="167"/>
      <c r="C634" s="167"/>
      <c r="D634" s="167"/>
      <c r="E634" s="167"/>
      <c r="F634" s="167"/>
      <c r="G634" s="167"/>
      <c r="H634" s="167"/>
      <c r="I634" s="167"/>
      <c r="J634" s="168"/>
    </row>
    <row r="635" spans="1:10" s="501" customFormat="1" x14ac:dyDescent="0.2">
      <c r="A635" s="492"/>
      <c r="B635" s="167"/>
      <c r="C635" s="167"/>
      <c r="D635" s="167"/>
      <c r="E635" s="167"/>
      <c r="F635" s="167"/>
      <c r="G635" s="167"/>
      <c r="H635" s="167"/>
      <c r="I635" s="167"/>
      <c r="J635" s="168"/>
    </row>
    <row r="636" spans="1:10" s="501" customFormat="1" x14ac:dyDescent="0.2">
      <c r="A636" s="492"/>
      <c r="B636" s="167"/>
      <c r="C636" s="167"/>
      <c r="D636" s="167"/>
      <c r="E636" s="167"/>
      <c r="F636" s="167"/>
      <c r="G636" s="167"/>
      <c r="H636" s="167"/>
      <c r="I636" s="167"/>
      <c r="J636" s="168"/>
    </row>
    <row r="637" spans="1:10" s="501" customFormat="1" x14ac:dyDescent="0.2">
      <c r="A637" s="492"/>
      <c r="B637" s="167"/>
      <c r="C637" s="167"/>
      <c r="D637" s="167"/>
      <c r="E637" s="167"/>
      <c r="F637" s="167"/>
      <c r="G637" s="167"/>
      <c r="H637" s="167"/>
      <c r="I637" s="167"/>
      <c r="J637" s="168"/>
    </row>
    <row r="638" spans="1:10" s="501" customFormat="1" x14ac:dyDescent="0.2">
      <c r="A638" s="492"/>
      <c r="B638" s="167"/>
      <c r="C638" s="167"/>
      <c r="D638" s="167"/>
      <c r="E638" s="167"/>
      <c r="F638" s="167"/>
      <c r="G638" s="167"/>
      <c r="H638" s="167"/>
      <c r="I638" s="167"/>
      <c r="J638" s="168"/>
    </row>
    <row r="639" spans="1:10" s="501" customFormat="1" x14ac:dyDescent="0.2">
      <c r="A639" s="492"/>
      <c r="B639" s="167"/>
      <c r="C639" s="167"/>
      <c r="D639" s="167"/>
      <c r="E639" s="167"/>
      <c r="F639" s="167"/>
      <c r="G639" s="167"/>
      <c r="H639" s="167"/>
      <c r="I639" s="167"/>
      <c r="J639" s="168"/>
    </row>
    <row r="640" spans="1:10" s="501" customFormat="1" x14ac:dyDescent="0.2">
      <c r="A640" s="492"/>
      <c r="B640" s="167"/>
      <c r="C640" s="167"/>
      <c r="D640" s="167"/>
      <c r="E640" s="167"/>
      <c r="F640" s="167"/>
      <c r="G640" s="167"/>
      <c r="H640" s="167"/>
      <c r="I640" s="167"/>
      <c r="J640" s="168"/>
    </row>
    <row r="641" spans="1:10" s="501" customFormat="1" x14ac:dyDescent="0.2">
      <c r="A641" s="492"/>
      <c r="B641" s="167"/>
      <c r="C641" s="167"/>
      <c r="D641" s="167"/>
      <c r="E641" s="167"/>
      <c r="F641" s="167"/>
      <c r="G641" s="167"/>
      <c r="H641" s="167"/>
      <c r="I641" s="167"/>
      <c r="J641" s="168"/>
    </row>
    <row r="642" spans="1:10" s="501" customFormat="1" x14ac:dyDescent="0.2">
      <c r="A642" s="492"/>
      <c r="B642" s="167"/>
      <c r="C642" s="167"/>
      <c r="D642" s="167"/>
      <c r="E642" s="167"/>
      <c r="F642" s="167"/>
      <c r="G642" s="167"/>
      <c r="H642" s="167"/>
      <c r="I642" s="167"/>
      <c r="J642" s="168"/>
    </row>
    <row r="643" spans="1:10" s="501" customFormat="1" x14ac:dyDescent="0.2">
      <c r="A643" s="492"/>
      <c r="B643" s="167"/>
      <c r="C643" s="167"/>
      <c r="D643" s="167"/>
      <c r="E643" s="167"/>
      <c r="F643" s="167"/>
      <c r="G643" s="167"/>
      <c r="H643" s="167"/>
      <c r="I643" s="167"/>
      <c r="J643" s="168"/>
    </row>
    <row r="644" spans="1:10" s="501" customFormat="1" x14ac:dyDescent="0.2">
      <c r="A644" s="492"/>
      <c r="B644" s="167"/>
      <c r="C644" s="167"/>
      <c r="D644" s="167"/>
      <c r="E644" s="167"/>
      <c r="F644" s="167"/>
      <c r="G644" s="167"/>
      <c r="H644" s="167"/>
      <c r="I644" s="167"/>
      <c r="J644" s="168"/>
    </row>
    <row r="645" spans="1:10" s="501" customFormat="1" x14ac:dyDescent="0.2">
      <c r="A645" s="492"/>
      <c r="B645" s="167"/>
      <c r="C645" s="167"/>
      <c r="D645" s="167"/>
      <c r="E645" s="167"/>
      <c r="F645" s="167"/>
      <c r="G645" s="167"/>
      <c r="H645" s="167"/>
      <c r="I645" s="167"/>
      <c r="J645" s="168"/>
    </row>
    <row r="646" spans="1:10" s="501" customFormat="1" x14ac:dyDescent="0.2">
      <c r="A646" s="492"/>
      <c r="B646" s="167"/>
      <c r="C646" s="167"/>
      <c r="D646" s="167"/>
      <c r="E646" s="167"/>
      <c r="F646" s="167"/>
      <c r="G646" s="167"/>
      <c r="H646" s="167"/>
      <c r="I646" s="167"/>
      <c r="J646" s="168"/>
    </row>
    <row r="647" spans="1:10" s="501" customFormat="1" x14ac:dyDescent="0.2">
      <c r="A647" s="492"/>
      <c r="B647" s="167"/>
      <c r="C647" s="167"/>
      <c r="D647" s="167"/>
      <c r="E647" s="167"/>
      <c r="F647" s="167"/>
      <c r="G647" s="167"/>
      <c r="H647" s="167"/>
      <c r="I647" s="167"/>
      <c r="J647" s="168"/>
    </row>
    <row r="648" spans="1:10" s="501" customFormat="1" x14ac:dyDescent="0.2">
      <c r="A648" s="492"/>
      <c r="B648" s="167"/>
      <c r="C648" s="167"/>
      <c r="D648" s="167"/>
      <c r="E648" s="167"/>
      <c r="F648" s="167"/>
      <c r="G648" s="167"/>
      <c r="H648" s="167"/>
      <c r="I648" s="167"/>
      <c r="J648" s="168"/>
    </row>
    <row r="649" spans="1:10" s="501" customFormat="1" x14ac:dyDescent="0.2">
      <c r="A649" s="492"/>
      <c r="B649" s="167"/>
      <c r="C649" s="167"/>
      <c r="D649" s="167"/>
      <c r="E649" s="167"/>
      <c r="F649" s="167"/>
      <c r="G649" s="167"/>
      <c r="H649" s="167"/>
      <c r="I649" s="167"/>
      <c r="J649" s="168"/>
    </row>
    <row r="650" spans="1:10" s="501" customFormat="1" x14ac:dyDescent="0.2">
      <c r="A650" s="492"/>
      <c r="B650" s="167"/>
      <c r="C650" s="167"/>
      <c r="D650" s="167"/>
      <c r="E650" s="167"/>
      <c r="F650" s="167"/>
      <c r="G650" s="167"/>
      <c r="H650" s="167"/>
      <c r="I650" s="167"/>
      <c r="J650" s="168"/>
    </row>
    <row r="651" spans="1:10" s="501" customFormat="1" x14ac:dyDescent="0.2">
      <c r="A651" s="492"/>
      <c r="B651" s="167"/>
      <c r="C651" s="167"/>
      <c r="D651" s="167"/>
      <c r="E651" s="167"/>
      <c r="F651" s="167"/>
      <c r="G651" s="167"/>
      <c r="H651" s="167"/>
      <c r="I651" s="167"/>
      <c r="J651" s="168"/>
    </row>
    <row r="652" spans="1:10" s="501" customFormat="1" x14ac:dyDescent="0.2">
      <c r="A652" s="492"/>
      <c r="B652" s="167"/>
      <c r="C652" s="167"/>
      <c r="D652" s="167"/>
      <c r="E652" s="167"/>
      <c r="F652" s="167"/>
      <c r="G652" s="167"/>
      <c r="H652" s="167"/>
      <c r="I652" s="167"/>
      <c r="J652" s="168"/>
    </row>
    <row r="653" spans="1:10" s="501" customFormat="1" x14ac:dyDescent="0.2">
      <c r="A653" s="492"/>
      <c r="B653" s="167"/>
      <c r="C653" s="167"/>
      <c r="D653" s="167"/>
      <c r="E653" s="167"/>
      <c r="F653" s="167"/>
      <c r="G653" s="167"/>
      <c r="H653" s="167"/>
      <c r="I653" s="167"/>
      <c r="J653" s="168"/>
    </row>
    <row r="654" spans="1:10" s="501" customFormat="1" x14ac:dyDescent="0.2">
      <c r="A654" s="492"/>
      <c r="B654" s="167"/>
      <c r="C654" s="167"/>
      <c r="D654" s="167"/>
      <c r="E654" s="167"/>
      <c r="F654" s="167"/>
      <c r="G654" s="167"/>
      <c r="H654" s="167"/>
      <c r="I654" s="167"/>
      <c r="J654" s="168"/>
    </row>
    <row r="655" spans="1:10" s="501" customFormat="1" x14ac:dyDescent="0.2">
      <c r="A655" s="492"/>
      <c r="B655" s="167"/>
      <c r="C655" s="167"/>
      <c r="D655" s="167"/>
      <c r="E655" s="167"/>
      <c r="F655" s="167"/>
      <c r="G655" s="167"/>
      <c r="H655" s="167"/>
      <c r="I655" s="167"/>
      <c r="J655" s="168"/>
    </row>
    <row r="656" spans="1:10" s="501" customFormat="1" x14ac:dyDescent="0.2">
      <c r="A656" s="492"/>
      <c r="B656" s="167"/>
      <c r="C656" s="167"/>
      <c r="D656" s="167"/>
      <c r="E656" s="167"/>
      <c r="F656" s="167"/>
      <c r="G656" s="167"/>
      <c r="H656" s="167"/>
      <c r="I656" s="167"/>
      <c r="J656" s="168"/>
    </row>
    <row r="657" spans="1:10" s="501" customFormat="1" x14ac:dyDescent="0.2">
      <c r="A657" s="492"/>
      <c r="B657" s="167"/>
      <c r="C657" s="167"/>
      <c r="D657" s="167"/>
      <c r="E657" s="167"/>
      <c r="F657" s="167"/>
      <c r="G657" s="167"/>
      <c r="H657" s="167"/>
      <c r="I657" s="167"/>
      <c r="J657" s="168"/>
    </row>
    <row r="658" spans="1:10" s="501" customFormat="1" x14ac:dyDescent="0.2">
      <c r="A658" s="492"/>
      <c r="B658" s="167"/>
      <c r="C658" s="167"/>
      <c r="D658" s="167"/>
      <c r="E658" s="167"/>
      <c r="F658" s="167"/>
      <c r="G658" s="167"/>
      <c r="H658" s="167"/>
      <c r="I658" s="167"/>
      <c r="J658" s="168"/>
    </row>
    <row r="659" spans="1:10" s="501" customFormat="1" x14ac:dyDescent="0.2">
      <c r="A659" s="492"/>
      <c r="B659" s="167"/>
      <c r="C659" s="167"/>
      <c r="D659" s="167"/>
      <c r="E659" s="167"/>
      <c r="F659" s="167"/>
      <c r="G659" s="167"/>
      <c r="H659" s="167"/>
      <c r="I659" s="167"/>
      <c r="J659" s="168"/>
    </row>
    <row r="660" spans="1:10" s="501" customFormat="1" x14ac:dyDescent="0.2">
      <c r="A660" s="492"/>
      <c r="B660" s="167"/>
      <c r="C660" s="167"/>
      <c r="D660" s="167"/>
      <c r="E660" s="167"/>
      <c r="F660" s="167"/>
      <c r="G660" s="167"/>
      <c r="H660" s="167"/>
      <c r="I660" s="167"/>
      <c r="J660" s="168"/>
    </row>
    <row r="661" spans="1:10" s="501" customFormat="1" x14ac:dyDescent="0.2">
      <c r="A661" s="492"/>
      <c r="B661" s="167"/>
      <c r="C661" s="167"/>
      <c r="D661" s="167"/>
      <c r="E661" s="167"/>
      <c r="F661" s="167"/>
      <c r="G661" s="167"/>
      <c r="H661" s="167"/>
      <c r="I661" s="167"/>
      <c r="J661" s="168"/>
    </row>
    <row r="662" spans="1:10" s="501" customFormat="1" x14ac:dyDescent="0.2">
      <c r="A662" s="492"/>
      <c r="B662" s="167"/>
      <c r="C662" s="167"/>
      <c r="D662" s="167"/>
      <c r="E662" s="167"/>
      <c r="F662" s="167"/>
      <c r="G662" s="167"/>
      <c r="H662" s="167"/>
      <c r="I662" s="167"/>
      <c r="J662" s="168"/>
    </row>
    <row r="663" spans="1:10" s="501" customFormat="1" x14ac:dyDescent="0.2">
      <c r="A663" s="492"/>
      <c r="B663" s="167"/>
      <c r="C663" s="167"/>
      <c r="D663" s="167"/>
      <c r="E663" s="167"/>
      <c r="F663" s="167"/>
      <c r="G663" s="167"/>
      <c r="H663" s="167"/>
      <c r="I663" s="167"/>
      <c r="J663" s="168"/>
    </row>
    <row r="664" spans="1:10" s="501" customFormat="1" x14ac:dyDescent="0.2">
      <c r="A664" s="492"/>
      <c r="B664" s="167"/>
      <c r="C664" s="167"/>
      <c r="D664" s="167"/>
      <c r="E664" s="167"/>
      <c r="F664" s="167"/>
      <c r="G664" s="167"/>
      <c r="H664" s="167"/>
      <c r="I664" s="167"/>
      <c r="J664" s="168"/>
    </row>
    <row r="665" spans="1:10" s="501" customFormat="1" x14ac:dyDescent="0.2">
      <c r="A665" s="492"/>
      <c r="B665" s="167"/>
      <c r="C665" s="167"/>
      <c r="D665" s="167"/>
      <c r="E665" s="167"/>
      <c r="F665" s="167"/>
      <c r="G665" s="167"/>
      <c r="H665" s="167"/>
      <c r="I665" s="167"/>
      <c r="J665" s="168"/>
    </row>
    <row r="666" spans="1:10" s="501" customFormat="1" x14ac:dyDescent="0.2">
      <c r="A666" s="492"/>
      <c r="B666" s="167"/>
      <c r="C666" s="167"/>
      <c r="D666" s="167"/>
      <c r="E666" s="167"/>
      <c r="F666" s="167"/>
      <c r="G666" s="167"/>
      <c r="H666" s="167"/>
      <c r="I666" s="167"/>
      <c r="J666" s="168"/>
    </row>
    <row r="667" spans="1:10" s="501" customFormat="1" x14ac:dyDescent="0.2">
      <c r="A667" s="492"/>
      <c r="B667" s="167"/>
      <c r="C667" s="167"/>
      <c r="D667" s="167"/>
      <c r="E667" s="167"/>
      <c r="F667" s="167"/>
      <c r="G667" s="167"/>
      <c r="H667" s="167"/>
      <c r="I667" s="167"/>
      <c r="J667" s="168"/>
    </row>
    <row r="668" spans="1:10" s="501" customFormat="1" x14ac:dyDescent="0.2">
      <c r="A668" s="492"/>
      <c r="B668" s="167"/>
      <c r="C668" s="167"/>
      <c r="D668" s="167"/>
      <c r="E668" s="167"/>
      <c r="F668" s="167"/>
      <c r="G668" s="167"/>
      <c r="H668" s="167"/>
      <c r="I668" s="167"/>
      <c r="J668" s="168"/>
    </row>
    <row r="669" spans="1:10" s="501" customFormat="1" x14ac:dyDescent="0.2">
      <c r="A669" s="492"/>
      <c r="B669" s="167"/>
      <c r="C669" s="167"/>
      <c r="D669" s="167"/>
      <c r="E669" s="167"/>
      <c r="F669" s="167"/>
      <c r="G669" s="167"/>
      <c r="H669" s="167"/>
      <c r="I669" s="167"/>
      <c r="J669" s="168"/>
    </row>
    <row r="670" spans="1:10" s="501" customFormat="1" x14ac:dyDescent="0.2">
      <c r="A670" s="492"/>
      <c r="B670" s="167"/>
      <c r="C670" s="167"/>
      <c r="D670" s="167"/>
      <c r="E670" s="167"/>
      <c r="F670" s="167"/>
      <c r="G670" s="167"/>
      <c r="H670" s="167"/>
      <c r="I670" s="167"/>
      <c r="J670" s="168"/>
    </row>
    <row r="671" spans="1:10" s="501" customFormat="1" x14ac:dyDescent="0.2">
      <c r="A671" s="492"/>
      <c r="B671" s="167"/>
      <c r="C671" s="167"/>
      <c r="D671" s="167"/>
      <c r="E671" s="167"/>
      <c r="F671" s="167"/>
      <c r="G671" s="167"/>
      <c r="H671" s="167"/>
      <c r="I671" s="167"/>
      <c r="J671" s="168"/>
    </row>
    <row r="672" spans="1:10" s="501" customFormat="1" x14ac:dyDescent="0.2">
      <c r="A672" s="492"/>
      <c r="B672" s="167"/>
      <c r="C672" s="167"/>
      <c r="D672" s="167"/>
      <c r="E672" s="167"/>
      <c r="F672" s="167"/>
      <c r="G672" s="167"/>
      <c r="H672" s="167"/>
      <c r="I672" s="167"/>
      <c r="J672" s="168"/>
    </row>
    <row r="673" spans="1:10" s="501" customFormat="1" x14ac:dyDescent="0.2">
      <c r="A673" s="492"/>
      <c r="B673" s="167"/>
      <c r="C673" s="167"/>
      <c r="D673" s="167"/>
      <c r="E673" s="167"/>
      <c r="F673" s="167"/>
      <c r="G673" s="167"/>
      <c r="H673" s="167"/>
      <c r="I673" s="167"/>
      <c r="J673" s="168"/>
    </row>
    <row r="674" spans="1:10" s="501" customFormat="1" x14ac:dyDescent="0.2">
      <c r="A674" s="492"/>
      <c r="B674" s="167"/>
      <c r="C674" s="167"/>
      <c r="D674" s="167"/>
      <c r="E674" s="167"/>
      <c r="F674" s="167"/>
      <c r="G674" s="167"/>
      <c r="H674" s="167"/>
      <c r="I674" s="167"/>
      <c r="J674" s="168"/>
    </row>
    <row r="675" spans="1:10" s="501" customFormat="1" x14ac:dyDescent="0.2">
      <c r="A675" s="492"/>
      <c r="B675" s="167"/>
      <c r="C675" s="167"/>
      <c r="D675" s="167"/>
      <c r="E675" s="167"/>
      <c r="F675" s="167"/>
      <c r="G675" s="167"/>
      <c r="H675" s="167"/>
      <c r="I675" s="167"/>
      <c r="J675" s="168"/>
    </row>
    <row r="676" spans="1:10" s="501" customFormat="1" x14ac:dyDescent="0.2">
      <c r="A676" s="492"/>
      <c r="B676" s="167"/>
      <c r="C676" s="167"/>
      <c r="D676" s="167"/>
      <c r="E676" s="167"/>
      <c r="F676" s="167"/>
      <c r="G676" s="167"/>
      <c r="H676" s="167"/>
      <c r="I676" s="167"/>
      <c r="J676" s="168"/>
    </row>
    <row r="677" spans="1:10" s="501" customFormat="1" x14ac:dyDescent="0.2">
      <c r="A677" s="492"/>
      <c r="B677" s="167"/>
      <c r="C677" s="167"/>
      <c r="D677" s="167"/>
      <c r="E677" s="167"/>
      <c r="F677" s="167"/>
      <c r="G677" s="167"/>
      <c r="H677" s="167"/>
      <c r="I677" s="167"/>
      <c r="J677" s="168"/>
    </row>
    <row r="678" spans="1:10" s="501" customFormat="1" x14ac:dyDescent="0.2">
      <c r="A678" s="492"/>
      <c r="B678" s="167"/>
      <c r="C678" s="167"/>
      <c r="D678" s="167"/>
      <c r="E678" s="167"/>
      <c r="F678" s="167"/>
      <c r="G678" s="167"/>
      <c r="H678" s="167"/>
      <c r="I678" s="167"/>
      <c r="J678" s="168"/>
    </row>
    <row r="679" spans="1:10" s="501" customFormat="1" x14ac:dyDescent="0.2">
      <c r="A679" s="492"/>
      <c r="B679" s="167"/>
      <c r="C679" s="167"/>
      <c r="D679" s="167"/>
      <c r="E679" s="167"/>
      <c r="F679" s="167"/>
      <c r="G679" s="167"/>
      <c r="H679" s="167"/>
      <c r="I679" s="167"/>
      <c r="J679" s="168"/>
    </row>
    <row r="680" spans="1:10" s="501" customFormat="1" x14ac:dyDescent="0.2">
      <c r="A680" s="492"/>
      <c r="B680" s="167"/>
      <c r="C680" s="167"/>
      <c r="D680" s="167"/>
      <c r="E680" s="167"/>
      <c r="F680" s="167"/>
      <c r="G680" s="167"/>
      <c r="H680" s="167"/>
      <c r="I680" s="167"/>
      <c r="J680" s="168"/>
    </row>
    <row r="681" spans="1:10" s="501" customFormat="1" x14ac:dyDescent="0.2">
      <c r="A681" s="492"/>
      <c r="B681" s="167"/>
      <c r="C681" s="167"/>
      <c r="D681" s="167"/>
      <c r="E681" s="167"/>
      <c r="F681" s="167"/>
      <c r="G681" s="167"/>
      <c r="H681" s="167"/>
      <c r="I681" s="167"/>
      <c r="J681" s="168"/>
    </row>
    <row r="682" spans="1:10" s="501" customFormat="1" x14ac:dyDescent="0.2">
      <c r="A682" s="492"/>
      <c r="B682" s="167"/>
      <c r="C682" s="167"/>
      <c r="D682" s="167"/>
      <c r="E682" s="167"/>
      <c r="F682" s="167"/>
      <c r="G682" s="167"/>
      <c r="H682" s="167"/>
      <c r="I682" s="167"/>
      <c r="J682" s="168"/>
    </row>
    <row r="683" spans="1:10" s="501" customFormat="1" x14ac:dyDescent="0.2">
      <c r="A683" s="492"/>
      <c r="B683" s="167"/>
      <c r="C683" s="167"/>
      <c r="D683" s="167"/>
      <c r="E683" s="167"/>
      <c r="F683" s="167"/>
      <c r="G683" s="167"/>
      <c r="H683" s="167"/>
      <c r="I683" s="167"/>
      <c r="J683" s="168"/>
    </row>
    <row r="684" spans="1:10" s="501" customFormat="1" x14ac:dyDescent="0.2">
      <c r="A684" s="492"/>
      <c r="B684" s="167"/>
      <c r="C684" s="167"/>
      <c r="D684" s="167"/>
      <c r="E684" s="167"/>
      <c r="F684" s="167"/>
      <c r="G684" s="167"/>
      <c r="H684" s="167"/>
      <c r="I684" s="167"/>
      <c r="J684" s="168"/>
    </row>
    <row r="685" spans="1:10" s="501" customFormat="1" x14ac:dyDescent="0.2">
      <c r="A685" s="492"/>
      <c r="B685" s="167"/>
      <c r="C685" s="167"/>
      <c r="D685" s="167"/>
      <c r="E685" s="167"/>
      <c r="F685" s="167"/>
      <c r="G685" s="167"/>
      <c r="H685" s="167"/>
      <c r="I685" s="167"/>
      <c r="J685" s="168"/>
    </row>
    <row r="686" spans="1:10" s="501" customFormat="1" x14ac:dyDescent="0.2">
      <c r="A686" s="492"/>
      <c r="B686" s="167"/>
      <c r="C686" s="167"/>
      <c r="D686" s="167"/>
      <c r="E686" s="167"/>
      <c r="F686" s="167"/>
      <c r="G686" s="167"/>
      <c r="H686" s="167"/>
      <c r="I686" s="167"/>
      <c r="J686" s="168"/>
    </row>
    <row r="687" spans="1:10" s="501" customFormat="1" x14ac:dyDescent="0.2">
      <c r="A687" s="492"/>
      <c r="B687" s="167"/>
      <c r="C687" s="167"/>
      <c r="D687" s="167"/>
      <c r="E687" s="167"/>
      <c r="F687" s="167"/>
      <c r="G687" s="167"/>
      <c r="H687" s="167"/>
      <c r="I687" s="167"/>
      <c r="J687" s="168"/>
    </row>
    <row r="688" spans="1:10" s="501" customFormat="1" x14ac:dyDescent="0.2">
      <c r="A688" s="492"/>
      <c r="B688" s="167"/>
      <c r="C688" s="167"/>
      <c r="D688" s="167"/>
      <c r="E688" s="167"/>
      <c r="F688" s="167"/>
      <c r="G688" s="167"/>
      <c r="H688" s="167"/>
      <c r="I688" s="167"/>
      <c r="J688" s="168"/>
    </row>
    <row r="689" spans="1:10" s="501" customFormat="1" x14ac:dyDescent="0.2">
      <c r="A689" s="492"/>
      <c r="B689" s="167"/>
      <c r="C689" s="167"/>
      <c r="D689" s="167"/>
      <c r="E689" s="167"/>
      <c r="F689" s="167"/>
      <c r="G689" s="167"/>
      <c r="H689" s="167"/>
      <c r="I689" s="167"/>
      <c r="J689" s="168"/>
    </row>
    <row r="690" spans="1:10" s="501" customFormat="1" x14ac:dyDescent="0.2">
      <c r="A690" s="492"/>
      <c r="B690" s="167"/>
      <c r="C690" s="167"/>
      <c r="D690" s="167"/>
      <c r="E690" s="167"/>
      <c r="F690" s="167"/>
      <c r="G690" s="167"/>
      <c r="H690" s="167"/>
      <c r="I690" s="167"/>
      <c r="J690" s="168"/>
    </row>
    <row r="691" spans="1:10" s="501" customFormat="1" x14ac:dyDescent="0.2">
      <c r="A691" s="492"/>
      <c r="B691" s="167"/>
      <c r="C691" s="167"/>
      <c r="D691" s="167"/>
      <c r="E691" s="167"/>
      <c r="F691" s="167"/>
      <c r="G691" s="167"/>
      <c r="H691" s="167"/>
      <c r="I691" s="167"/>
      <c r="J691" s="168"/>
    </row>
    <row r="692" spans="1:10" s="501" customFormat="1" x14ac:dyDescent="0.2">
      <c r="A692" s="492"/>
      <c r="B692" s="167"/>
      <c r="C692" s="167"/>
      <c r="D692" s="167"/>
      <c r="E692" s="167"/>
      <c r="F692" s="167"/>
      <c r="G692" s="167"/>
      <c r="H692" s="167"/>
      <c r="I692" s="167"/>
      <c r="J692" s="168"/>
    </row>
    <row r="693" spans="1:10" s="501" customFormat="1" x14ac:dyDescent="0.2">
      <c r="A693" s="492"/>
      <c r="B693" s="167"/>
      <c r="C693" s="167"/>
      <c r="D693" s="167"/>
      <c r="E693" s="167"/>
      <c r="F693" s="167"/>
      <c r="G693" s="167"/>
      <c r="H693" s="167"/>
      <c r="I693" s="167"/>
      <c r="J693" s="168"/>
    </row>
    <row r="694" spans="1:10" s="501" customFormat="1" x14ac:dyDescent="0.2">
      <c r="A694" s="492"/>
      <c r="B694" s="167"/>
      <c r="C694" s="167"/>
      <c r="D694" s="167"/>
      <c r="E694" s="167"/>
      <c r="F694" s="167"/>
      <c r="G694" s="167"/>
      <c r="H694" s="167"/>
      <c r="I694" s="167"/>
      <c r="J694" s="168"/>
    </row>
    <row r="695" spans="1:10" s="501" customFormat="1" x14ac:dyDescent="0.2">
      <c r="A695" s="492"/>
      <c r="B695" s="167"/>
      <c r="C695" s="167"/>
      <c r="D695" s="167"/>
      <c r="E695" s="167"/>
      <c r="F695" s="167"/>
      <c r="G695" s="167"/>
      <c r="H695" s="167"/>
      <c r="I695" s="167"/>
      <c r="J695" s="168"/>
    </row>
    <row r="696" spans="1:10" s="501" customFormat="1" x14ac:dyDescent="0.2">
      <c r="A696" s="492"/>
      <c r="B696" s="167"/>
      <c r="C696" s="167"/>
      <c r="D696" s="167"/>
      <c r="E696" s="167"/>
      <c r="F696" s="167"/>
      <c r="G696" s="167"/>
      <c r="H696" s="167"/>
      <c r="I696" s="167"/>
      <c r="J696" s="168"/>
    </row>
    <row r="697" spans="1:10" s="501" customFormat="1" x14ac:dyDescent="0.2">
      <c r="A697" s="492"/>
      <c r="B697" s="167"/>
      <c r="C697" s="167"/>
      <c r="D697" s="167"/>
      <c r="E697" s="167"/>
      <c r="F697" s="167"/>
      <c r="G697" s="167"/>
      <c r="H697" s="167"/>
      <c r="I697" s="167"/>
      <c r="J697" s="168"/>
    </row>
    <row r="698" spans="1:10" s="501" customFormat="1" x14ac:dyDescent="0.2">
      <c r="A698" s="492"/>
      <c r="B698" s="167"/>
      <c r="C698" s="167"/>
      <c r="D698" s="167"/>
      <c r="E698" s="167"/>
      <c r="F698" s="167"/>
      <c r="G698" s="167"/>
      <c r="H698" s="167"/>
      <c r="I698" s="167"/>
      <c r="J698" s="168"/>
    </row>
    <row r="699" spans="1:10" s="501" customFormat="1" x14ac:dyDescent="0.2">
      <c r="A699" s="492"/>
      <c r="B699" s="167"/>
      <c r="C699" s="167"/>
      <c r="D699" s="167"/>
      <c r="E699" s="167"/>
      <c r="F699" s="167"/>
      <c r="G699" s="167"/>
      <c r="H699" s="167"/>
      <c r="I699" s="167"/>
      <c r="J699" s="168"/>
    </row>
    <row r="700" spans="1:10" s="501" customFormat="1" x14ac:dyDescent="0.2">
      <c r="A700" s="492"/>
      <c r="B700" s="167"/>
      <c r="C700" s="167"/>
      <c r="D700" s="167"/>
      <c r="E700" s="167"/>
      <c r="F700" s="167"/>
      <c r="G700" s="167"/>
      <c r="H700" s="167"/>
      <c r="I700" s="167"/>
      <c r="J700" s="168"/>
    </row>
    <row r="701" spans="1:10" s="501" customFormat="1" x14ac:dyDescent="0.2">
      <c r="A701" s="492"/>
      <c r="B701" s="167"/>
      <c r="C701" s="167"/>
      <c r="D701" s="167"/>
      <c r="E701" s="167"/>
      <c r="F701" s="167"/>
      <c r="G701" s="167"/>
      <c r="H701" s="167"/>
      <c r="I701" s="167"/>
      <c r="J701" s="168"/>
    </row>
    <row r="702" spans="1:10" s="501" customFormat="1" x14ac:dyDescent="0.2">
      <c r="A702" s="492"/>
      <c r="B702" s="167"/>
      <c r="C702" s="167"/>
      <c r="D702" s="167"/>
      <c r="E702" s="167"/>
      <c r="F702" s="167"/>
      <c r="G702" s="167"/>
      <c r="H702" s="167"/>
      <c r="I702" s="167"/>
      <c r="J702" s="168"/>
    </row>
    <row r="703" spans="1:10" s="501" customFormat="1" x14ac:dyDescent="0.2">
      <c r="A703" s="492"/>
      <c r="B703" s="167"/>
      <c r="C703" s="167"/>
      <c r="D703" s="167"/>
      <c r="E703" s="167"/>
      <c r="F703" s="167"/>
      <c r="G703" s="167"/>
      <c r="H703" s="167"/>
      <c r="I703" s="167"/>
      <c r="J703" s="168"/>
    </row>
    <row r="704" spans="1:10" s="501" customFormat="1" x14ac:dyDescent="0.2">
      <c r="A704" s="492"/>
      <c r="B704" s="167"/>
      <c r="C704" s="167"/>
      <c r="D704" s="167"/>
      <c r="E704" s="167"/>
      <c r="F704" s="167"/>
      <c r="G704" s="167"/>
      <c r="H704" s="167"/>
      <c r="I704" s="167"/>
      <c r="J704" s="168"/>
    </row>
    <row r="705" spans="1:10" s="501" customFormat="1" x14ac:dyDescent="0.2">
      <c r="A705" s="492"/>
      <c r="B705" s="167"/>
      <c r="C705" s="167"/>
      <c r="D705" s="167"/>
      <c r="E705" s="167"/>
      <c r="F705" s="167"/>
      <c r="G705" s="167"/>
      <c r="H705" s="167"/>
      <c r="I705" s="167"/>
      <c r="J705" s="168"/>
    </row>
    <row r="706" spans="1:10" s="501" customFormat="1" x14ac:dyDescent="0.2">
      <c r="A706" s="492"/>
      <c r="B706" s="167"/>
      <c r="C706" s="167"/>
      <c r="D706" s="167"/>
      <c r="E706" s="167"/>
      <c r="F706" s="167"/>
      <c r="G706" s="167"/>
      <c r="H706" s="167"/>
      <c r="I706" s="167"/>
      <c r="J706" s="168"/>
    </row>
    <row r="707" spans="1:10" s="501" customFormat="1" x14ac:dyDescent="0.2">
      <c r="A707" s="492"/>
      <c r="B707" s="167"/>
      <c r="C707" s="167"/>
      <c r="D707" s="167"/>
      <c r="E707" s="167"/>
      <c r="F707" s="167"/>
      <c r="G707" s="167"/>
      <c r="H707" s="167"/>
      <c r="I707" s="167"/>
      <c r="J707" s="168"/>
    </row>
    <row r="708" spans="1:10" s="501" customFormat="1" x14ac:dyDescent="0.2">
      <c r="A708" s="492"/>
      <c r="B708" s="167"/>
      <c r="C708" s="167"/>
      <c r="D708" s="167"/>
      <c r="E708" s="167"/>
      <c r="F708" s="167"/>
      <c r="G708" s="167"/>
      <c r="H708" s="167"/>
      <c r="I708" s="167"/>
      <c r="J708" s="168"/>
    </row>
    <row r="709" spans="1:10" s="501" customFormat="1" x14ac:dyDescent="0.2">
      <c r="A709" s="492"/>
      <c r="B709" s="167"/>
      <c r="C709" s="167"/>
      <c r="D709" s="167"/>
      <c r="E709" s="167"/>
      <c r="F709" s="167"/>
      <c r="G709" s="167"/>
      <c r="H709" s="167"/>
      <c r="I709" s="167"/>
      <c r="J709" s="168"/>
    </row>
    <row r="710" spans="1:10" s="501" customFormat="1" x14ac:dyDescent="0.2">
      <c r="A710" s="492"/>
      <c r="B710" s="167"/>
      <c r="C710" s="167"/>
      <c r="D710" s="167"/>
      <c r="E710" s="167"/>
      <c r="F710" s="167"/>
      <c r="G710" s="167"/>
      <c r="H710" s="167"/>
      <c r="I710" s="167"/>
      <c r="J710" s="168"/>
    </row>
    <row r="711" spans="1:10" s="501" customFormat="1" x14ac:dyDescent="0.2">
      <c r="A711" s="492"/>
      <c r="B711" s="167"/>
      <c r="C711" s="167"/>
      <c r="D711" s="167"/>
      <c r="E711" s="167"/>
      <c r="F711" s="167"/>
      <c r="G711" s="167"/>
      <c r="H711" s="167"/>
      <c r="I711" s="167"/>
      <c r="J711" s="168"/>
    </row>
    <row r="712" spans="1:10" s="501" customFormat="1" x14ac:dyDescent="0.2">
      <c r="A712" s="492"/>
      <c r="B712" s="167"/>
      <c r="C712" s="167"/>
      <c r="D712" s="167"/>
      <c r="E712" s="167"/>
      <c r="F712" s="167"/>
      <c r="G712" s="167"/>
      <c r="H712" s="167"/>
      <c r="I712" s="167"/>
      <c r="J712" s="168"/>
    </row>
    <row r="713" spans="1:10" s="501" customFormat="1" x14ac:dyDescent="0.2">
      <c r="A713" s="492"/>
      <c r="B713" s="167"/>
      <c r="C713" s="167"/>
      <c r="D713" s="167"/>
      <c r="E713" s="167"/>
      <c r="F713" s="167"/>
      <c r="G713" s="167"/>
      <c r="H713" s="167"/>
      <c r="I713" s="167"/>
      <c r="J713" s="168"/>
    </row>
    <row r="714" spans="1:10" s="501" customFormat="1" x14ac:dyDescent="0.2">
      <c r="A714" s="492"/>
      <c r="B714" s="167"/>
      <c r="C714" s="167"/>
      <c r="D714" s="167"/>
      <c r="E714" s="167"/>
      <c r="F714" s="167"/>
      <c r="G714" s="167"/>
      <c r="H714" s="167"/>
      <c r="I714" s="167"/>
      <c r="J714" s="168"/>
    </row>
    <row r="715" spans="1:10" s="501" customFormat="1" x14ac:dyDescent="0.2">
      <c r="A715" s="492"/>
      <c r="B715" s="167"/>
      <c r="C715" s="167"/>
      <c r="D715" s="167"/>
      <c r="E715" s="167"/>
      <c r="F715" s="167"/>
      <c r="G715" s="167"/>
      <c r="H715" s="167"/>
      <c r="I715" s="167"/>
      <c r="J715" s="168"/>
    </row>
    <row r="716" spans="1:10" s="501" customFormat="1" x14ac:dyDescent="0.2">
      <c r="A716" s="492"/>
      <c r="B716" s="167"/>
      <c r="C716" s="167"/>
      <c r="D716" s="167"/>
      <c r="E716" s="167"/>
      <c r="F716" s="167"/>
      <c r="G716" s="167"/>
      <c r="H716" s="167"/>
      <c r="I716" s="167"/>
      <c r="J716" s="168"/>
    </row>
    <row r="717" spans="1:10" s="501" customFormat="1" x14ac:dyDescent="0.2">
      <c r="A717" s="492"/>
      <c r="B717" s="167"/>
      <c r="C717" s="167"/>
      <c r="D717" s="167"/>
      <c r="E717" s="167"/>
      <c r="F717" s="167"/>
      <c r="G717" s="167"/>
      <c r="H717" s="167"/>
      <c r="I717" s="167"/>
      <c r="J717" s="168"/>
    </row>
    <row r="718" spans="1:10" s="501" customFormat="1" x14ac:dyDescent="0.2">
      <c r="A718" s="492"/>
      <c r="B718" s="167"/>
      <c r="C718" s="167"/>
      <c r="D718" s="167"/>
      <c r="E718" s="167"/>
      <c r="F718" s="167"/>
      <c r="G718" s="167"/>
      <c r="H718" s="167"/>
      <c r="I718" s="167"/>
      <c r="J718" s="168"/>
    </row>
    <row r="719" spans="1:10" s="501" customFormat="1" x14ac:dyDescent="0.2">
      <c r="A719" s="492"/>
      <c r="B719" s="167"/>
      <c r="C719" s="167"/>
      <c r="D719" s="167"/>
      <c r="E719" s="167"/>
      <c r="F719" s="167"/>
      <c r="G719" s="167"/>
      <c r="H719" s="167"/>
      <c r="I719" s="167"/>
      <c r="J719" s="168"/>
    </row>
    <row r="720" spans="1:10" s="501" customFormat="1" x14ac:dyDescent="0.2">
      <c r="A720" s="492"/>
      <c r="B720" s="167"/>
      <c r="C720" s="167"/>
      <c r="D720" s="167"/>
      <c r="E720" s="167"/>
      <c r="F720" s="167"/>
      <c r="G720" s="167"/>
      <c r="H720" s="167"/>
      <c r="I720" s="167"/>
      <c r="J720" s="168"/>
    </row>
    <row r="721" spans="1:10" s="501" customFormat="1" x14ac:dyDescent="0.2">
      <c r="A721" s="492"/>
      <c r="B721" s="167"/>
      <c r="C721" s="167"/>
      <c r="D721" s="167"/>
      <c r="E721" s="167"/>
      <c r="F721" s="167"/>
      <c r="G721" s="167"/>
      <c r="H721" s="167"/>
      <c r="I721" s="167"/>
      <c r="J721" s="168"/>
    </row>
    <row r="722" spans="1:10" s="501" customFormat="1" x14ac:dyDescent="0.2">
      <c r="A722" s="492"/>
      <c r="B722" s="167"/>
      <c r="C722" s="167"/>
      <c r="D722" s="167"/>
      <c r="E722" s="167"/>
      <c r="F722" s="167"/>
      <c r="G722" s="167"/>
      <c r="H722" s="167"/>
      <c r="I722" s="167"/>
      <c r="J722" s="168"/>
    </row>
    <row r="723" spans="1:10" s="501" customFormat="1" x14ac:dyDescent="0.2">
      <c r="A723" s="492"/>
      <c r="B723" s="167"/>
      <c r="C723" s="167"/>
      <c r="D723" s="167"/>
      <c r="E723" s="167"/>
      <c r="F723" s="167"/>
      <c r="G723" s="167"/>
      <c r="H723" s="167"/>
      <c r="I723" s="167"/>
      <c r="J723" s="168"/>
    </row>
    <row r="724" spans="1:10" s="501" customFormat="1" x14ac:dyDescent="0.2">
      <c r="A724" s="492"/>
      <c r="B724" s="167"/>
      <c r="C724" s="167"/>
      <c r="D724" s="167"/>
      <c r="E724" s="167"/>
      <c r="F724" s="167"/>
      <c r="G724" s="167"/>
      <c r="H724" s="167"/>
      <c r="I724" s="167"/>
      <c r="J724" s="168"/>
    </row>
    <row r="725" spans="1:10" s="501" customFormat="1" x14ac:dyDescent="0.2">
      <c r="A725" s="492"/>
      <c r="B725" s="167"/>
      <c r="C725" s="167"/>
      <c r="D725" s="167"/>
      <c r="E725" s="167"/>
      <c r="F725" s="167"/>
      <c r="G725" s="167"/>
      <c r="H725" s="167"/>
      <c r="I725" s="167"/>
      <c r="J725" s="168"/>
    </row>
    <row r="726" spans="1:10" s="501" customFormat="1" x14ac:dyDescent="0.2">
      <c r="A726" s="492"/>
      <c r="B726" s="167"/>
      <c r="C726" s="167"/>
      <c r="D726" s="167"/>
      <c r="E726" s="167"/>
      <c r="F726" s="167"/>
      <c r="G726" s="167"/>
      <c r="H726" s="167"/>
      <c r="I726" s="167"/>
      <c r="J726" s="168"/>
    </row>
    <row r="727" spans="1:10" s="501" customFormat="1" x14ac:dyDescent="0.2">
      <c r="A727" s="492"/>
      <c r="B727" s="167"/>
      <c r="C727" s="167"/>
      <c r="D727" s="167"/>
      <c r="E727" s="167"/>
      <c r="F727" s="167"/>
      <c r="G727" s="167"/>
      <c r="H727" s="167"/>
      <c r="I727" s="167"/>
      <c r="J727" s="168"/>
    </row>
    <row r="728" spans="1:10" s="501" customFormat="1" x14ac:dyDescent="0.2">
      <c r="A728" s="492"/>
      <c r="B728" s="167"/>
      <c r="C728" s="167"/>
      <c r="D728" s="167"/>
      <c r="E728" s="167"/>
      <c r="F728" s="167"/>
      <c r="G728" s="167"/>
      <c r="H728" s="167"/>
      <c r="I728" s="167"/>
      <c r="J728" s="168"/>
    </row>
    <row r="729" spans="1:10" s="501" customFormat="1" x14ac:dyDescent="0.2">
      <c r="A729" s="492"/>
      <c r="B729" s="167"/>
      <c r="C729" s="167"/>
      <c r="D729" s="167"/>
      <c r="E729" s="167"/>
      <c r="F729" s="167"/>
      <c r="G729" s="167"/>
      <c r="H729" s="167"/>
      <c r="I729" s="167"/>
      <c r="J729" s="168"/>
    </row>
    <row r="730" spans="1:10" s="501" customFormat="1" x14ac:dyDescent="0.2">
      <c r="A730" s="492"/>
      <c r="B730" s="167"/>
      <c r="C730" s="167"/>
      <c r="D730" s="167"/>
      <c r="E730" s="167"/>
      <c r="F730" s="167"/>
      <c r="G730" s="167"/>
      <c r="H730" s="167"/>
      <c r="I730" s="167"/>
      <c r="J730" s="168"/>
    </row>
    <row r="731" spans="1:10" s="501" customFormat="1" x14ac:dyDescent="0.2">
      <c r="A731" s="492"/>
      <c r="B731" s="167"/>
      <c r="C731" s="167"/>
      <c r="D731" s="167"/>
      <c r="E731" s="167"/>
      <c r="F731" s="167"/>
      <c r="G731" s="167"/>
      <c r="H731" s="167"/>
      <c r="I731" s="167"/>
      <c r="J731" s="168"/>
    </row>
    <row r="732" spans="1:10" s="501" customFormat="1" x14ac:dyDescent="0.2">
      <c r="A732" s="492"/>
      <c r="B732" s="167"/>
      <c r="C732" s="167"/>
      <c r="D732" s="167"/>
      <c r="E732" s="167"/>
      <c r="F732" s="167"/>
      <c r="G732" s="167"/>
      <c r="H732" s="167"/>
      <c r="I732" s="167"/>
      <c r="J732" s="168"/>
    </row>
    <row r="733" spans="1:10" s="501" customFormat="1" x14ac:dyDescent="0.2">
      <c r="A733" s="492"/>
      <c r="B733" s="167"/>
      <c r="C733" s="167"/>
      <c r="D733" s="167"/>
      <c r="E733" s="167"/>
      <c r="F733" s="167"/>
      <c r="G733" s="167"/>
      <c r="H733" s="167"/>
      <c r="I733" s="167"/>
      <c r="J733" s="168"/>
    </row>
    <row r="734" spans="1:10" s="501" customFormat="1" x14ac:dyDescent="0.2">
      <c r="A734" s="492"/>
      <c r="B734" s="167"/>
      <c r="C734" s="167"/>
      <c r="D734" s="167"/>
      <c r="E734" s="167"/>
      <c r="F734" s="167"/>
      <c r="G734" s="167"/>
      <c r="H734" s="167"/>
      <c r="I734" s="167"/>
      <c r="J734" s="168"/>
    </row>
    <row r="735" spans="1:10" s="501" customFormat="1" x14ac:dyDescent="0.2">
      <c r="A735" s="492"/>
      <c r="B735" s="167"/>
      <c r="C735" s="167"/>
      <c r="D735" s="167"/>
      <c r="E735" s="167"/>
      <c r="F735" s="167"/>
      <c r="G735" s="167"/>
      <c r="H735" s="167"/>
      <c r="I735" s="167"/>
      <c r="J735" s="168"/>
    </row>
    <row r="736" spans="1:10" s="501" customFormat="1" x14ac:dyDescent="0.2">
      <c r="A736" s="492"/>
      <c r="B736" s="167"/>
      <c r="C736" s="167"/>
      <c r="D736" s="167"/>
      <c r="E736" s="167"/>
      <c r="F736" s="167"/>
      <c r="G736" s="167"/>
      <c r="H736" s="167"/>
      <c r="I736" s="167"/>
      <c r="J736" s="168"/>
    </row>
    <row r="737" spans="1:10" s="501" customFormat="1" x14ac:dyDescent="0.2">
      <c r="A737" s="492"/>
      <c r="B737" s="167"/>
      <c r="C737" s="167"/>
      <c r="D737" s="167"/>
      <c r="E737" s="167"/>
      <c r="F737" s="167"/>
      <c r="G737" s="167"/>
      <c r="H737" s="167"/>
      <c r="I737" s="167"/>
      <c r="J737" s="168"/>
    </row>
    <row r="738" spans="1:10" s="501" customFormat="1" x14ac:dyDescent="0.2">
      <c r="A738" s="492"/>
      <c r="B738" s="167"/>
      <c r="C738" s="167"/>
      <c r="D738" s="167"/>
      <c r="E738" s="167"/>
      <c r="F738" s="167"/>
      <c r="G738" s="167"/>
      <c r="H738" s="167"/>
      <c r="I738" s="167"/>
      <c r="J738" s="168"/>
    </row>
    <row r="739" spans="1:10" s="501" customFormat="1" x14ac:dyDescent="0.2">
      <c r="A739" s="492"/>
      <c r="B739" s="167"/>
      <c r="C739" s="167"/>
      <c r="D739" s="167"/>
      <c r="E739" s="167"/>
      <c r="F739" s="167"/>
      <c r="G739" s="167"/>
      <c r="H739" s="167"/>
      <c r="I739" s="167"/>
      <c r="J739" s="168"/>
    </row>
    <row r="740" spans="1:10" s="501" customFormat="1" x14ac:dyDescent="0.2">
      <c r="A740" s="492"/>
      <c r="B740" s="167"/>
      <c r="C740" s="167"/>
      <c r="D740" s="167"/>
      <c r="E740" s="167"/>
      <c r="F740" s="167"/>
      <c r="G740" s="167"/>
      <c r="H740" s="167"/>
      <c r="I740" s="167"/>
      <c r="J740" s="168"/>
    </row>
    <row r="741" spans="1:10" s="501" customFormat="1" x14ac:dyDescent="0.2">
      <c r="A741" s="492"/>
      <c r="B741" s="167"/>
      <c r="C741" s="167"/>
      <c r="D741" s="167"/>
      <c r="E741" s="167"/>
      <c r="F741" s="167"/>
      <c r="G741" s="167"/>
      <c r="H741" s="167"/>
      <c r="I741" s="167"/>
      <c r="J741" s="168"/>
    </row>
    <row r="742" spans="1:10" s="501" customFormat="1" x14ac:dyDescent="0.2">
      <c r="A742" s="492"/>
      <c r="B742" s="167"/>
      <c r="C742" s="167"/>
      <c r="D742" s="167"/>
      <c r="E742" s="167"/>
      <c r="F742" s="167"/>
      <c r="G742" s="167"/>
      <c r="H742" s="167"/>
      <c r="I742" s="167"/>
      <c r="J742" s="168"/>
    </row>
    <row r="743" spans="1:10" s="501" customFormat="1" x14ac:dyDescent="0.2">
      <c r="A743" s="492"/>
      <c r="B743" s="167"/>
      <c r="C743" s="167"/>
      <c r="D743" s="167"/>
      <c r="E743" s="167"/>
      <c r="F743" s="167"/>
      <c r="G743" s="167"/>
      <c r="H743" s="167"/>
      <c r="I743" s="167"/>
      <c r="J743" s="168"/>
    </row>
    <row r="744" spans="1:10" s="501" customFormat="1" x14ac:dyDescent="0.2">
      <c r="A744" s="492"/>
      <c r="B744" s="167"/>
      <c r="C744" s="167"/>
      <c r="D744" s="167"/>
      <c r="E744" s="167"/>
      <c r="F744" s="167"/>
      <c r="G744" s="167"/>
      <c r="H744" s="167"/>
      <c r="I744" s="167"/>
      <c r="J744" s="168"/>
    </row>
    <row r="745" spans="1:10" s="501" customFormat="1" x14ac:dyDescent="0.2">
      <c r="A745" s="492"/>
      <c r="B745" s="167"/>
      <c r="C745" s="167"/>
      <c r="D745" s="167"/>
      <c r="E745" s="167"/>
      <c r="F745" s="167"/>
      <c r="G745" s="167"/>
      <c r="H745" s="167"/>
      <c r="I745" s="167"/>
      <c r="J745" s="168"/>
    </row>
    <row r="746" spans="1:10" s="501" customFormat="1" x14ac:dyDescent="0.2">
      <c r="A746" s="492"/>
      <c r="B746" s="167"/>
      <c r="C746" s="167"/>
      <c r="D746" s="167"/>
      <c r="E746" s="167"/>
      <c r="F746" s="167"/>
      <c r="G746" s="167"/>
      <c r="H746" s="167"/>
      <c r="I746" s="167"/>
      <c r="J746" s="168"/>
    </row>
    <row r="747" spans="1:10" s="501" customFormat="1" x14ac:dyDescent="0.2">
      <c r="A747" s="492"/>
      <c r="B747" s="167"/>
      <c r="C747" s="167"/>
      <c r="D747" s="167"/>
      <c r="E747" s="167"/>
      <c r="F747" s="167"/>
      <c r="G747" s="167"/>
      <c r="H747" s="167"/>
      <c r="I747" s="167"/>
      <c r="J747" s="168"/>
    </row>
    <row r="748" spans="1:10" s="501" customFormat="1" x14ac:dyDescent="0.2">
      <c r="A748" s="492"/>
      <c r="B748" s="167"/>
      <c r="C748" s="167"/>
      <c r="D748" s="167"/>
      <c r="E748" s="167"/>
      <c r="F748" s="167"/>
      <c r="G748" s="167"/>
      <c r="H748" s="167"/>
      <c r="I748" s="167"/>
      <c r="J748" s="168"/>
    </row>
    <row r="749" spans="1:10" s="501" customFormat="1" x14ac:dyDescent="0.2">
      <c r="A749" s="492"/>
      <c r="B749" s="167"/>
      <c r="C749" s="167"/>
      <c r="D749" s="167"/>
      <c r="E749" s="167"/>
      <c r="F749" s="167"/>
      <c r="G749" s="167"/>
      <c r="H749" s="167"/>
      <c r="I749" s="167"/>
      <c r="J749" s="168"/>
    </row>
    <row r="750" spans="1:10" s="501" customFormat="1" x14ac:dyDescent="0.2">
      <c r="A750" s="492"/>
      <c r="B750" s="167"/>
      <c r="C750" s="167"/>
      <c r="D750" s="167"/>
      <c r="E750" s="167"/>
      <c r="F750" s="167"/>
      <c r="G750" s="167"/>
      <c r="H750" s="167"/>
      <c r="I750" s="167"/>
      <c r="J750" s="168"/>
    </row>
    <row r="751" spans="1:10" s="501" customFormat="1" x14ac:dyDescent="0.2">
      <c r="A751" s="492"/>
      <c r="B751" s="167"/>
      <c r="C751" s="167"/>
      <c r="D751" s="167"/>
      <c r="E751" s="167"/>
      <c r="F751" s="167"/>
      <c r="G751" s="167"/>
      <c r="H751" s="167"/>
      <c r="I751" s="167"/>
      <c r="J751" s="168"/>
    </row>
    <row r="752" spans="1:10" s="501" customFormat="1" x14ac:dyDescent="0.2">
      <c r="A752" s="492"/>
      <c r="B752" s="167"/>
      <c r="C752" s="167"/>
      <c r="D752" s="167"/>
      <c r="E752" s="167"/>
      <c r="F752" s="167"/>
      <c r="G752" s="167"/>
      <c r="H752" s="167"/>
      <c r="I752" s="167"/>
      <c r="J752" s="168"/>
    </row>
    <row r="753" spans="1:10" s="501" customFormat="1" x14ac:dyDescent="0.2">
      <c r="A753" s="492"/>
      <c r="B753" s="167"/>
      <c r="C753" s="167"/>
      <c r="D753" s="167"/>
      <c r="E753" s="167"/>
      <c r="F753" s="167"/>
      <c r="G753" s="167"/>
      <c r="H753" s="167"/>
      <c r="I753" s="167"/>
      <c r="J753" s="168"/>
    </row>
    <row r="754" spans="1:10" s="501" customFormat="1" x14ac:dyDescent="0.2">
      <c r="A754" s="492"/>
      <c r="B754" s="167"/>
      <c r="C754" s="167"/>
      <c r="D754" s="167"/>
      <c r="E754" s="167"/>
      <c r="F754" s="167"/>
      <c r="G754" s="167"/>
      <c r="H754" s="167"/>
      <c r="I754" s="167"/>
      <c r="J754" s="168"/>
    </row>
    <row r="755" spans="1:10" s="501" customFormat="1" x14ac:dyDescent="0.2">
      <c r="A755" s="492"/>
      <c r="B755" s="167"/>
      <c r="C755" s="167"/>
      <c r="D755" s="167"/>
      <c r="E755" s="167"/>
      <c r="F755" s="167"/>
      <c r="G755" s="167"/>
      <c r="H755" s="167"/>
      <c r="I755" s="167"/>
      <c r="J755" s="168"/>
    </row>
    <row r="756" spans="1:10" s="501" customFormat="1" x14ac:dyDescent="0.2">
      <c r="A756" s="492"/>
      <c r="B756" s="167"/>
      <c r="C756" s="167"/>
      <c r="D756" s="167"/>
      <c r="E756" s="167"/>
      <c r="F756" s="167"/>
      <c r="G756" s="167"/>
      <c r="H756" s="167"/>
      <c r="I756" s="167"/>
      <c r="J756" s="168"/>
    </row>
    <row r="757" spans="1:10" s="501" customFormat="1" x14ac:dyDescent="0.2">
      <c r="A757" s="492"/>
      <c r="B757" s="167"/>
      <c r="C757" s="167"/>
      <c r="D757" s="167"/>
      <c r="E757" s="167"/>
      <c r="F757" s="167"/>
      <c r="G757" s="167"/>
      <c r="H757" s="167"/>
      <c r="I757" s="167"/>
      <c r="J757" s="168"/>
    </row>
    <row r="758" spans="1:10" s="501" customFormat="1" x14ac:dyDescent="0.2">
      <c r="A758" s="492"/>
      <c r="B758" s="167"/>
      <c r="C758" s="167"/>
      <c r="D758" s="167"/>
      <c r="E758" s="167"/>
      <c r="F758" s="167"/>
      <c r="G758" s="167"/>
      <c r="H758" s="167"/>
      <c r="I758" s="167"/>
      <c r="J758" s="168"/>
    </row>
    <row r="759" spans="1:10" s="501" customFormat="1" x14ac:dyDescent="0.2">
      <c r="A759" s="492"/>
      <c r="B759" s="167"/>
      <c r="C759" s="167"/>
      <c r="D759" s="167"/>
      <c r="E759" s="167"/>
      <c r="F759" s="167"/>
      <c r="G759" s="167"/>
      <c r="H759" s="167"/>
      <c r="I759" s="167"/>
      <c r="J759" s="168"/>
    </row>
    <row r="760" spans="1:10" s="501" customFormat="1" x14ac:dyDescent="0.2">
      <c r="A760" s="492"/>
      <c r="B760" s="167"/>
      <c r="C760" s="167"/>
      <c r="D760" s="167"/>
      <c r="E760" s="167"/>
      <c r="F760" s="167"/>
      <c r="G760" s="167"/>
      <c r="H760" s="167"/>
      <c r="I760" s="167"/>
      <c r="J760" s="168"/>
    </row>
    <row r="761" spans="1:10" s="501" customFormat="1" x14ac:dyDescent="0.2">
      <c r="A761" s="492"/>
      <c r="B761" s="167"/>
      <c r="C761" s="167"/>
      <c r="D761" s="167"/>
      <c r="E761" s="167"/>
      <c r="F761" s="167"/>
      <c r="G761" s="167"/>
      <c r="H761" s="167"/>
      <c r="I761" s="167"/>
      <c r="J761" s="168"/>
    </row>
    <row r="762" spans="1:10" s="501" customFormat="1" x14ac:dyDescent="0.2">
      <c r="A762" s="492"/>
      <c r="B762" s="167"/>
      <c r="C762" s="167"/>
      <c r="D762" s="167"/>
      <c r="E762" s="167"/>
      <c r="F762" s="167"/>
      <c r="G762" s="167"/>
      <c r="H762" s="167"/>
      <c r="I762" s="167"/>
      <c r="J762" s="168"/>
    </row>
    <row r="763" spans="1:10" s="501" customFormat="1" x14ac:dyDescent="0.2">
      <c r="A763" s="492"/>
      <c r="B763" s="167"/>
      <c r="C763" s="167"/>
      <c r="D763" s="167"/>
      <c r="E763" s="167"/>
      <c r="F763" s="167"/>
      <c r="G763" s="167"/>
      <c r="H763" s="167"/>
      <c r="I763" s="167"/>
      <c r="J763" s="168"/>
    </row>
    <row r="764" spans="1:10" s="501" customFormat="1" x14ac:dyDescent="0.2">
      <c r="A764" s="492"/>
      <c r="B764" s="167"/>
      <c r="C764" s="167"/>
      <c r="D764" s="167"/>
      <c r="E764" s="167"/>
      <c r="F764" s="167"/>
      <c r="G764" s="167"/>
      <c r="H764" s="167"/>
      <c r="I764" s="167"/>
      <c r="J764" s="168"/>
    </row>
    <row r="765" spans="1:10" s="501" customFormat="1" x14ac:dyDescent="0.2">
      <c r="A765" s="492"/>
      <c r="B765" s="167"/>
      <c r="C765" s="167"/>
      <c r="D765" s="167"/>
      <c r="E765" s="167"/>
      <c r="F765" s="167"/>
      <c r="G765" s="167"/>
      <c r="H765" s="167"/>
      <c r="I765" s="167"/>
      <c r="J765" s="168"/>
    </row>
    <row r="766" spans="1:10" s="501" customFormat="1" x14ac:dyDescent="0.2">
      <c r="A766" s="492"/>
      <c r="B766" s="167"/>
      <c r="C766" s="167"/>
      <c r="D766" s="167"/>
      <c r="E766" s="167"/>
      <c r="F766" s="167"/>
      <c r="G766" s="167"/>
      <c r="H766" s="167"/>
      <c r="I766" s="167"/>
      <c r="J766" s="168"/>
    </row>
    <row r="767" spans="1:10" s="501" customFormat="1" x14ac:dyDescent="0.2">
      <c r="A767" s="492"/>
      <c r="B767" s="167"/>
      <c r="C767" s="167"/>
      <c r="D767" s="167"/>
      <c r="E767" s="167"/>
      <c r="F767" s="167"/>
      <c r="G767" s="167"/>
      <c r="H767" s="167"/>
      <c r="I767" s="167"/>
      <c r="J767" s="168"/>
    </row>
    <row r="768" spans="1:10" s="501" customFormat="1" x14ac:dyDescent="0.2">
      <c r="A768" s="492"/>
      <c r="B768" s="167"/>
      <c r="C768" s="167"/>
      <c r="D768" s="167"/>
      <c r="E768" s="167"/>
      <c r="F768" s="167"/>
      <c r="G768" s="167"/>
      <c r="H768" s="167"/>
      <c r="I768" s="167"/>
      <c r="J768" s="168"/>
    </row>
    <row r="769" spans="1:10" s="501" customFormat="1" x14ac:dyDescent="0.2">
      <c r="A769" s="492"/>
      <c r="B769" s="167"/>
      <c r="C769" s="167"/>
      <c r="D769" s="167"/>
      <c r="E769" s="167"/>
      <c r="F769" s="167"/>
      <c r="G769" s="167"/>
      <c r="H769" s="167"/>
      <c r="I769" s="167"/>
      <c r="J769" s="168"/>
    </row>
    <row r="770" spans="1:10" s="501" customFormat="1" x14ac:dyDescent="0.2">
      <c r="A770" s="492"/>
      <c r="B770" s="167"/>
      <c r="C770" s="167"/>
      <c r="D770" s="167"/>
      <c r="E770" s="167"/>
      <c r="F770" s="167"/>
      <c r="G770" s="167"/>
      <c r="H770" s="167"/>
      <c r="I770" s="167"/>
      <c r="J770" s="168"/>
    </row>
    <row r="771" spans="1:10" s="501" customFormat="1" x14ac:dyDescent="0.2">
      <c r="A771" s="492"/>
      <c r="B771" s="167"/>
      <c r="C771" s="167"/>
      <c r="D771" s="167"/>
      <c r="E771" s="167"/>
      <c r="F771" s="167"/>
      <c r="G771" s="167"/>
      <c r="H771" s="167"/>
      <c r="I771" s="167"/>
      <c r="J771" s="168"/>
    </row>
    <row r="772" spans="1:10" s="501" customFormat="1" x14ac:dyDescent="0.2">
      <c r="A772" s="492"/>
      <c r="B772" s="167"/>
      <c r="C772" s="167"/>
      <c r="D772" s="167"/>
      <c r="E772" s="167"/>
      <c r="F772" s="167"/>
      <c r="G772" s="167"/>
      <c r="H772" s="167"/>
      <c r="I772" s="167"/>
      <c r="J772" s="168"/>
    </row>
    <row r="773" spans="1:10" s="501" customFormat="1" x14ac:dyDescent="0.2">
      <c r="A773" s="492"/>
      <c r="B773" s="167"/>
      <c r="C773" s="167"/>
      <c r="D773" s="167"/>
      <c r="E773" s="167"/>
      <c r="F773" s="167"/>
      <c r="G773" s="167"/>
      <c r="H773" s="167"/>
      <c r="I773" s="167"/>
      <c r="J773" s="168"/>
    </row>
    <row r="774" spans="1:10" s="501" customFormat="1" x14ac:dyDescent="0.2">
      <c r="A774" s="492"/>
      <c r="B774" s="167"/>
      <c r="C774" s="167"/>
      <c r="D774" s="167"/>
      <c r="E774" s="167"/>
      <c r="F774" s="167"/>
      <c r="G774" s="167"/>
      <c r="H774" s="167"/>
      <c r="I774" s="167"/>
      <c r="J774" s="168"/>
    </row>
    <row r="775" spans="1:10" s="501" customFormat="1" x14ac:dyDescent="0.2">
      <c r="A775" s="492"/>
      <c r="B775" s="167"/>
      <c r="C775" s="167"/>
      <c r="D775" s="167"/>
      <c r="E775" s="167"/>
      <c r="F775" s="167"/>
      <c r="G775" s="167"/>
      <c r="H775" s="167"/>
      <c r="I775" s="167"/>
      <c r="J775" s="168"/>
    </row>
    <row r="776" spans="1:10" s="501" customFormat="1" x14ac:dyDescent="0.2">
      <c r="A776" s="492"/>
      <c r="B776" s="167"/>
      <c r="C776" s="167"/>
      <c r="D776" s="167"/>
      <c r="E776" s="167"/>
      <c r="F776" s="167"/>
      <c r="G776" s="167"/>
      <c r="H776" s="167"/>
      <c r="I776" s="167"/>
      <c r="J776" s="168"/>
    </row>
    <row r="777" spans="1:10" s="501" customFormat="1" x14ac:dyDescent="0.2">
      <c r="A777" s="492"/>
      <c r="B777" s="167"/>
      <c r="C777" s="167"/>
      <c r="D777" s="167"/>
      <c r="E777" s="167"/>
      <c r="F777" s="167"/>
      <c r="G777" s="167"/>
      <c r="H777" s="167"/>
      <c r="I777" s="167"/>
      <c r="J777" s="168"/>
    </row>
    <row r="778" spans="1:10" s="501" customFormat="1" x14ac:dyDescent="0.2">
      <c r="A778" s="492"/>
      <c r="B778" s="167"/>
      <c r="C778" s="167"/>
      <c r="D778" s="167"/>
      <c r="E778" s="167"/>
      <c r="F778" s="167"/>
      <c r="G778" s="167"/>
      <c r="H778" s="167"/>
      <c r="I778" s="167"/>
      <c r="J778" s="168"/>
    </row>
    <row r="779" spans="1:10" s="501" customFormat="1" x14ac:dyDescent="0.2">
      <c r="A779" s="492"/>
      <c r="B779" s="167"/>
      <c r="C779" s="167"/>
      <c r="D779" s="167"/>
      <c r="E779" s="167"/>
      <c r="F779" s="167"/>
      <c r="G779" s="167"/>
      <c r="H779" s="167"/>
      <c r="I779" s="167"/>
      <c r="J779" s="168"/>
    </row>
    <row r="780" spans="1:10" s="501" customFormat="1" x14ac:dyDescent="0.2">
      <c r="A780" s="492"/>
      <c r="B780" s="167"/>
      <c r="C780" s="167"/>
      <c r="D780" s="167"/>
      <c r="E780" s="167"/>
      <c r="F780" s="167"/>
      <c r="G780" s="167"/>
      <c r="H780" s="167"/>
      <c r="I780" s="167"/>
      <c r="J780" s="168"/>
    </row>
    <row r="781" spans="1:10" s="501" customFormat="1" x14ac:dyDescent="0.2">
      <c r="A781" s="492"/>
      <c r="B781" s="167"/>
      <c r="C781" s="167"/>
      <c r="D781" s="167"/>
      <c r="E781" s="167"/>
      <c r="F781" s="167"/>
      <c r="G781" s="167"/>
      <c r="H781" s="167"/>
      <c r="I781" s="167"/>
      <c r="J781" s="168"/>
    </row>
    <row r="782" spans="1:10" s="501" customFormat="1" x14ac:dyDescent="0.2">
      <c r="A782" s="492"/>
      <c r="B782" s="167"/>
      <c r="C782" s="167"/>
      <c r="D782" s="167"/>
      <c r="E782" s="167"/>
      <c r="F782" s="167"/>
      <c r="G782" s="167"/>
      <c r="H782" s="167"/>
      <c r="I782" s="167"/>
      <c r="J782" s="168"/>
    </row>
    <row r="783" spans="1:10" s="501" customFormat="1" x14ac:dyDescent="0.2">
      <c r="A783" s="492"/>
      <c r="B783" s="167"/>
      <c r="C783" s="167"/>
      <c r="D783" s="167"/>
      <c r="E783" s="167"/>
      <c r="F783" s="167"/>
      <c r="G783" s="167"/>
      <c r="H783" s="167"/>
      <c r="I783" s="167"/>
      <c r="J783" s="168"/>
    </row>
    <row r="784" spans="1:10" s="501" customFormat="1" x14ac:dyDescent="0.2">
      <c r="A784" s="492"/>
      <c r="B784" s="167"/>
      <c r="C784" s="167"/>
      <c r="D784" s="167"/>
      <c r="E784" s="167"/>
      <c r="F784" s="167"/>
      <c r="G784" s="167"/>
      <c r="H784" s="167"/>
      <c r="I784" s="167"/>
      <c r="J784" s="168"/>
    </row>
    <row r="785" spans="1:10" s="501" customFormat="1" x14ac:dyDescent="0.2">
      <c r="A785" s="492"/>
      <c r="B785" s="167"/>
      <c r="C785" s="167"/>
      <c r="D785" s="167"/>
      <c r="E785" s="167"/>
      <c r="F785" s="167"/>
      <c r="G785" s="167"/>
      <c r="H785" s="167"/>
      <c r="I785" s="167"/>
      <c r="J785" s="168"/>
    </row>
    <row r="786" spans="1:10" s="501" customFormat="1" x14ac:dyDescent="0.2">
      <c r="A786" s="492"/>
      <c r="B786" s="167"/>
      <c r="C786" s="167"/>
      <c r="D786" s="167"/>
      <c r="E786" s="167"/>
      <c r="F786" s="167"/>
      <c r="G786" s="167"/>
      <c r="H786" s="167"/>
      <c r="I786" s="167"/>
      <c r="J786" s="168"/>
    </row>
    <row r="787" spans="1:10" s="501" customFormat="1" x14ac:dyDescent="0.2">
      <c r="A787" s="492"/>
      <c r="B787" s="167"/>
      <c r="C787" s="167"/>
      <c r="D787" s="167"/>
      <c r="E787" s="167"/>
      <c r="F787" s="167"/>
      <c r="G787" s="167"/>
      <c r="H787" s="167"/>
      <c r="I787" s="167"/>
      <c r="J787" s="168"/>
    </row>
    <row r="788" spans="1:10" s="501" customFormat="1" x14ac:dyDescent="0.2">
      <c r="A788" s="492"/>
      <c r="B788" s="167"/>
      <c r="C788" s="167"/>
      <c r="D788" s="167"/>
      <c r="E788" s="167"/>
      <c r="F788" s="167"/>
      <c r="G788" s="167"/>
      <c r="H788" s="167"/>
      <c r="I788" s="167"/>
      <c r="J788" s="168"/>
    </row>
    <row r="789" spans="1:10" s="501" customFormat="1" x14ac:dyDescent="0.2">
      <c r="A789" s="492"/>
      <c r="B789" s="167"/>
      <c r="C789" s="167"/>
      <c r="D789" s="167"/>
      <c r="E789" s="167"/>
      <c r="F789" s="167"/>
      <c r="G789" s="167"/>
      <c r="H789" s="167"/>
      <c r="I789" s="167"/>
      <c r="J789" s="168"/>
    </row>
    <row r="790" spans="1:10" s="501" customFormat="1" x14ac:dyDescent="0.2">
      <c r="A790" s="492"/>
      <c r="B790" s="167"/>
      <c r="C790" s="167"/>
      <c r="D790" s="167"/>
      <c r="E790" s="167"/>
      <c r="F790" s="167"/>
      <c r="G790" s="167"/>
      <c r="H790" s="167"/>
      <c r="I790" s="167"/>
      <c r="J790" s="168"/>
    </row>
    <row r="791" spans="1:10" s="501" customFormat="1" x14ac:dyDescent="0.2">
      <c r="A791" s="492"/>
      <c r="B791" s="167"/>
      <c r="C791" s="167"/>
      <c r="D791" s="167"/>
      <c r="E791" s="167"/>
      <c r="F791" s="167"/>
      <c r="G791" s="167"/>
      <c r="H791" s="167"/>
      <c r="I791" s="167"/>
      <c r="J791" s="168"/>
    </row>
    <row r="792" spans="1:10" s="501" customFormat="1" x14ac:dyDescent="0.2">
      <c r="A792" s="492"/>
      <c r="B792" s="167"/>
      <c r="C792" s="167"/>
      <c r="D792" s="167"/>
      <c r="E792" s="167"/>
      <c r="F792" s="167"/>
      <c r="G792" s="167"/>
      <c r="H792" s="167"/>
      <c r="I792" s="167"/>
      <c r="J792" s="168"/>
    </row>
    <row r="793" spans="1:10" s="501" customFormat="1" x14ac:dyDescent="0.2">
      <c r="A793" s="492"/>
      <c r="B793" s="167"/>
      <c r="C793" s="167"/>
      <c r="D793" s="167"/>
      <c r="E793" s="167"/>
      <c r="F793" s="167"/>
      <c r="G793" s="167"/>
      <c r="H793" s="167"/>
      <c r="I793" s="167"/>
      <c r="J793" s="168"/>
    </row>
    <row r="794" spans="1:10" s="501" customFormat="1" x14ac:dyDescent="0.2">
      <c r="A794" s="492"/>
      <c r="B794" s="167"/>
      <c r="C794" s="167"/>
      <c r="D794" s="167"/>
      <c r="E794" s="167"/>
      <c r="F794" s="167"/>
      <c r="G794" s="167"/>
      <c r="H794" s="167"/>
      <c r="I794" s="167"/>
      <c r="J794" s="168"/>
    </row>
    <row r="795" spans="1:10" s="501" customFormat="1" x14ac:dyDescent="0.2">
      <c r="A795" s="492"/>
      <c r="B795" s="167"/>
      <c r="C795" s="167"/>
      <c r="D795" s="167"/>
      <c r="E795" s="167"/>
      <c r="F795" s="167"/>
      <c r="G795" s="167"/>
      <c r="H795" s="167"/>
      <c r="I795" s="167"/>
      <c r="J795" s="168"/>
    </row>
    <row r="796" spans="1:10" s="501" customFormat="1" x14ac:dyDescent="0.2">
      <c r="A796" s="492"/>
      <c r="B796" s="167"/>
      <c r="C796" s="167"/>
      <c r="D796" s="167"/>
      <c r="E796" s="167"/>
      <c r="F796" s="167"/>
      <c r="G796" s="167"/>
      <c r="H796" s="167"/>
      <c r="I796" s="167"/>
      <c r="J796" s="168"/>
    </row>
    <row r="797" spans="1:10" s="501" customFormat="1" x14ac:dyDescent="0.2">
      <c r="A797" s="492"/>
      <c r="B797" s="167"/>
      <c r="C797" s="167"/>
      <c r="D797" s="167"/>
      <c r="E797" s="167"/>
      <c r="F797" s="167"/>
      <c r="G797" s="167"/>
      <c r="H797" s="167"/>
      <c r="I797" s="167"/>
      <c r="J797" s="168"/>
    </row>
    <row r="798" spans="1:10" s="501" customFormat="1" x14ac:dyDescent="0.2">
      <c r="A798" s="492"/>
      <c r="B798" s="167"/>
      <c r="C798" s="167"/>
      <c r="D798" s="167"/>
      <c r="E798" s="167"/>
      <c r="F798" s="167"/>
      <c r="G798" s="167"/>
      <c r="H798" s="167"/>
      <c r="I798" s="167"/>
      <c r="J798" s="168"/>
    </row>
    <row r="799" spans="1:10" s="501" customFormat="1" x14ac:dyDescent="0.2">
      <c r="A799" s="492"/>
      <c r="B799" s="167"/>
      <c r="C799" s="167"/>
      <c r="D799" s="167"/>
      <c r="E799" s="167"/>
      <c r="F799" s="167"/>
      <c r="G799" s="167"/>
      <c r="H799" s="167"/>
      <c r="I799" s="167"/>
      <c r="J799" s="168"/>
    </row>
    <row r="800" spans="1:10" s="501" customFormat="1" x14ac:dyDescent="0.2">
      <c r="A800" s="492"/>
      <c r="B800" s="167"/>
      <c r="C800" s="167"/>
      <c r="D800" s="167"/>
      <c r="E800" s="167"/>
      <c r="F800" s="167"/>
      <c r="G800" s="167"/>
      <c r="H800" s="167"/>
      <c r="I800" s="167"/>
      <c r="J800" s="168"/>
    </row>
    <row r="801" spans="1:10" s="501" customFormat="1" x14ac:dyDescent="0.2">
      <c r="A801" s="492"/>
      <c r="B801" s="167"/>
      <c r="C801" s="167"/>
      <c r="D801" s="167"/>
      <c r="E801" s="167"/>
      <c r="F801" s="167"/>
      <c r="G801" s="167"/>
      <c r="H801" s="167"/>
      <c r="I801" s="167"/>
      <c r="J801" s="168"/>
    </row>
    <row r="802" spans="1:10" s="501" customFormat="1" x14ac:dyDescent="0.2">
      <c r="A802" s="492"/>
      <c r="B802" s="167"/>
      <c r="C802" s="167"/>
      <c r="D802" s="167"/>
      <c r="E802" s="167"/>
      <c r="F802" s="167"/>
      <c r="G802" s="167"/>
      <c r="H802" s="167"/>
      <c r="I802" s="167"/>
      <c r="J802" s="168"/>
    </row>
    <row r="803" spans="1:10" s="501" customFormat="1" x14ac:dyDescent="0.2">
      <c r="A803" s="492"/>
      <c r="B803" s="167"/>
      <c r="C803" s="167"/>
      <c r="D803" s="167"/>
      <c r="E803" s="167"/>
      <c r="F803" s="167"/>
      <c r="G803" s="167"/>
      <c r="H803" s="167"/>
      <c r="I803" s="167"/>
      <c r="J803" s="168"/>
    </row>
    <row r="804" spans="1:10" s="501" customFormat="1" x14ac:dyDescent="0.2">
      <c r="A804" s="492"/>
      <c r="B804" s="167"/>
      <c r="C804" s="167"/>
      <c r="D804" s="167"/>
      <c r="E804" s="167"/>
      <c r="F804" s="167"/>
      <c r="G804" s="167"/>
      <c r="H804" s="167"/>
      <c r="I804" s="167"/>
      <c r="J804" s="168"/>
    </row>
    <row r="805" spans="1:10" s="501" customFormat="1" x14ac:dyDescent="0.2">
      <c r="A805" s="492"/>
      <c r="B805" s="167"/>
      <c r="C805" s="167"/>
      <c r="D805" s="167"/>
      <c r="E805" s="167"/>
      <c r="F805" s="167"/>
      <c r="G805" s="167"/>
      <c r="H805" s="167"/>
      <c r="I805" s="167"/>
      <c r="J805" s="168"/>
    </row>
    <row r="806" spans="1:10" s="501" customFormat="1" x14ac:dyDescent="0.2">
      <c r="A806" s="492"/>
      <c r="B806" s="167"/>
      <c r="C806" s="167"/>
      <c r="D806" s="167"/>
      <c r="E806" s="167"/>
      <c r="F806" s="167"/>
      <c r="G806" s="167"/>
      <c r="H806" s="167"/>
      <c r="I806" s="167"/>
      <c r="J806" s="168"/>
    </row>
    <row r="807" spans="1:10" s="501" customFormat="1" x14ac:dyDescent="0.2">
      <c r="A807" s="492"/>
      <c r="B807" s="167"/>
      <c r="C807" s="167"/>
      <c r="D807" s="167"/>
      <c r="E807" s="167"/>
      <c r="F807" s="167"/>
      <c r="G807" s="167"/>
      <c r="H807" s="167"/>
      <c r="I807" s="167"/>
      <c r="J807" s="168"/>
    </row>
    <row r="808" spans="1:10" s="501" customFormat="1" x14ac:dyDescent="0.2">
      <c r="A808" s="492"/>
      <c r="B808" s="167"/>
      <c r="C808" s="167"/>
      <c r="D808" s="167"/>
      <c r="E808" s="167"/>
      <c r="F808" s="167"/>
      <c r="G808" s="167"/>
      <c r="H808" s="167"/>
      <c r="I808" s="167"/>
      <c r="J808" s="168"/>
    </row>
    <row r="809" spans="1:10" s="501" customFormat="1" x14ac:dyDescent="0.2">
      <c r="A809" s="492"/>
      <c r="B809" s="167"/>
      <c r="C809" s="167"/>
      <c r="D809" s="167"/>
      <c r="E809" s="167"/>
      <c r="F809" s="167"/>
      <c r="G809" s="167"/>
      <c r="H809" s="167"/>
      <c r="I809" s="167"/>
      <c r="J809" s="168"/>
    </row>
    <row r="810" spans="1:10" s="501" customFormat="1" x14ac:dyDescent="0.2">
      <c r="A810" s="492"/>
      <c r="B810" s="167"/>
      <c r="C810" s="167"/>
      <c r="D810" s="167"/>
      <c r="E810" s="167"/>
      <c r="F810" s="167"/>
      <c r="G810" s="167"/>
      <c r="H810" s="167"/>
      <c r="I810" s="167"/>
      <c r="J810" s="168"/>
    </row>
    <row r="811" spans="1:10" s="501" customFormat="1" x14ac:dyDescent="0.2">
      <c r="A811" s="492"/>
      <c r="B811" s="167"/>
      <c r="C811" s="167"/>
      <c r="D811" s="167"/>
      <c r="E811" s="167"/>
      <c r="F811" s="167"/>
      <c r="G811" s="167"/>
      <c r="H811" s="167"/>
      <c r="I811" s="167"/>
      <c r="J811" s="168"/>
    </row>
    <row r="812" spans="1:10" s="501" customFormat="1" x14ac:dyDescent="0.2">
      <c r="A812" s="492"/>
      <c r="B812" s="167"/>
      <c r="C812" s="167"/>
      <c r="D812" s="167"/>
      <c r="E812" s="167"/>
      <c r="F812" s="167"/>
      <c r="G812" s="167"/>
      <c r="H812" s="167"/>
      <c r="I812" s="167"/>
      <c r="J812" s="168"/>
    </row>
    <row r="813" spans="1:10" s="501" customFormat="1" x14ac:dyDescent="0.2">
      <c r="A813" s="492"/>
      <c r="B813" s="167"/>
      <c r="C813" s="167"/>
      <c r="D813" s="167"/>
      <c r="E813" s="167"/>
      <c r="F813" s="167"/>
      <c r="G813" s="167"/>
      <c r="H813" s="167"/>
      <c r="I813" s="167"/>
      <c r="J813" s="168"/>
    </row>
    <row r="814" spans="1:10" s="501" customFormat="1" x14ac:dyDescent="0.2">
      <c r="A814" s="492"/>
      <c r="B814" s="167"/>
      <c r="C814" s="167"/>
      <c r="D814" s="167"/>
      <c r="E814" s="167"/>
      <c r="F814" s="167"/>
      <c r="G814" s="167"/>
      <c r="H814" s="167"/>
      <c r="I814" s="167"/>
      <c r="J814" s="168"/>
    </row>
    <row r="815" spans="1:10" s="501" customFormat="1" x14ac:dyDescent="0.2">
      <c r="A815" s="492"/>
      <c r="B815" s="167"/>
      <c r="C815" s="167"/>
      <c r="D815" s="167"/>
      <c r="E815" s="167"/>
      <c r="F815" s="167"/>
      <c r="G815" s="167"/>
      <c r="H815" s="167"/>
      <c r="I815" s="167"/>
      <c r="J815" s="168"/>
    </row>
    <row r="816" spans="1:10" s="501" customFormat="1" x14ac:dyDescent="0.2">
      <c r="A816" s="492"/>
      <c r="B816" s="167"/>
      <c r="C816" s="167"/>
      <c r="D816" s="167"/>
      <c r="E816" s="167"/>
      <c r="F816" s="167"/>
      <c r="G816" s="167"/>
      <c r="H816" s="167"/>
      <c r="I816" s="167"/>
      <c r="J816" s="168"/>
    </row>
    <row r="817" spans="1:10" s="501" customFormat="1" x14ac:dyDescent="0.2">
      <c r="A817" s="492"/>
      <c r="B817" s="167"/>
      <c r="C817" s="167"/>
      <c r="D817" s="167"/>
      <c r="E817" s="167"/>
      <c r="F817" s="167"/>
      <c r="G817" s="167"/>
      <c r="H817" s="167"/>
      <c r="I817" s="167"/>
      <c r="J817" s="168"/>
    </row>
    <row r="818" spans="1:10" s="501" customFormat="1" x14ac:dyDescent="0.2">
      <c r="A818" s="492"/>
      <c r="B818" s="167"/>
      <c r="C818" s="167"/>
      <c r="D818" s="167"/>
      <c r="E818" s="167"/>
      <c r="F818" s="167"/>
      <c r="G818" s="167"/>
      <c r="H818" s="167"/>
      <c r="I818" s="167"/>
      <c r="J818" s="168"/>
    </row>
    <row r="819" spans="1:10" s="501" customFormat="1" x14ac:dyDescent="0.2">
      <c r="A819" s="492"/>
      <c r="B819" s="167"/>
      <c r="C819" s="167"/>
      <c r="D819" s="167"/>
      <c r="E819" s="167"/>
      <c r="F819" s="167"/>
      <c r="G819" s="167"/>
      <c r="H819" s="167"/>
      <c r="I819" s="167"/>
      <c r="J819" s="168"/>
    </row>
    <row r="820" spans="1:10" s="501" customFormat="1" x14ac:dyDescent="0.2">
      <c r="A820" s="492"/>
      <c r="B820" s="167"/>
      <c r="C820" s="167"/>
      <c r="D820" s="167"/>
      <c r="E820" s="167"/>
      <c r="F820" s="167"/>
      <c r="G820" s="167"/>
      <c r="H820" s="167"/>
      <c r="I820" s="167"/>
      <c r="J820" s="168"/>
    </row>
    <row r="821" spans="1:10" s="501" customFormat="1" x14ac:dyDescent="0.2">
      <c r="A821" s="492"/>
      <c r="B821" s="167"/>
      <c r="C821" s="167"/>
      <c r="D821" s="167"/>
      <c r="E821" s="167"/>
      <c r="F821" s="167"/>
      <c r="G821" s="167"/>
      <c r="H821" s="167"/>
      <c r="I821" s="167"/>
      <c r="J821" s="168"/>
    </row>
    <row r="822" spans="1:10" s="501" customFormat="1" x14ac:dyDescent="0.2">
      <c r="A822" s="492"/>
      <c r="B822" s="167"/>
      <c r="C822" s="167"/>
      <c r="D822" s="167"/>
      <c r="E822" s="167"/>
      <c r="F822" s="167"/>
      <c r="G822" s="167"/>
      <c r="H822" s="167"/>
      <c r="I822" s="167"/>
      <c r="J822" s="168"/>
    </row>
    <row r="823" spans="1:10" s="501" customFormat="1" x14ac:dyDescent="0.2">
      <c r="A823" s="492"/>
      <c r="B823" s="167"/>
      <c r="C823" s="167"/>
      <c r="D823" s="167"/>
      <c r="E823" s="167"/>
      <c r="F823" s="167"/>
      <c r="G823" s="167"/>
      <c r="H823" s="167"/>
      <c r="I823" s="167"/>
      <c r="J823" s="168"/>
    </row>
    <row r="824" spans="1:10" s="501" customFormat="1" x14ac:dyDescent="0.2">
      <c r="A824" s="492"/>
      <c r="B824" s="167"/>
      <c r="C824" s="167"/>
      <c r="D824" s="167"/>
      <c r="E824" s="167"/>
      <c r="F824" s="167"/>
      <c r="G824" s="167"/>
      <c r="H824" s="167"/>
      <c r="I824" s="167"/>
      <c r="J824" s="168"/>
    </row>
    <row r="825" spans="1:10" s="501" customFormat="1" x14ac:dyDescent="0.2">
      <c r="A825" s="492"/>
      <c r="B825" s="167"/>
      <c r="C825" s="167"/>
      <c r="D825" s="167"/>
      <c r="E825" s="167"/>
      <c r="F825" s="167"/>
      <c r="G825" s="167"/>
      <c r="H825" s="167"/>
      <c r="I825" s="167"/>
      <c r="J825" s="168"/>
    </row>
    <row r="826" spans="1:10" s="501" customFormat="1" x14ac:dyDescent="0.2">
      <c r="A826" s="492"/>
      <c r="B826" s="167"/>
      <c r="C826" s="167"/>
      <c r="D826" s="167"/>
      <c r="E826" s="167"/>
      <c r="F826" s="167"/>
      <c r="G826" s="167"/>
      <c r="H826" s="167"/>
      <c r="I826" s="167"/>
      <c r="J826" s="168"/>
    </row>
    <row r="827" spans="1:10" s="501" customFormat="1" x14ac:dyDescent="0.2">
      <c r="A827" s="492"/>
      <c r="B827" s="167"/>
      <c r="C827" s="167"/>
      <c r="D827" s="167"/>
      <c r="E827" s="167"/>
      <c r="F827" s="167"/>
      <c r="G827" s="167"/>
      <c r="H827" s="167"/>
      <c r="I827" s="167"/>
      <c r="J827" s="168"/>
    </row>
    <row r="828" spans="1:10" s="501" customFormat="1" x14ac:dyDescent="0.2">
      <c r="A828" s="492"/>
      <c r="B828" s="167"/>
      <c r="C828" s="167"/>
      <c r="D828" s="167"/>
      <c r="E828" s="167"/>
      <c r="F828" s="167"/>
      <c r="G828" s="167"/>
      <c r="H828" s="167"/>
      <c r="I828" s="167"/>
      <c r="J828" s="168"/>
    </row>
    <row r="829" spans="1:10" s="501" customFormat="1" x14ac:dyDescent="0.2">
      <c r="A829" s="492"/>
      <c r="B829" s="167"/>
      <c r="C829" s="167"/>
      <c r="D829" s="167"/>
      <c r="E829" s="167"/>
      <c r="F829" s="167"/>
      <c r="G829" s="167"/>
      <c r="H829" s="167"/>
      <c r="I829" s="167"/>
      <c r="J829" s="168"/>
    </row>
    <row r="830" spans="1:10" s="501" customFormat="1" x14ac:dyDescent="0.2">
      <c r="A830" s="492"/>
      <c r="B830" s="167"/>
      <c r="C830" s="167"/>
      <c r="D830" s="167"/>
      <c r="E830" s="167"/>
      <c r="F830" s="167"/>
      <c r="G830" s="167"/>
      <c r="H830" s="167"/>
      <c r="I830" s="167"/>
      <c r="J830" s="168"/>
    </row>
    <row r="831" spans="1:10" s="501" customFormat="1" x14ac:dyDescent="0.2">
      <c r="A831" s="492"/>
      <c r="B831" s="167"/>
      <c r="C831" s="167"/>
      <c r="D831" s="167"/>
      <c r="E831" s="167"/>
      <c r="F831" s="167"/>
      <c r="G831" s="167"/>
      <c r="H831" s="167"/>
      <c r="I831" s="167"/>
      <c r="J831" s="168"/>
    </row>
    <row r="832" spans="1:10" s="501" customFormat="1" x14ac:dyDescent="0.2">
      <c r="A832" s="492"/>
      <c r="B832" s="167"/>
      <c r="C832" s="167"/>
      <c r="D832" s="167"/>
      <c r="E832" s="167"/>
      <c r="F832" s="167"/>
      <c r="G832" s="167"/>
      <c r="H832" s="167"/>
      <c r="I832" s="167"/>
      <c r="J832" s="168"/>
    </row>
    <row r="833" spans="1:10" s="501" customFormat="1" x14ac:dyDescent="0.2">
      <c r="A833" s="492"/>
      <c r="B833" s="167"/>
      <c r="C833" s="167"/>
      <c r="D833" s="167"/>
      <c r="E833" s="167"/>
      <c r="F833" s="167"/>
      <c r="G833" s="167"/>
      <c r="H833" s="167"/>
      <c r="I833" s="167"/>
      <c r="J833" s="168"/>
    </row>
    <row r="834" spans="1:10" s="501" customFormat="1" x14ac:dyDescent="0.2">
      <c r="A834" s="492"/>
      <c r="B834" s="167"/>
      <c r="C834" s="167"/>
      <c r="D834" s="167"/>
      <c r="E834" s="167"/>
      <c r="F834" s="167"/>
      <c r="G834" s="167"/>
      <c r="H834" s="167"/>
      <c r="I834" s="167"/>
      <c r="J834" s="168"/>
    </row>
    <row r="835" spans="1:10" s="501" customFormat="1" x14ac:dyDescent="0.2">
      <c r="A835" s="492"/>
      <c r="B835" s="167"/>
      <c r="C835" s="167"/>
      <c r="D835" s="167"/>
      <c r="E835" s="167"/>
      <c r="F835" s="167"/>
      <c r="G835" s="167"/>
      <c r="H835" s="167"/>
      <c r="I835" s="167"/>
      <c r="J835" s="168"/>
    </row>
    <row r="836" spans="1:10" s="501" customFormat="1" x14ac:dyDescent="0.2">
      <c r="A836" s="492"/>
      <c r="B836" s="167"/>
      <c r="C836" s="167"/>
      <c r="D836" s="167"/>
      <c r="E836" s="167"/>
      <c r="F836" s="167"/>
      <c r="G836" s="167"/>
      <c r="H836" s="167"/>
      <c r="I836" s="167"/>
      <c r="J836" s="168"/>
    </row>
    <row r="837" spans="1:10" s="501" customFormat="1" x14ac:dyDescent="0.2">
      <c r="A837" s="492"/>
      <c r="B837" s="167"/>
      <c r="C837" s="167"/>
      <c r="D837" s="167"/>
      <c r="E837" s="167"/>
      <c r="F837" s="167"/>
      <c r="G837" s="167"/>
      <c r="H837" s="167"/>
      <c r="I837" s="167"/>
      <c r="J837" s="168"/>
    </row>
    <row r="838" spans="1:10" s="501" customFormat="1" x14ac:dyDescent="0.2">
      <c r="A838" s="492"/>
      <c r="B838" s="167"/>
      <c r="C838" s="167"/>
      <c r="D838" s="167"/>
      <c r="E838" s="167"/>
      <c r="F838" s="167"/>
      <c r="G838" s="167"/>
      <c r="H838" s="167"/>
      <c r="I838" s="167"/>
      <c r="J838" s="168"/>
    </row>
    <row r="839" spans="1:10" s="501" customFormat="1" x14ac:dyDescent="0.2">
      <c r="A839" s="492"/>
      <c r="B839" s="167"/>
      <c r="C839" s="167"/>
      <c r="D839" s="167"/>
      <c r="E839" s="167"/>
      <c r="F839" s="167"/>
      <c r="G839" s="167"/>
      <c r="H839" s="167"/>
      <c r="I839" s="167"/>
      <c r="J839" s="168"/>
    </row>
    <row r="840" spans="1:10" s="501" customFormat="1" x14ac:dyDescent="0.2">
      <c r="A840" s="492"/>
      <c r="B840" s="167"/>
      <c r="C840" s="167"/>
      <c r="D840" s="167"/>
      <c r="E840" s="167"/>
      <c r="F840" s="167"/>
      <c r="G840" s="167"/>
      <c r="H840" s="167"/>
      <c r="I840" s="167"/>
      <c r="J840" s="168"/>
    </row>
    <row r="841" spans="1:10" s="501" customFormat="1" x14ac:dyDescent="0.2">
      <c r="A841" s="492"/>
      <c r="B841" s="167"/>
      <c r="C841" s="167"/>
      <c r="D841" s="167"/>
      <c r="E841" s="167"/>
      <c r="F841" s="167"/>
      <c r="G841" s="167"/>
      <c r="H841" s="167"/>
      <c r="I841" s="167"/>
      <c r="J841" s="168"/>
    </row>
    <row r="842" spans="1:10" s="501" customFormat="1" x14ac:dyDescent="0.2">
      <c r="A842" s="492"/>
      <c r="B842" s="167"/>
      <c r="C842" s="167"/>
      <c r="D842" s="167"/>
      <c r="E842" s="167"/>
      <c r="F842" s="167"/>
      <c r="G842" s="167"/>
      <c r="H842" s="167"/>
      <c r="I842" s="167"/>
      <c r="J842" s="168"/>
    </row>
    <row r="843" spans="1:10" s="501" customFormat="1" x14ac:dyDescent="0.2">
      <c r="A843" s="492"/>
      <c r="B843" s="167"/>
      <c r="C843" s="167"/>
      <c r="D843" s="167"/>
      <c r="E843" s="167"/>
      <c r="F843" s="167"/>
      <c r="G843" s="167"/>
      <c r="H843" s="167"/>
      <c r="I843" s="167"/>
      <c r="J843" s="168"/>
    </row>
    <row r="844" spans="1:10" s="501" customFormat="1" x14ac:dyDescent="0.2">
      <c r="A844" s="492"/>
      <c r="B844" s="167"/>
      <c r="C844" s="167"/>
      <c r="D844" s="167"/>
      <c r="E844" s="167"/>
      <c r="F844" s="167"/>
      <c r="G844" s="167"/>
      <c r="H844" s="167"/>
      <c r="I844" s="167"/>
      <c r="J844" s="168"/>
    </row>
    <row r="845" spans="1:10" s="501" customFormat="1" x14ac:dyDescent="0.2">
      <c r="A845" s="492"/>
      <c r="B845" s="167"/>
      <c r="C845" s="167"/>
      <c r="D845" s="167"/>
      <c r="E845" s="167"/>
      <c r="F845" s="167"/>
      <c r="G845" s="167"/>
      <c r="H845" s="167"/>
      <c r="I845" s="167"/>
      <c r="J845" s="168"/>
    </row>
    <row r="846" spans="1:10" s="501" customFormat="1" x14ac:dyDescent="0.2">
      <c r="A846" s="492"/>
      <c r="B846" s="167"/>
      <c r="C846" s="167"/>
      <c r="D846" s="167"/>
      <c r="E846" s="167"/>
      <c r="F846" s="167"/>
      <c r="G846" s="167"/>
      <c r="H846" s="167"/>
      <c r="I846" s="167"/>
      <c r="J846" s="168"/>
    </row>
    <row r="847" spans="1:10" s="501" customFormat="1" x14ac:dyDescent="0.2">
      <c r="A847" s="492"/>
      <c r="B847" s="167"/>
      <c r="C847" s="167"/>
      <c r="D847" s="167"/>
      <c r="E847" s="167"/>
      <c r="F847" s="167"/>
      <c r="G847" s="167"/>
      <c r="H847" s="167"/>
      <c r="I847" s="167"/>
      <c r="J847" s="168"/>
    </row>
    <row r="848" spans="1:10" s="501" customFormat="1" x14ac:dyDescent="0.2">
      <c r="A848" s="492"/>
      <c r="B848" s="167"/>
      <c r="C848" s="167"/>
      <c r="D848" s="167"/>
      <c r="E848" s="167"/>
      <c r="F848" s="167"/>
      <c r="G848" s="167"/>
      <c r="H848" s="167"/>
      <c r="I848" s="167"/>
      <c r="J848" s="168"/>
    </row>
    <row r="849" spans="1:10" s="501" customFormat="1" x14ac:dyDescent="0.2">
      <c r="A849" s="492"/>
      <c r="B849" s="167"/>
      <c r="C849" s="167"/>
      <c r="D849" s="167"/>
      <c r="E849" s="167"/>
      <c r="F849" s="167"/>
      <c r="G849" s="167"/>
      <c r="H849" s="167"/>
      <c r="I849" s="167"/>
      <c r="J849" s="168"/>
    </row>
    <row r="850" spans="1:10" s="501" customFormat="1" x14ac:dyDescent="0.2">
      <c r="A850" s="492"/>
      <c r="B850" s="167"/>
      <c r="C850" s="167"/>
      <c r="D850" s="167"/>
      <c r="E850" s="167"/>
      <c r="F850" s="167"/>
      <c r="G850" s="167"/>
      <c r="H850" s="167"/>
      <c r="I850" s="167"/>
      <c r="J850" s="168"/>
    </row>
    <row r="851" spans="1:10" s="501" customFormat="1" x14ac:dyDescent="0.2">
      <c r="A851" s="492"/>
      <c r="B851" s="167"/>
      <c r="C851" s="167"/>
      <c r="D851" s="167"/>
      <c r="E851" s="167"/>
      <c r="F851" s="167"/>
      <c r="G851" s="167"/>
      <c r="H851" s="167"/>
      <c r="I851" s="167"/>
      <c r="J851" s="168"/>
    </row>
    <row r="852" spans="1:10" s="501" customFormat="1" x14ac:dyDescent="0.2">
      <c r="A852" s="492"/>
      <c r="B852" s="167"/>
      <c r="C852" s="167"/>
      <c r="D852" s="167"/>
      <c r="E852" s="167"/>
      <c r="F852" s="167"/>
      <c r="G852" s="167"/>
      <c r="H852" s="167"/>
      <c r="I852" s="167"/>
      <c r="J852" s="168"/>
    </row>
    <row r="853" spans="1:10" s="501" customFormat="1" x14ac:dyDescent="0.2">
      <c r="A853" s="492"/>
      <c r="B853" s="167"/>
      <c r="C853" s="167"/>
      <c r="D853" s="167"/>
      <c r="E853" s="167"/>
      <c r="F853" s="167"/>
      <c r="G853" s="167"/>
      <c r="H853" s="167"/>
      <c r="I853" s="167"/>
      <c r="J853" s="168"/>
    </row>
    <row r="854" spans="1:10" s="501" customFormat="1" x14ac:dyDescent="0.2">
      <c r="A854" s="492"/>
      <c r="B854" s="167"/>
      <c r="C854" s="167"/>
      <c r="D854" s="167"/>
      <c r="E854" s="167"/>
      <c r="F854" s="167"/>
      <c r="G854" s="167"/>
      <c r="H854" s="167"/>
      <c r="I854" s="167"/>
      <c r="J854" s="168"/>
    </row>
    <row r="855" spans="1:10" s="501" customFormat="1" x14ac:dyDescent="0.2">
      <c r="A855" s="492"/>
      <c r="B855" s="167"/>
      <c r="C855" s="167"/>
      <c r="D855" s="167"/>
      <c r="E855" s="167"/>
      <c r="F855" s="167"/>
      <c r="G855" s="167"/>
      <c r="H855" s="167"/>
      <c r="I855" s="167"/>
      <c r="J855" s="168"/>
    </row>
    <row r="856" spans="1:10" s="501" customFormat="1" x14ac:dyDescent="0.2">
      <c r="A856" s="492"/>
      <c r="B856" s="167"/>
      <c r="C856" s="167"/>
      <c r="D856" s="167"/>
      <c r="E856" s="167"/>
      <c r="F856" s="167"/>
      <c r="G856" s="167"/>
      <c r="H856" s="167"/>
      <c r="I856" s="167"/>
      <c r="J856" s="168"/>
    </row>
    <row r="857" spans="1:10" s="501" customFormat="1" x14ac:dyDescent="0.2">
      <c r="A857" s="492"/>
      <c r="B857" s="167"/>
      <c r="C857" s="167"/>
      <c r="D857" s="167"/>
      <c r="E857" s="167"/>
      <c r="F857" s="167"/>
      <c r="G857" s="167"/>
      <c r="H857" s="167"/>
      <c r="I857" s="167"/>
      <c r="J857" s="168"/>
    </row>
    <row r="858" spans="1:10" s="501" customFormat="1" x14ac:dyDescent="0.2">
      <c r="A858" s="492"/>
      <c r="B858" s="167"/>
      <c r="C858" s="167"/>
      <c r="D858" s="167"/>
      <c r="E858" s="167"/>
      <c r="F858" s="167"/>
      <c r="G858" s="167"/>
      <c r="H858" s="167"/>
      <c r="I858" s="167"/>
      <c r="J858" s="168"/>
    </row>
    <row r="859" spans="1:10" s="501" customFormat="1" x14ac:dyDescent="0.2">
      <c r="A859" s="492"/>
      <c r="B859" s="167"/>
      <c r="C859" s="167"/>
      <c r="D859" s="167"/>
      <c r="E859" s="167"/>
      <c r="F859" s="167"/>
      <c r="G859" s="167"/>
      <c r="H859" s="167"/>
      <c r="I859" s="167"/>
      <c r="J859" s="168"/>
    </row>
    <row r="860" spans="1:10" s="501" customFormat="1" x14ac:dyDescent="0.2">
      <c r="A860" s="492"/>
      <c r="B860" s="167"/>
      <c r="C860" s="167"/>
      <c r="D860" s="167"/>
      <c r="E860" s="167"/>
      <c r="F860" s="167"/>
      <c r="G860" s="167"/>
      <c r="H860" s="167"/>
      <c r="I860" s="167"/>
      <c r="J860" s="168"/>
    </row>
    <row r="861" spans="1:10" s="501" customFormat="1" x14ac:dyDescent="0.2">
      <c r="A861" s="492"/>
      <c r="B861" s="167"/>
      <c r="C861" s="167"/>
      <c r="D861" s="167"/>
      <c r="E861" s="167"/>
      <c r="F861" s="167"/>
      <c r="G861" s="167"/>
      <c r="H861" s="167"/>
      <c r="I861" s="167"/>
      <c r="J861" s="168"/>
    </row>
    <row r="862" spans="1:10" s="501" customFormat="1" x14ac:dyDescent="0.2">
      <c r="A862" s="492"/>
      <c r="B862" s="167"/>
      <c r="C862" s="167"/>
      <c r="D862" s="167"/>
      <c r="E862" s="167"/>
      <c r="F862" s="167"/>
      <c r="G862" s="167"/>
      <c r="H862" s="167"/>
      <c r="I862" s="167"/>
      <c r="J862" s="168"/>
    </row>
    <row r="863" spans="1:10" s="501" customFormat="1" x14ac:dyDescent="0.2">
      <c r="A863" s="492"/>
      <c r="B863" s="167"/>
      <c r="C863" s="167"/>
      <c r="D863" s="167"/>
      <c r="E863" s="167"/>
      <c r="F863" s="167"/>
      <c r="G863" s="167"/>
      <c r="H863" s="167"/>
      <c r="I863" s="167"/>
      <c r="J863" s="168"/>
    </row>
    <row r="864" spans="1:10" s="501" customFormat="1" x14ac:dyDescent="0.2">
      <c r="A864" s="492"/>
      <c r="B864" s="167"/>
      <c r="C864" s="167"/>
      <c r="D864" s="167"/>
      <c r="E864" s="167"/>
      <c r="F864" s="167"/>
      <c r="G864" s="167"/>
      <c r="H864" s="167"/>
      <c r="I864" s="167"/>
      <c r="J864" s="168"/>
    </row>
    <row r="865" spans="1:10" s="501" customFormat="1" x14ac:dyDescent="0.2">
      <c r="A865" s="492"/>
      <c r="B865" s="167"/>
      <c r="C865" s="167"/>
      <c r="D865" s="167"/>
      <c r="E865" s="167"/>
      <c r="F865" s="167"/>
      <c r="G865" s="167"/>
      <c r="H865" s="167"/>
      <c r="I865" s="167"/>
      <c r="J865" s="168"/>
    </row>
    <row r="866" spans="1:10" s="501" customFormat="1" x14ac:dyDescent="0.2">
      <c r="A866" s="492"/>
      <c r="B866" s="167"/>
      <c r="C866" s="167"/>
      <c r="D866" s="167"/>
      <c r="E866" s="167"/>
      <c r="F866" s="167"/>
      <c r="G866" s="167"/>
      <c r="H866" s="167"/>
      <c r="I866" s="167"/>
      <c r="J866" s="168"/>
    </row>
    <row r="867" spans="1:10" s="501" customFormat="1" x14ac:dyDescent="0.2">
      <c r="A867" s="492"/>
      <c r="B867" s="167"/>
      <c r="C867" s="167"/>
      <c r="D867" s="167"/>
      <c r="E867" s="167"/>
      <c r="F867" s="167"/>
      <c r="G867" s="167"/>
      <c r="H867" s="167"/>
      <c r="I867" s="167"/>
      <c r="J867" s="168"/>
    </row>
    <row r="868" spans="1:10" s="501" customFormat="1" x14ac:dyDescent="0.2">
      <c r="A868" s="492"/>
      <c r="B868" s="167"/>
      <c r="C868" s="167"/>
      <c r="D868" s="167"/>
      <c r="E868" s="167"/>
      <c r="F868" s="167"/>
      <c r="G868" s="167"/>
      <c r="H868" s="167"/>
      <c r="I868" s="167"/>
      <c r="J868" s="168"/>
    </row>
    <row r="869" spans="1:10" s="501" customFormat="1" x14ac:dyDescent="0.2">
      <c r="A869" s="492"/>
      <c r="B869" s="167"/>
      <c r="C869" s="167"/>
      <c r="D869" s="167"/>
      <c r="E869" s="167"/>
      <c r="F869" s="167"/>
      <c r="G869" s="167"/>
      <c r="H869" s="167"/>
      <c r="I869" s="167"/>
      <c r="J869" s="168"/>
    </row>
    <row r="870" spans="1:10" s="501" customFormat="1" x14ac:dyDescent="0.2">
      <c r="A870" s="492"/>
      <c r="B870" s="167"/>
      <c r="C870" s="167"/>
      <c r="D870" s="167"/>
      <c r="E870" s="167"/>
      <c r="F870" s="167"/>
      <c r="G870" s="167"/>
      <c r="H870" s="167"/>
      <c r="I870" s="167"/>
      <c r="J870" s="168"/>
    </row>
    <row r="871" spans="1:10" s="501" customFormat="1" x14ac:dyDescent="0.2">
      <c r="A871" s="492"/>
      <c r="B871" s="167"/>
      <c r="C871" s="167"/>
      <c r="D871" s="167"/>
      <c r="E871" s="167"/>
      <c r="F871" s="167"/>
      <c r="G871" s="167"/>
      <c r="H871" s="167"/>
      <c r="I871" s="167"/>
      <c r="J871" s="168"/>
    </row>
    <row r="872" spans="1:10" s="501" customFormat="1" x14ac:dyDescent="0.2">
      <c r="A872" s="492"/>
      <c r="B872" s="167"/>
      <c r="C872" s="167"/>
      <c r="D872" s="167"/>
      <c r="E872" s="167"/>
      <c r="F872" s="167"/>
      <c r="G872" s="167"/>
      <c r="H872" s="167"/>
      <c r="I872" s="167"/>
      <c r="J872" s="168"/>
    </row>
    <row r="873" spans="1:10" s="501" customFormat="1" x14ac:dyDescent="0.2">
      <c r="A873" s="492"/>
      <c r="B873" s="167"/>
      <c r="C873" s="167"/>
      <c r="D873" s="167"/>
      <c r="E873" s="167"/>
      <c r="F873" s="167"/>
      <c r="G873" s="167"/>
      <c r="H873" s="167"/>
      <c r="I873" s="167"/>
      <c r="J873" s="168"/>
    </row>
    <row r="874" spans="1:10" s="501" customFormat="1" x14ac:dyDescent="0.2">
      <c r="A874" s="492"/>
      <c r="B874" s="167"/>
      <c r="C874" s="167"/>
      <c r="D874" s="167"/>
      <c r="E874" s="167"/>
      <c r="F874" s="167"/>
      <c r="G874" s="167"/>
      <c r="H874" s="167"/>
      <c r="I874" s="167"/>
      <c r="J874" s="168"/>
    </row>
    <row r="875" spans="1:10" s="501" customFormat="1" x14ac:dyDescent="0.2">
      <c r="A875" s="492"/>
      <c r="B875" s="167"/>
      <c r="C875" s="167"/>
      <c r="D875" s="167"/>
      <c r="E875" s="167"/>
      <c r="F875" s="167"/>
      <c r="G875" s="167"/>
      <c r="H875" s="167"/>
      <c r="I875" s="167"/>
      <c r="J875" s="168"/>
    </row>
    <row r="876" spans="1:10" s="501" customFormat="1" x14ac:dyDescent="0.2">
      <c r="A876" s="492"/>
      <c r="B876" s="167"/>
      <c r="C876" s="167"/>
      <c r="D876" s="167"/>
      <c r="E876" s="167"/>
      <c r="F876" s="167"/>
      <c r="G876" s="167"/>
      <c r="H876" s="167"/>
      <c r="I876" s="167"/>
      <c r="J876" s="168"/>
    </row>
    <row r="877" spans="1:10" s="501" customFormat="1" x14ac:dyDescent="0.2">
      <c r="A877" s="492"/>
      <c r="B877" s="167"/>
      <c r="C877" s="167"/>
      <c r="D877" s="167"/>
      <c r="E877" s="167"/>
      <c r="F877" s="167"/>
      <c r="G877" s="167"/>
      <c r="H877" s="167"/>
      <c r="I877" s="167"/>
      <c r="J877" s="168"/>
    </row>
    <row r="878" spans="1:10" s="501" customFormat="1" x14ac:dyDescent="0.2">
      <c r="A878" s="492"/>
      <c r="B878" s="167"/>
      <c r="C878" s="167"/>
      <c r="D878" s="167"/>
      <c r="E878" s="167"/>
      <c r="F878" s="167"/>
      <c r="G878" s="167"/>
      <c r="H878" s="167"/>
      <c r="I878" s="167"/>
      <c r="J878" s="168"/>
    </row>
    <row r="879" spans="1:10" s="501" customFormat="1" x14ac:dyDescent="0.2">
      <c r="A879" s="492"/>
      <c r="B879" s="167"/>
      <c r="C879" s="167"/>
      <c r="D879" s="167"/>
      <c r="E879" s="167"/>
      <c r="F879" s="167"/>
      <c r="G879" s="167"/>
      <c r="H879" s="167"/>
      <c r="I879" s="167"/>
      <c r="J879" s="168"/>
    </row>
    <row r="880" spans="1:10" s="501" customFormat="1" x14ac:dyDescent="0.2">
      <c r="A880" s="492"/>
      <c r="B880" s="167"/>
      <c r="C880" s="167"/>
      <c r="D880" s="167"/>
      <c r="E880" s="167"/>
      <c r="F880" s="167"/>
      <c r="G880" s="167"/>
      <c r="H880" s="167"/>
      <c r="I880" s="167"/>
      <c r="J880" s="168"/>
    </row>
    <row r="881" spans="1:10" s="501" customFormat="1" x14ac:dyDescent="0.2">
      <c r="A881" s="492"/>
      <c r="B881" s="167"/>
      <c r="C881" s="167"/>
      <c r="D881" s="167"/>
      <c r="E881" s="167"/>
      <c r="F881" s="167"/>
      <c r="G881" s="167"/>
      <c r="H881" s="167"/>
      <c r="I881" s="167"/>
      <c r="J881" s="168"/>
    </row>
    <row r="882" spans="1:10" s="501" customFormat="1" x14ac:dyDescent="0.2">
      <c r="A882" s="492"/>
      <c r="B882" s="167"/>
      <c r="C882" s="167"/>
      <c r="D882" s="167"/>
      <c r="E882" s="167"/>
      <c r="F882" s="167"/>
      <c r="G882" s="167"/>
      <c r="H882" s="167"/>
      <c r="I882" s="167"/>
      <c r="J882" s="168"/>
    </row>
    <row r="883" spans="1:10" s="501" customFormat="1" x14ac:dyDescent="0.2">
      <c r="A883" s="492"/>
      <c r="B883" s="167"/>
      <c r="C883" s="167"/>
      <c r="D883" s="167"/>
      <c r="E883" s="167"/>
      <c r="F883" s="167"/>
      <c r="G883" s="167"/>
      <c r="H883" s="167"/>
      <c r="I883" s="167"/>
      <c r="J883" s="168"/>
    </row>
    <row r="884" spans="1:10" s="501" customFormat="1" x14ac:dyDescent="0.2">
      <c r="A884" s="492"/>
      <c r="B884" s="167"/>
      <c r="C884" s="167"/>
      <c r="D884" s="167"/>
      <c r="E884" s="167"/>
      <c r="F884" s="167"/>
      <c r="G884" s="167"/>
      <c r="H884" s="167"/>
      <c r="I884" s="167"/>
      <c r="J884" s="168"/>
    </row>
    <row r="885" spans="1:10" s="135" customFormat="1" x14ac:dyDescent="0.2">
      <c r="A885" s="492"/>
      <c r="B885" s="167"/>
      <c r="C885" s="167"/>
      <c r="D885" s="167"/>
      <c r="E885" s="167"/>
      <c r="F885" s="167"/>
      <c r="G885" s="167"/>
      <c r="H885" s="167"/>
      <c r="I885" s="167"/>
      <c r="J885" s="168"/>
    </row>
    <row r="886" spans="1:10" s="135" customFormat="1" x14ac:dyDescent="0.2">
      <c r="A886" s="492"/>
      <c r="B886" s="167"/>
      <c r="C886" s="167"/>
      <c r="D886" s="167"/>
      <c r="E886" s="167"/>
      <c r="F886" s="167"/>
      <c r="G886" s="167"/>
      <c r="H886" s="167"/>
      <c r="I886" s="167"/>
      <c r="J886" s="168"/>
    </row>
    <row r="887" spans="1:10" s="135" customFormat="1" x14ac:dyDescent="0.2">
      <c r="A887" s="492"/>
      <c r="B887" s="167"/>
      <c r="C887" s="167"/>
      <c r="D887" s="167"/>
      <c r="E887" s="167"/>
      <c r="F887" s="167"/>
      <c r="G887" s="167"/>
      <c r="H887" s="167"/>
      <c r="I887" s="167"/>
      <c r="J887" s="168"/>
    </row>
    <row r="888" spans="1:10" s="135" customFormat="1" x14ac:dyDescent="0.2">
      <c r="A888" s="492"/>
      <c r="B888" s="167"/>
      <c r="C888" s="167"/>
      <c r="D888" s="167"/>
      <c r="E888" s="167"/>
      <c r="F888" s="167"/>
      <c r="G888" s="167"/>
      <c r="H888" s="167"/>
      <c r="I888" s="167"/>
      <c r="J888" s="168"/>
    </row>
    <row r="889" spans="1:10" s="135" customFormat="1" x14ac:dyDescent="0.2">
      <c r="A889" s="492"/>
      <c r="B889" s="167"/>
      <c r="C889" s="167"/>
      <c r="D889" s="167"/>
      <c r="E889" s="167"/>
      <c r="F889" s="167"/>
      <c r="G889" s="167"/>
      <c r="H889" s="167"/>
      <c r="I889" s="167"/>
      <c r="J889" s="168"/>
    </row>
    <row r="890" spans="1:10" s="135" customFormat="1" x14ac:dyDescent="0.2">
      <c r="A890" s="492"/>
      <c r="B890" s="167"/>
      <c r="C890" s="167"/>
      <c r="D890" s="167"/>
      <c r="E890" s="167"/>
      <c r="F890" s="167"/>
      <c r="G890" s="167"/>
      <c r="H890" s="167"/>
      <c r="I890" s="167"/>
      <c r="J890" s="168"/>
    </row>
    <row r="891" spans="1:10" s="135" customFormat="1" x14ac:dyDescent="0.2">
      <c r="A891" s="492"/>
      <c r="B891" s="167"/>
      <c r="C891" s="167"/>
      <c r="D891" s="167"/>
      <c r="E891" s="167"/>
      <c r="F891" s="167"/>
      <c r="G891" s="167"/>
      <c r="H891" s="167"/>
      <c r="I891" s="167"/>
      <c r="J891" s="168"/>
    </row>
    <row r="892" spans="1:10" s="135" customFormat="1" x14ac:dyDescent="0.2">
      <c r="A892" s="492"/>
      <c r="B892" s="167"/>
      <c r="C892" s="167"/>
      <c r="D892" s="167"/>
      <c r="E892" s="167"/>
      <c r="F892" s="167"/>
      <c r="G892" s="167"/>
      <c r="H892" s="167"/>
      <c r="I892" s="167"/>
      <c r="J892" s="168"/>
    </row>
    <row r="893" spans="1:10" s="135" customFormat="1" x14ac:dyDescent="0.2">
      <c r="A893" s="492"/>
      <c r="B893" s="167"/>
      <c r="C893" s="167"/>
      <c r="D893" s="167"/>
      <c r="E893" s="167"/>
      <c r="F893" s="167"/>
      <c r="G893" s="167"/>
      <c r="H893" s="167"/>
      <c r="I893" s="167"/>
      <c r="J893" s="168"/>
    </row>
    <row r="894" spans="1:10" s="135" customFormat="1" x14ac:dyDescent="0.2">
      <c r="A894" s="492"/>
      <c r="B894" s="167"/>
      <c r="C894" s="167"/>
      <c r="D894" s="167"/>
      <c r="E894" s="167"/>
      <c r="F894" s="167"/>
      <c r="G894" s="167"/>
      <c r="H894" s="167"/>
      <c r="I894" s="167"/>
      <c r="J894" s="168"/>
    </row>
    <row r="895" spans="1:10" s="135" customFormat="1" x14ac:dyDescent="0.2">
      <c r="A895" s="492"/>
      <c r="B895" s="167"/>
      <c r="C895" s="167"/>
      <c r="D895" s="167"/>
      <c r="E895" s="167"/>
      <c r="F895" s="167"/>
      <c r="G895" s="167"/>
      <c r="H895" s="167"/>
      <c r="I895" s="167"/>
      <c r="J895" s="168"/>
    </row>
    <row r="896" spans="1:10" s="135" customFormat="1" x14ac:dyDescent="0.2">
      <c r="A896" s="492"/>
      <c r="B896" s="167"/>
      <c r="C896" s="167"/>
      <c r="D896" s="167"/>
      <c r="E896" s="167"/>
      <c r="F896" s="167"/>
      <c r="G896" s="167"/>
      <c r="H896" s="167"/>
      <c r="I896" s="167"/>
      <c r="J896" s="168"/>
    </row>
    <row r="897" spans="1:10" s="135" customFormat="1" x14ac:dyDescent="0.2">
      <c r="A897" s="492"/>
      <c r="B897" s="167"/>
      <c r="C897" s="167"/>
      <c r="D897" s="167"/>
      <c r="E897" s="167"/>
      <c r="F897" s="167"/>
      <c r="G897" s="167"/>
      <c r="H897" s="167"/>
      <c r="I897" s="167"/>
      <c r="J897" s="168"/>
    </row>
    <row r="898" spans="1:10" s="135" customFormat="1" x14ac:dyDescent="0.2">
      <c r="A898" s="492"/>
      <c r="B898" s="167"/>
      <c r="C898" s="167"/>
      <c r="D898" s="167"/>
      <c r="E898" s="167"/>
      <c r="F898" s="167"/>
      <c r="G898" s="167"/>
      <c r="H898" s="167"/>
      <c r="I898" s="167"/>
      <c r="J898" s="168"/>
    </row>
    <row r="899" spans="1:10" s="135" customFormat="1" x14ac:dyDescent="0.2">
      <c r="A899" s="492"/>
      <c r="B899" s="167"/>
      <c r="C899" s="167"/>
      <c r="D899" s="167"/>
      <c r="E899" s="167"/>
      <c r="F899" s="167"/>
      <c r="G899" s="167"/>
      <c r="H899" s="167"/>
      <c r="I899" s="167"/>
      <c r="J899" s="168"/>
    </row>
    <row r="900" spans="1:10" s="135" customFormat="1" x14ac:dyDescent="0.2">
      <c r="A900" s="492"/>
      <c r="B900" s="167"/>
      <c r="C900" s="167"/>
      <c r="D900" s="167"/>
      <c r="E900" s="167"/>
      <c r="F900" s="167"/>
      <c r="G900" s="167"/>
      <c r="H900" s="167"/>
      <c r="I900" s="167"/>
      <c r="J900" s="168"/>
    </row>
    <row r="901" spans="1:10" s="135" customFormat="1" x14ac:dyDescent="0.2">
      <c r="A901" s="492"/>
      <c r="B901" s="167"/>
      <c r="C901" s="167"/>
      <c r="D901" s="167"/>
      <c r="E901" s="167"/>
      <c r="F901" s="167"/>
      <c r="G901" s="167"/>
      <c r="H901" s="167"/>
      <c r="I901" s="167"/>
      <c r="J901" s="168"/>
    </row>
    <row r="902" spans="1:10" s="135" customFormat="1" x14ac:dyDescent="0.2">
      <c r="A902" s="492"/>
      <c r="B902" s="167"/>
      <c r="C902" s="167"/>
      <c r="D902" s="167"/>
      <c r="E902" s="167"/>
      <c r="F902" s="167"/>
      <c r="G902" s="167"/>
      <c r="H902" s="167"/>
      <c r="I902" s="167"/>
      <c r="J902" s="168"/>
    </row>
    <row r="903" spans="1:10" s="135" customFormat="1" x14ac:dyDescent="0.2">
      <c r="A903" s="492"/>
      <c r="B903" s="167"/>
      <c r="C903" s="167"/>
      <c r="D903" s="167"/>
      <c r="E903" s="167"/>
      <c r="F903" s="167"/>
      <c r="G903" s="167"/>
      <c r="H903" s="167"/>
      <c r="I903" s="167"/>
      <c r="J903" s="168"/>
    </row>
    <row r="904" spans="1:10" s="135" customFormat="1" x14ac:dyDescent="0.2">
      <c r="A904" s="492"/>
      <c r="B904" s="167"/>
      <c r="C904" s="167"/>
      <c r="D904" s="167"/>
      <c r="E904" s="167"/>
      <c r="F904" s="167"/>
      <c r="G904" s="167"/>
      <c r="H904" s="167"/>
      <c r="I904" s="167"/>
      <c r="J904" s="168"/>
    </row>
    <row r="905" spans="1:10" s="135" customFormat="1" x14ac:dyDescent="0.2">
      <c r="A905" s="492"/>
      <c r="B905" s="167"/>
      <c r="C905" s="167"/>
      <c r="D905" s="167"/>
      <c r="E905" s="167"/>
      <c r="F905" s="167"/>
      <c r="G905" s="167"/>
      <c r="H905" s="167"/>
      <c r="I905" s="167"/>
      <c r="J905" s="168"/>
    </row>
    <row r="906" spans="1:10" s="135" customFormat="1" x14ac:dyDescent="0.2">
      <c r="A906" s="492"/>
      <c r="B906" s="167"/>
      <c r="C906" s="167"/>
      <c r="D906" s="167"/>
      <c r="E906" s="167"/>
      <c r="F906" s="167"/>
      <c r="G906" s="167"/>
      <c r="H906" s="167"/>
      <c r="I906" s="167"/>
      <c r="J906" s="168"/>
    </row>
    <row r="907" spans="1:10" s="135" customFormat="1" x14ac:dyDescent="0.2">
      <c r="A907" s="492"/>
      <c r="B907" s="167"/>
      <c r="C907" s="167"/>
      <c r="D907" s="167"/>
      <c r="E907" s="167"/>
      <c r="F907" s="167"/>
      <c r="G907" s="167"/>
      <c r="H907" s="167"/>
      <c r="I907" s="167"/>
      <c r="J907" s="168"/>
    </row>
    <row r="908" spans="1:10" s="135" customFormat="1" x14ac:dyDescent="0.2">
      <c r="A908" s="492"/>
      <c r="B908" s="167"/>
      <c r="C908" s="167"/>
      <c r="D908" s="167"/>
      <c r="E908" s="167"/>
      <c r="F908" s="167"/>
      <c r="G908" s="167"/>
      <c r="H908" s="167"/>
      <c r="I908" s="167"/>
      <c r="J908" s="168"/>
    </row>
    <row r="909" spans="1:10" s="135" customFormat="1" x14ac:dyDescent="0.2">
      <c r="A909" s="492"/>
      <c r="B909" s="167"/>
      <c r="C909" s="167"/>
      <c r="D909" s="167"/>
      <c r="E909" s="167"/>
      <c r="F909" s="167"/>
      <c r="G909" s="167"/>
      <c r="H909" s="167"/>
      <c r="I909" s="167"/>
      <c r="J909" s="168"/>
    </row>
    <row r="910" spans="1:10" s="135" customFormat="1" x14ac:dyDescent="0.2">
      <c r="A910" s="492"/>
      <c r="B910" s="167"/>
      <c r="C910" s="167"/>
      <c r="D910" s="167"/>
      <c r="E910" s="167"/>
      <c r="F910" s="167"/>
      <c r="G910" s="167"/>
      <c r="H910" s="167"/>
      <c r="I910" s="167"/>
      <c r="J910" s="168"/>
    </row>
    <row r="911" spans="1:10" s="135" customFormat="1" x14ac:dyDescent="0.2">
      <c r="A911" s="492"/>
      <c r="B911" s="167"/>
      <c r="C911" s="167"/>
      <c r="D911" s="167"/>
      <c r="E911" s="167"/>
      <c r="F911" s="167"/>
      <c r="G911" s="167"/>
      <c r="H911" s="167"/>
      <c r="I911" s="167"/>
      <c r="J911" s="168"/>
    </row>
    <row r="912" spans="1:10" s="135" customFormat="1" x14ac:dyDescent="0.2">
      <c r="A912" s="492"/>
      <c r="B912" s="167"/>
      <c r="C912" s="167"/>
      <c r="D912" s="167"/>
      <c r="E912" s="167"/>
      <c r="F912" s="167"/>
      <c r="G912" s="167"/>
      <c r="H912" s="167"/>
      <c r="I912" s="167"/>
      <c r="J912" s="168"/>
    </row>
    <row r="913" spans="1:10" s="135" customFormat="1" x14ac:dyDescent="0.2">
      <c r="A913" s="492"/>
      <c r="B913" s="167"/>
      <c r="C913" s="167"/>
      <c r="D913" s="167"/>
      <c r="E913" s="167"/>
      <c r="F913" s="167"/>
      <c r="G913" s="167"/>
      <c r="H913" s="167"/>
      <c r="I913" s="167"/>
      <c r="J913" s="168"/>
    </row>
    <row r="914" spans="1:10" s="135" customFormat="1" x14ac:dyDescent="0.2">
      <c r="A914" s="492"/>
      <c r="B914" s="167"/>
      <c r="C914" s="167"/>
      <c r="D914" s="167"/>
      <c r="E914" s="167"/>
      <c r="F914" s="167"/>
      <c r="G914" s="167"/>
      <c r="H914" s="167"/>
      <c r="I914" s="167"/>
      <c r="J914" s="168"/>
    </row>
    <row r="915" spans="1:10" s="135" customFormat="1" x14ac:dyDescent="0.2">
      <c r="A915" s="492"/>
      <c r="B915" s="167"/>
      <c r="C915" s="167"/>
      <c r="D915" s="167"/>
      <c r="E915" s="167"/>
      <c r="F915" s="167"/>
      <c r="G915" s="167"/>
      <c r="H915" s="167"/>
      <c r="I915" s="167"/>
      <c r="J915" s="168"/>
    </row>
    <row r="916" spans="1:10" s="135" customFormat="1" x14ac:dyDescent="0.2">
      <c r="A916" s="492"/>
      <c r="B916" s="167"/>
      <c r="C916" s="167"/>
      <c r="D916" s="167"/>
      <c r="E916" s="167"/>
      <c r="F916" s="167"/>
      <c r="G916" s="167"/>
      <c r="H916" s="167"/>
      <c r="I916" s="167"/>
      <c r="J916" s="168"/>
    </row>
    <row r="917" spans="1:10" s="135" customFormat="1" x14ac:dyDescent="0.2">
      <c r="A917" s="492"/>
      <c r="B917" s="167"/>
      <c r="C917" s="167"/>
      <c r="D917" s="167"/>
      <c r="E917" s="167"/>
      <c r="F917" s="167"/>
      <c r="G917" s="167"/>
      <c r="H917" s="167"/>
      <c r="I917" s="167"/>
      <c r="J917" s="168"/>
    </row>
    <row r="918" spans="1:10" s="135" customFormat="1" x14ac:dyDescent="0.2">
      <c r="A918" s="492"/>
      <c r="B918" s="167"/>
      <c r="C918" s="167"/>
      <c r="D918" s="167"/>
      <c r="E918" s="167"/>
      <c r="F918" s="167"/>
      <c r="G918" s="167"/>
      <c r="H918" s="167"/>
      <c r="I918" s="167"/>
      <c r="J918" s="168"/>
    </row>
    <row r="919" spans="1:10" s="135" customFormat="1" x14ac:dyDescent="0.2">
      <c r="A919" s="492"/>
      <c r="B919" s="167"/>
      <c r="C919" s="167"/>
      <c r="D919" s="167"/>
      <c r="E919" s="167"/>
      <c r="F919" s="167"/>
      <c r="G919" s="167"/>
      <c r="H919" s="167"/>
      <c r="I919" s="167"/>
      <c r="J919" s="168"/>
    </row>
    <row r="920" spans="1:10" s="135" customFormat="1" x14ac:dyDescent="0.2">
      <c r="A920" s="492"/>
      <c r="B920" s="167"/>
      <c r="C920" s="167"/>
      <c r="D920" s="167"/>
      <c r="E920" s="167"/>
      <c r="F920" s="167"/>
      <c r="G920" s="167"/>
      <c r="H920" s="167"/>
      <c r="I920" s="167"/>
      <c r="J920" s="168"/>
    </row>
    <row r="921" spans="1:10" s="135" customFormat="1" x14ac:dyDescent="0.2">
      <c r="A921" s="492"/>
      <c r="B921" s="167"/>
      <c r="C921" s="167"/>
      <c r="D921" s="167"/>
      <c r="E921" s="167"/>
      <c r="F921" s="167"/>
      <c r="G921" s="167"/>
      <c r="H921" s="167"/>
      <c r="I921" s="167"/>
      <c r="J921" s="168"/>
    </row>
    <row r="922" spans="1:10" s="135" customFormat="1" x14ac:dyDescent="0.2">
      <c r="A922" s="492"/>
      <c r="B922" s="167"/>
      <c r="C922" s="167"/>
      <c r="D922" s="167"/>
      <c r="E922" s="167"/>
      <c r="F922" s="167"/>
      <c r="G922" s="167"/>
      <c r="H922" s="167"/>
      <c r="I922" s="167"/>
      <c r="J922" s="168"/>
    </row>
    <row r="923" spans="1:10" s="135" customFormat="1" x14ac:dyDescent="0.2">
      <c r="A923" s="492"/>
      <c r="B923" s="167"/>
      <c r="C923" s="167"/>
      <c r="D923" s="167"/>
      <c r="E923" s="167"/>
      <c r="F923" s="167"/>
      <c r="G923" s="167"/>
      <c r="H923" s="167"/>
      <c r="I923" s="167"/>
      <c r="J923" s="168"/>
    </row>
    <row r="924" spans="1:10" s="135" customFormat="1" x14ac:dyDescent="0.2">
      <c r="A924" s="492"/>
      <c r="B924" s="167"/>
      <c r="C924" s="167"/>
      <c r="D924" s="167"/>
      <c r="E924" s="167"/>
      <c r="F924" s="167"/>
      <c r="G924" s="167"/>
      <c r="H924" s="167"/>
      <c r="I924" s="167"/>
      <c r="J924" s="168"/>
    </row>
    <row r="925" spans="1:10" s="135" customFormat="1" x14ac:dyDescent="0.2">
      <c r="A925" s="492"/>
      <c r="B925" s="167"/>
      <c r="C925" s="167"/>
      <c r="D925" s="167"/>
      <c r="E925" s="167"/>
      <c r="F925" s="167"/>
      <c r="G925" s="167"/>
      <c r="H925" s="167"/>
      <c r="I925" s="167"/>
      <c r="J925" s="168"/>
    </row>
    <row r="926" spans="1:10" s="135" customFormat="1" x14ac:dyDescent="0.2">
      <c r="A926" s="492"/>
      <c r="B926" s="167"/>
      <c r="C926" s="167"/>
      <c r="D926" s="167"/>
      <c r="E926" s="167"/>
      <c r="F926" s="167"/>
      <c r="G926" s="167"/>
      <c r="H926" s="167"/>
      <c r="I926" s="167"/>
      <c r="J926" s="168"/>
    </row>
    <row r="927" spans="1:10" s="135" customFormat="1" x14ac:dyDescent="0.2">
      <c r="A927" s="492"/>
      <c r="B927" s="167"/>
      <c r="C927" s="167"/>
      <c r="D927" s="167"/>
      <c r="E927" s="167"/>
      <c r="F927" s="167"/>
      <c r="G927" s="167"/>
      <c r="H927" s="167"/>
      <c r="I927" s="167"/>
      <c r="J927" s="168"/>
    </row>
    <row r="928" spans="1:10" s="135" customFormat="1" x14ac:dyDescent="0.2">
      <c r="A928" s="492"/>
      <c r="B928" s="167"/>
      <c r="C928" s="167"/>
      <c r="D928" s="167"/>
      <c r="E928" s="167"/>
      <c r="F928" s="167"/>
      <c r="G928" s="167"/>
      <c r="H928" s="167"/>
      <c r="I928" s="167"/>
      <c r="J928" s="168"/>
    </row>
    <row r="929" spans="1:10" s="135" customFormat="1" x14ac:dyDescent="0.2">
      <c r="A929" s="492"/>
      <c r="B929" s="167"/>
      <c r="C929" s="167"/>
      <c r="D929" s="167"/>
      <c r="E929" s="167"/>
      <c r="F929" s="167"/>
      <c r="G929" s="167"/>
      <c r="H929" s="167"/>
      <c r="I929" s="167"/>
      <c r="J929" s="168"/>
    </row>
    <row r="930" spans="1:10" s="135" customFormat="1" x14ac:dyDescent="0.2">
      <c r="A930" s="492"/>
      <c r="B930" s="167"/>
      <c r="C930" s="167"/>
      <c r="D930" s="167"/>
      <c r="E930" s="167"/>
      <c r="F930" s="167"/>
      <c r="G930" s="167"/>
      <c r="H930" s="167"/>
      <c r="I930" s="167"/>
      <c r="J930" s="168"/>
    </row>
    <row r="931" spans="1:10" s="135" customFormat="1" x14ac:dyDescent="0.2">
      <c r="A931" s="492"/>
      <c r="B931" s="167"/>
      <c r="C931" s="167"/>
      <c r="D931" s="167"/>
      <c r="E931" s="167"/>
      <c r="F931" s="167"/>
      <c r="G931" s="167"/>
      <c r="H931" s="167"/>
      <c r="I931" s="167"/>
      <c r="J931" s="168"/>
    </row>
    <row r="932" spans="1:10" s="135" customFormat="1" x14ac:dyDescent="0.2">
      <c r="A932" s="492"/>
      <c r="B932" s="167"/>
      <c r="C932" s="167"/>
      <c r="D932" s="167"/>
      <c r="E932" s="167"/>
      <c r="F932" s="167"/>
      <c r="G932" s="167"/>
      <c r="H932" s="167"/>
      <c r="I932" s="167"/>
      <c r="J932" s="168"/>
    </row>
    <row r="933" spans="1:10" s="135" customFormat="1" x14ac:dyDescent="0.2">
      <c r="A933" s="492"/>
      <c r="B933" s="167"/>
      <c r="C933" s="167"/>
      <c r="D933" s="167"/>
      <c r="E933" s="167"/>
      <c r="F933" s="167"/>
      <c r="G933" s="167"/>
      <c r="H933" s="167"/>
      <c r="I933" s="167"/>
      <c r="J933" s="168"/>
    </row>
    <row r="934" spans="1:10" s="135" customFormat="1" x14ac:dyDescent="0.2">
      <c r="A934" s="492"/>
      <c r="B934" s="167"/>
      <c r="C934" s="167"/>
      <c r="D934" s="167"/>
      <c r="E934" s="167"/>
      <c r="F934" s="167"/>
      <c r="G934" s="167"/>
      <c r="H934" s="167"/>
      <c r="I934" s="167"/>
      <c r="J934" s="168"/>
    </row>
    <row r="935" spans="1:10" s="135" customFormat="1" x14ac:dyDescent="0.2">
      <c r="A935" s="492"/>
      <c r="B935" s="167"/>
      <c r="C935" s="167"/>
      <c r="D935" s="167"/>
      <c r="E935" s="167"/>
      <c r="F935" s="167"/>
      <c r="G935" s="167"/>
      <c r="H935" s="167"/>
      <c r="I935" s="167"/>
      <c r="J935" s="168"/>
    </row>
    <row r="936" spans="1:10" s="135" customFormat="1" x14ac:dyDescent="0.2">
      <c r="A936" s="492"/>
      <c r="B936" s="167"/>
      <c r="C936" s="167"/>
      <c r="D936" s="167"/>
      <c r="E936" s="167"/>
      <c r="F936" s="167"/>
      <c r="G936" s="167"/>
      <c r="H936" s="167"/>
      <c r="I936" s="167"/>
      <c r="J936" s="168"/>
    </row>
    <row r="937" spans="1:10" s="135" customFormat="1" x14ac:dyDescent="0.2">
      <c r="A937" s="492"/>
      <c r="B937" s="167"/>
      <c r="C937" s="167"/>
      <c r="D937" s="167"/>
      <c r="E937" s="167"/>
      <c r="F937" s="167"/>
      <c r="G937" s="167"/>
      <c r="H937" s="167"/>
      <c r="I937" s="167"/>
      <c r="J937" s="168"/>
    </row>
    <row r="938" spans="1:10" s="135" customFormat="1" x14ac:dyDescent="0.2">
      <c r="A938" s="492"/>
      <c r="B938" s="167"/>
      <c r="C938" s="167"/>
      <c r="D938" s="167"/>
      <c r="E938" s="167"/>
      <c r="F938" s="167"/>
      <c r="G938" s="167"/>
      <c r="H938" s="167"/>
      <c r="I938" s="167"/>
      <c r="J938" s="168"/>
    </row>
    <row r="939" spans="1:10" s="135" customFormat="1" x14ac:dyDescent="0.2">
      <c r="A939" s="492"/>
      <c r="B939" s="167"/>
      <c r="C939" s="167"/>
      <c r="D939" s="167"/>
      <c r="E939" s="167"/>
      <c r="F939" s="167"/>
      <c r="G939" s="167"/>
      <c r="H939" s="167"/>
      <c r="I939" s="167"/>
      <c r="J939" s="168"/>
    </row>
    <row r="940" spans="1:10" s="135" customFormat="1" x14ac:dyDescent="0.2">
      <c r="A940" s="492"/>
      <c r="B940" s="167"/>
      <c r="C940" s="167"/>
      <c r="D940" s="167"/>
      <c r="E940" s="167"/>
      <c r="F940" s="167"/>
      <c r="G940" s="167"/>
      <c r="H940" s="167"/>
      <c r="I940" s="167"/>
      <c r="J940" s="168"/>
    </row>
    <row r="941" spans="1:10" s="135" customFormat="1" x14ac:dyDescent="0.2">
      <c r="A941" s="492"/>
      <c r="B941" s="167"/>
      <c r="C941" s="167"/>
      <c r="D941" s="167"/>
      <c r="E941" s="167"/>
      <c r="F941" s="167"/>
      <c r="G941" s="167"/>
      <c r="H941" s="167"/>
      <c r="I941" s="167"/>
      <c r="J941" s="168"/>
    </row>
    <row r="942" spans="1:10" s="135" customFormat="1" x14ac:dyDescent="0.2">
      <c r="A942" s="492"/>
      <c r="B942" s="167"/>
      <c r="C942" s="167"/>
      <c r="D942" s="167"/>
      <c r="E942" s="167"/>
      <c r="F942" s="167"/>
      <c r="G942" s="167"/>
      <c r="H942" s="167"/>
      <c r="I942" s="167"/>
      <c r="J942" s="168"/>
    </row>
    <row r="943" spans="1:10" s="135" customFormat="1" x14ac:dyDescent="0.2">
      <c r="A943" s="492"/>
      <c r="B943" s="167"/>
      <c r="C943" s="167"/>
      <c r="D943" s="167"/>
      <c r="E943" s="167"/>
      <c r="F943" s="167"/>
      <c r="G943" s="167"/>
      <c r="H943" s="167"/>
      <c r="I943" s="167"/>
      <c r="J943" s="168"/>
    </row>
    <row r="944" spans="1:10" s="135" customFormat="1" x14ac:dyDescent="0.2">
      <c r="A944" s="492"/>
      <c r="B944" s="167"/>
      <c r="C944" s="167"/>
      <c r="D944" s="167"/>
      <c r="E944" s="167"/>
      <c r="F944" s="167"/>
      <c r="G944" s="167"/>
      <c r="H944" s="167"/>
      <c r="I944" s="167"/>
      <c r="J944" s="168"/>
    </row>
    <row r="945" spans="1:10" s="135" customFormat="1" x14ac:dyDescent="0.2">
      <c r="A945" s="492"/>
      <c r="B945" s="167"/>
      <c r="C945" s="167"/>
      <c r="D945" s="167"/>
      <c r="E945" s="167"/>
      <c r="F945" s="167"/>
      <c r="G945" s="167"/>
      <c r="H945" s="167"/>
      <c r="I945" s="167"/>
      <c r="J945" s="168"/>
    </row>
    <row r="946" spans="1:10" s="135" customFormat="1" x14ac:dyDescent="0.2">
      <c r="A946" s="492"/>
      <c r="B946" s="167"/>
      <c r="C946" s="167"/>
      <c r="D946" s="167"/>
      <c r="E946" s="167"/>
      <c r="F946" s="167"/>
      <c r="G946" s="167"/>
      <c r="H946" s="167"/>
      <c r="I946" s="167"/>
      <c r="J946" s="168"/>
    </row>
    <row r="947" spans="1:10" s="135" customFormat="1" x14ac:dyDescent="0.2">
      <c r="A947" s="492"/>
      <c r="B947" s="167"/>
      <c r="C947" s="167"/>
      <c r="D947" s="167"/>
      <c r="E947" s="167"/>
      <c r="F947" s="167"/>
      <c r="G947" s="167"/>
      <c r="H947" s="167"/>
      <c r="I947" s="167"/>
      <c r="J947" s="168"/>
    </row>
    <row r="948" spans="1:10" s="135" customFormat="1" x14ac:dyDescent="0.2">
      <c r="A948" s="492"/>
      <c r="B948" s="167"/>
      <c r="C948" s="167"/>
      <c r="D948" s="167"/>
      <c r="E948" s="167"/>
      <c r="F948" s="167"/>
      <c r="G948" s="167"/>
      <c r="H948" s="167"/>
      <c r="I948" s="167"/>
      <c r="J948" s="168"/>
    </row>
    <row r="949" spans="1:10" s="135" customFormat="1" x14ac:dyDescent="0.2">
      <c r="A949" s="492"/>
      <c r="B949" s="167"/>
      <c r="C949" s="167"/>
      <c r="D949" s="167"/>
      <c r="E949" s="167"/>
      <c r="F949" s="167"/>
      <c r="G949" s="167"/>
      <c r="H949" s="167"/>
      <c r="I949" s="167"/>
      <c r="J949" s="168"/>
    </row>
    <row r="950" spans="1:10" s="135" customFormat="1" x14ac:dyDescent="0.2">
      <c r="A950" s="492"/>
      <c r="B950" s="167"/>
      <c r="C950" s="167"/>
      <c r="D950" s="167"/>
      <c r="E950" s="167"/>
      <c r="F950" s="167"/>
      <c r="G950" s="167"/>
      <c r="H950" s="167"/>
      <c r="I950" s="167"/>
      <c r="J950" s="168"/>
    </row>
    <row r="951" spans="1:10" s="135" customFormat="1" x14ac:dyDescent="0.2">
      <c r="A951" s="492"/>
      <c r="B951" s="167"/>
      <c r="C951" s="167"/>
      <c r="D951" s="167"/>
      <c r="E951" s="167"/>
      <c r="F951" s="167"/>
      <c r="G951" s="167"/>
      <c r="H951" s="167"/>
      <c r="I951" s="167"/>
      <c r="J951" s="168"/>
    </row>
    <row r="952" spans="1:10" s="135" customFormat="1" x14ac:dyDescent="0.2">
      <c r="A952" s="492"/>
      <c r="B952" s="167"/>
      <c r="C952" s="167"/>
      <c r="D952" s="167"/>
      <c r="E952" s="167"/>
      <c r="F952" s="167"/>
      <c r="G952" s="167"/>
      <c r="H952" s="167"/>
      <c r="I952" s="167"/>
      <c r="J952" s="168"/>
    </row>
    <row r="953" spans="1:10" s="135" customFormat="1" x14ac:dyDescent="0.2">
      <c r="A953" s="492"/>
      <c r="B953" s="167"/>
      <c r="C953" s="167"/>
      <c r="D953" s="167"/>
      <c r="E953" s="167"/>
      <c r="F953" s="167"/>
      <c r="G953" s="167"/>
      <c r="H953" s="167"/>
      <c r="I953" s="167"/>
      <c r="J953" s="168"/>
    </row>
    <row r="954" spans="1:10" s="135" customFormat="1" x14ac:dyDescent="0.2">
      <c r="A954" s="492"/>
      <c r="B954" s="167"/>
      <c r="C954" s="167"/>
      <c r="D954" s="167"/>
      <c r="E954" s="167"/>
      <c r="F954" s="167"/>
      <c r="G954" s="167"/>
      <c r="H954" s="167"/>
      <c r="I954" s="167"/>
      <c r="J954" s="168"/>
    </row>
    <row r="955" spans="1:10" s="135" customFormat="1" x14ac:dyDescent="0.2">
      <c r="A955" s="492"/>
      <c r="B955" s="167"/>
      <c r="C955" s="167"/>
      <c r="D955" s="167"/>
      <c r="E955" s="167"/>
      <c r="F955" s="167"/>
      <c r="G955" s="167"/>
      <c r="H955" s="167"/>
      <c r="I955" s="167"/>
      <c r="J955" s="168"/>
    </row>
    <row r="956" spans="1:10" s="135" customFormat="1" x14ac:dyDescent="0.2">
      <c r="A956" s="492"/>
      <c r="B956" s="167"/>
      <c r="C956" s="167"/>
      <c r="D956" s="167"/>
      <c r="E956" s="167"/>
      <c r="F956" s="167"/>
      <c r="G956" s="167"/>
      <c r="H956" s="167"/>
      <c r="I956" s="167"/>
      <c r="J956" s="168"/>
    </row>
    <row r="957" spans="1:10" s="135" customFormat="1" x14ac:dyDescent="0.2">
      <c r="A957" s="492"/>
      <c r="B957" s="167"/>
      <c r="C957" s="167"/>
      <c r="D957" s="167"/>
      <c r="E957" s="167"/>
      <c r="F957" s="167"/>
      <c r="G957" s="167"/>
      <c r="H957" s="167"/>
      <c r="I957" s="167"/>
      <c r="J957" s="168"/>
    </row>
    <row r="958" spans="1:10" s="135" customFormat="1" x14ac:dyDescent="0.2">
      <c r="A958" s="492"/>
      <c r="B958" s="167"/>
      <c r="C958" s="167"/>
      <c r="D958" s="167"/>
      <c r="E958" s="167"/>
      <c r="F958" s="167"/>
      <c r="G958" s="167"/>
      <c r="H958" s="167"/>
      <c r="I958" s="167"/>
      <c r="J958" s="168"/>
    </row>
    <row r="959" spans="1:10" s="135" customFormat="1" x14ac:dyDescent="0.2">
      <c r="A959" s="492"/>
      <c r="B959" s="167"/>
      <c r="C959" s="167"/>
      <c r="D959" s="167"/>
      <c r="E959" s="167"/>
      <c r="F959" s="167"/>
      <c r="G959" s="167"/>
      <c r="H959" s="167"/>
      <c r="I959" s="167"/>
      <c r="J959" s="168"/>
    </row>
    <row r="960" spans="1:10" s="135" customFormat="1" x14ac:dyDescent="0.2">
      <c r="A960" s="492"/>
      <c r="B960" s="167"/>
      <c r="C960" s="167"/>
      <c r="D960" s="167"/>
      <c r="E960" s="167"/>
      <c r="F960" s="167"/>
      <c r="G960" s="167"/>
      <c r="H960" s="167"/>
      <c r="I960" s="167"/>
      <c r="J960" s="168"/>
    </row>
    <row r="961" spans="1:10" s="135" customFormat="1" x14ac:dyDescent="0.2">
      <c r="A961" s="492"/>
      <c r="B961" s="167"/>
      <c r="C961" s="167"/>
      <c r="D961" s="167"/>
      <c r="E961" s="167"/>
      <c r="F961" s="167"/>
      <c r="G961" s="167"/>
      <c r="H961" s="167"/>
      <c r="I961" s="167"/>
      <c r="J961" s="168"/>
    </row>
    <row r="962" spans="1:10" s="135" customFormat="1" x14ac:dyDescent="0.2">
      <c r="A962" s="492"/>
      <c r="B962" s="167"/>
      <c r="C962" s="167"/>
      <c r="D962" s="167"/>
      <c r="E962" s="167"/>
      <c r="F962" s="167"/>
      <c r="G962" s="167"/>
      <c r="H962" s="167"/>
      <c r="I962" s="167"/>
      <c r="J962" s="168"/>
    </row>
    <row r="963" spans="1:10" s="135" customFormat="1" x14ac:dyDescent="0.2">
      <c r="A963" s="492"/>
      <c r="B963" s="167"/>
      <c r="C963" s="167"/>
      <c r="D963" s="167"/>
      <c r="E963" s="167"/>
      <c r="F963" s="167"/>
      <c r="G963" s="167"/>
      <c r="H963" s="167"/>
      <c r="I963" s="167"/>
      <c r="J963" s="168"/>
    </row>
    <row r="964" spans="1:10" s="135" customFormat="1" x14ac:dyDescent="0.2">
      <c r="A964" s="492"/>
      <c r="B964" s="167"/>
      <c r="C964" s="167"/>
      <c r="D964" s="167"/>
      <c r="E964" s="167"/>
      <c r="F964" s="167"/>
      <c r="G964" s="167"/>
      <c r="H964" s="167"/>
      <c r="I964" s="167"/>
      <c r="J964" s="168"/>
    </row>
    <row r="965" spans="1:10" s="135" customFormat="1" x14ac:dyDescent="0.2">
      <c r="A965" s="492"/>
      <c r="B965" s="167"/>
      <c r="C965" s="167"/>
      <c r="D965" s="167"/>
      <c r="E965" s="167"/>
      <c r="F965" s="167"/>
      <c r="G965" s="167"/>
      <c r="H965" s="167"/>
      <c r="I965" s="167"/>
      <c r="J965" s="168"/>
    </row>
    <row r="966" spans="1:10" s="135" customFormat="1" x14ac:dyDescent="0.2">
      <c r="A966" s="492"/>
      <c r="B966" s="167"/>
      <c r="C966" s="167"/>
      <c r="D966" s="167"/>
      <c r="E966" s="167"/>
      <c r="F966" s="167"/>
      <c r="G966" s="167"/>
      <c r="H966" s="167"/>
      <c r="I966" s="167"/>
      <c r="J966" s="168"/>
    </row>
    <row r="967" spans="1:10" s="135" customFormat="1" x14ac:dyDescent="0.2">
      <c r="A967" s="492"/>
      <c r="B967" s="167"/>
      <c r="C967" s="167"/>
      <c r="D967" s="167"/>
      <c r="E967" s="167"/>
      <c r="F967" s="167"/>
      <c r="G967" s="167"/>
      <c r="H967" s="167"/>
      <c r="I967" s="167"/>
      <c r="J967" s="168"/>
    </row>
    <row r="968" spans="1:10" s="135" customFormat="1" x14ac:dyDescent="0.2">
      <c r="A968" s="492"/>
      <c r="B968" s="167"/>
      <c r="C968" s="167"/>
      <c r="D968" s="167"/>
      <c r="E968" s="167"/>
      <c r="F968" s="167"/>
      <c r="G968" s="167"/>
      <c r="H968" s="167"/>
      <c r="I968" s="167"/>
      <c r="J968" s="168"/>
    </row>
    <row r="969" spans="1:10" s="135" customFormat="1" x14ac:dyDescent="0.2">
      <c r="A969" s="492"/>
      <c r="B969" s="167"/>
      <c r="C969" s="167"/>
      <c r="D969" s="167"/>
      <c r="E969" s="167"/>
      <c r="F969" s="167"/>
      <c r="G969" s="167"/>
      <c r="H969" s="167"/>
      <c r="I969" s="167"/>
      <c r="J969" s="168"/>
    </row>
    <row r="970" spans="1:10" s="135" customFormat="1" x14ac:dyDescent="0.2">
      <c r="A970" s="492"/>
      <c r="B970" s="167"/>
      <c r="C970" s="167"/>
      <c r="D970" s="167"/>
      <c r="E970" s="167"/>
      <c r="F970" s="167"/>
      <c r="G970" s="167"/>
      <c r="H970" s="167"/>
      <c r="I970" s="167"/>
      <c r="J970" s="168"/>
    </row>
    <row r="971" spans="1:10" s="135" customFormat="1" x14ac:dyDescent="0.2">
      <c r="A971" s="492"/>
      <c r="B971" s="167"/>
      <c r="C971" s="167"/>
      <c r="D971" s="167"/>
      <c r="E971" s="167"/>
      <c r="F971" s="167"/>
      <c r="G971" s="167"/>
      <c r="H971" s="167"/>
      <c r="I971" s="167"/>
      <c r="J971" s="168"/>
    </row>
    <row r="972" spans="1:10" s="135" customFormat="1" x14ac:dyDescent="0.2">
      <c r="A972" s="492"/>
      <c r="B972" s="167"/>
      <c r="C972" s="167"/>
      <c r="D972" s="167"/>
      <c r="E972" s="167"/>
      <c r="F972" s="167"/>
      <c r="G972" s="167"/>
      <c r="H972" s="167"/>
      <c r="I972" s="167"/>
      <c r="J972" s="168"/>
    </row>
    <row r="973" spans="1:10" s="135" customFormat="1" x14ac:dyDescent="0.2">
      <c r="A973" s="492"/>
      <c r="B973" s="167"/>
      <c r="C973" s="167"/>
      <c r="D973" s="167"/>
      <c r="E973" s="167"/>
      <c r="F973" s="167"/>
      <c r="G973" s="167"/>
      <c r="H973" s="167"/>
      <c r="I973" s="167"/>
      <c r="J973" s="168"/>
    </row>
    <row r="974" spans="1:10" s="135" customFormat="1" x14ac:dyDescent="0.2">
      <c r="A974" s="492"/>
      <c r="B974" s="167"/>
      <c r="C974" s="167"/>
      <c r="D974" s="167"/>
      <c r="E974" s="167"/>
      <c r="F974" s="167"/>
      <c r="G974" s="167"/>
      <c r="H974" s="167"/>
      <c r="I974" s="167"/>
      <c r="J974" s="168"/>
    </row>
    <row r="975" spans="1:10" s="135" customFormat="1" x14ac:dyDescent="0.2">
      <c r="A975" s="492"/>
      <c r="B975" s="167"/>
      <c r="C975" s="167"/>
      <c r="D975" s="167"/>
      <c r="E975" s="167"/>
      <c r="F975" s="167"/>
      <c r="G975" s="167"/>
      <c r="H975" s="167"/>
      <c r="I975" s="167"/>
      <c r="J975" s="168"/>
    </row>
    <row r="976" spans="1:10" s="135" customFormat="1" x14ac:dyDescent="0.2">
      <c r="A976" s="492"/>
      <c r="B976" s="167"/>
      <c r="C976" s="167"/>
      <c r="D976" s="167"/>
      <c r="E976" s="167"/>
      <c r="F976" s="167"/>
      <c r="G976" s="167"/>
      <c r="H976" s="167"/>
      <c r="I976" s="167"/>
      <c r="J976" s="168"/>
    </row>
    <row r="977" spans="1:10" s="135" customFormat="1" x14ac:dyDescent="0.2">
      <c r="A977" s="492"/>
      <c r="B977" s="167"/>
      <c r="C977" s="167"/>
      <c r="D977" s="167"/>
      <c r="E977" s="167"/>
      <c r="F977" s="167"/>
      <c r="G977" s="167"/>
      <c r="H977" s="167"/>
      <c r="I977" s="167"/>
      <c r="J977" s="168"/>
    </row>
    <row r="978" spans="1:10" s="135" customFormat="1" x14ac:dyDescent="0.2">
      <c r="A978" s="492"/>
      <c r="B978" s="167"/>
      <c r="C978" s="167"/>
      <c r="D978" s="167"/>
      <c r="E978" s="167"/>
      <c r="F978" s="167"/>
      <c r="G978" s="167"/>
      <c r="H978" s="167"/>
      <c r="I978" s="167"/>
      <c r="J978" s="168"/>
    </row>
    <row r="979" spans="1:10" s="135" customFormat="1" x14ac:dyDescent="0.2">
      <c r="A979" s="492"/>
      <c r="B979" s="167"/>
      <c r="C979" s="167"/>
      <c r="D979" s="167"/>
      <c r="E979" s="167"/>
      <c r="F979" s="167"/>
      <c r="G979" s="167"/>
      <c r="H979" s="167"/>
      <c r="I979" s="167"/>
      <c r="J979" s="168"/>
    </row>
    <row r="980" spans="1:10" s="135" customFormat="1" x14ac:dyDescent="0.2">
      <c r="A980" s="492"/>
      <c r="B980" s="167"/>
      <c r="C980" s="167"/>
      <c r="D980" s="167"/>
      <c r="E980" s="167"/>
      <c r="F980" s="167"/>
      <c r="G980" s="167"/>
      <c r="H980" s="167"/>
      <c r="I980" s="167"/>
      <c r="J980" s="168"/>
    </row>
    <row r="981" spans="1:10" s="135" customFormat="1" x14ac:dyDescent="0.2">
      <c r="A981" s="492"/>
      <c r="B981" s="167"/>
      <c r="C981" s="167"/>
      <c r="D981" s="167"/>
      <c r="E981" s="167"/>
      <c r="F981" s="167"/>
      <c r="G981" s="167"/>
      <c r="H981" s="167"/>
      <c r="I981" s="167"/>
      <c r="J981" s="168"/>
    </row>
    <row r="982" spans="1:10" s="135" customFormat="1" x14ac:dyDescent="0.2">
      <c r="A982" s="492"/>
      <c r="B982" s="167"/>
      <c r="C982" s="167"/>
      <c r="D982" s="167"/>
      <c r="E982" s="167"/>
      <c r="F982" s="167"/>
      <c r="G982" s="167"/>
      <c r="H982" s="167"/>
      <c r="I982" s="167"/>
      <c r="J982" s="168"/>
    </row>
    <row r="983" spans="1:10" s="135" customFormat="1" x14ac:dyDescent="0.2">
      <c r="A983" s="492"/>
      <c r="B983" s="167"/>
      <c r="C983" s="167"/>
      <c r="D983" s="167"/>
      <c r="E983" s="167"/>
      <c r="F983" s="167"/>
      <c r="G983" s="167"/>
      <c r="H983" s="167"/>
      <c r="I983" s="167"/>
      <c r="J983" s="168"/>
    </row>
    <row r="984" spans="1:10" s="135" customFormat="1" x14ac:dyDescent="0.2">
      <c r="A984" s="492"/>
      <c r="B984" s="167"/>
      <c r="C984" s="167"/>
      <c r="D984" s="167"/>
      <c r="E984" s="167"/>
      <c r="F984" s="167"/>
      <c r="G984" s="167"/>
      <c r="H984" s="167"/>
      <c r="I984" s="167"/>
      <c r="J984" s="168"/>
    </row>
    <row r="985" spans="1:10" s="135" customFormat="1" x14ac:dyDescent="0.2">
      <c r="A985" s="492"/>
      <c r="B985" s="167"/>
      <c r="C985" s="167"/>
      <c r="D985" s="167"/>
      <c r="E985" s="167"/>
      <c r="F985" s="167"/>
      <c r="G985" s="167"/>
      <c r="H985" s="167"/>
      <c r="I985" s="167"/>
      <c r="J985" s="168"/>
    </row>
    <row r="986" spans="1:10" s="135" customFormat="1" x14ac:dyDescent="0.2">
      <c r="A986" s="492"/>
      <c r="B986" s="167"/>
      <c r="C986" s="167"/>
      <c r="D986" s="167"/>
      <c r="E986" s="167"/>
      <c r="F986" s="167"/>
      <c r="G986" s="167"/>
      <c r="H986" s="167"/>
      <c r="I986" s="167"/>
      <c r="J986" s="168"/>
    </row>
    <row r="987" spans="1:10" s="135" customFormat="1" x14ac:dyDescent="0.2">
      <c r="A987" s="492"/>
      <c r="B987" s="167"/>
      <c r="C987" s="167"/>
      <c r="D987" s="167"/>
      <c r="E987" s="167"/>
      <c r="F987" s="167"/>
      <c r="G987" s="167"/>
      <c r="H987" s="167"/>
      <c r="I987" s="167"/>
      <c r="J987" s="168"/>
    </row>
    <row r="988" spans="1:10" s="135" customFormat="1" x14ac:dyDescent="0.2">
      <c r="A988" s="492"/>
      <c r="B988" s="167"/>
      <c r="C988" s="167"/>
      <c r="D988" s="167"/>
      <c r="E988" s="167"/>
      <c r="F988" s="167"/>
      <c r="G988" s="167"/>
      <c r="H988" s="167"/>
      <c r="I988" s="167"/>
      <c r="J988" s="168"/>
    </row>
    <row r="989" spans="1:10" s="135" customFormat="1" x14ac:dyDescent="0.2">
      <c r="A989" s="492"/>
      <c r="B989" s="167"/>
      <c r="C989" s="167"/>
      <c r="D989" s="167"/>
      <c r="E989" s="167"/>
      <c r="F989" s="167"/>
      <c r="G989" s="167"/>
      <c r="H989" s="167"/>
      <c r="I989" s="167"/>
      <c r="J989" s="168"/>
    </row>
    <row r="990" spans="1:10" s="135" customFormat="1" x14ac:dyDescent="0.2">
      <c r="A990" s="492"/>
      <c r="B990" s="167"/>
      <c r="C990" s="167"/>
      <c r="D990" s="167"/>
      <c r="E990" s="167"/>
      <c r="F990" s="167"/>
      <c r="G990" s="167"/>
      <c r="H990" s="167"/>
      <c r="I990" s="167"/>
      <c r="J990" s="168"/>
    </row>
    <row r="991" spans="1:10" s="135" customFormat="1" x14ac:dyDescent="0.2">
      <c r="A991" s="492"/>
      <c r="B991" s="167"/>
      <c r="C991" s="167"/>
      <c r="D991" s="167"/>
      <c r="E991" s="167"/>
      <c r="F991" s="167"/>
      <c r="G991" s="167"/>
      <c r="H991" s="167"/>
      <c r="I991" s="167"/>
      <c r="J991" s="168"/>
    </row>
    <row r="992" spans="1:10" s="135" customFormat="1" x14ac:dyDescent="0.2">
      <c r="A992" s="492"/>
      <c r="B992" s="167"/>
      <c r="C992" s="167"/>
      <c r="D992" s="167"/>
      <c r="E992" s="167"/>
      <c r="F992" s="167"/>
      <c r="G992" s="167"/>
      <c r="H992" s="167"/>
      <c r="I992" s="167"/>
      <c r="J992" s="168"/>
    </row>
    <row r="993" spans="1:10" s="135" customFormat="1" x14ac:dyDescent="0.2">
      <c r="A993" s="492"/>
      <c r="B993" s="167"/>
      <c r="C993" s="167"/>
      <c r="D993" s="167"/>
      <c r="E993" s="167"/>
      <c r="F993" s="167"/>
      <c r="G993" s="167"/>
      <c r="H993" s="167"/>
      <c r="I993" s="167"/>
      <c r="J993" s="168"/>
    </row>
    <row r="994" spans="1:10" s="135" customFormat="1" x14ac:dyDescent="0.2">
      <c r="A994" s="492"/>
      <c r="B994" s="167"/>
      <c r="C994" s="167"/>
      <c r="D994" s="167"/>
      <c r="E994" s="167"/>
      <c r="F994" s="167"/>
      <c r="G994" s="167"/>
      <c r="H994" s="167"/>
      <c r="I994" s="167"/>
      <c r="J994" s="168"/>
    </row>
    <row r="995" spans="1:10" s="135" customFormat="1" x14ac:dyDescent="0.2">
      <c r="A995" s="492"/>
      <c r="B995" s="167"/>
      <c r="C995" s="167"/>
      <c r="D995" s="167"/>
      <c r="E995" s="167"/>
      <c r="F995" s="167"/>
      <c r="G995" s="167"/>
      <c r="H995" s="167"/>
      <c r="I995" s="167"/>
      <c r="J995" s="168"/>
    </row>
    <row r="996" spans="1:10" s="135" customFormat="1" x14ac:dyDescent="0.2">
      <c r="A996" s="492"/>
      <c r="B996" s="167"/>
      <c r="C996" s="167"/>
      <c r="D996" s="167"/>
      <c r="E996" s="167"/>
      <c r="F996" s="167"/>
      <c r="G996" s="167"/>
      <c r="H996" s="167"/>
      <c r="I996" s="167"/>
      <c r="J996" s="168"/>
    </row>
    <row r="997" spans="1:10" s="135" customFormat="1" x14ac:dyDescent="0.2">
      <c r="A997" s="492"/>
      <c r="B997" s="167"/>
      <c r="C997" s="167"/>
      <c r="D997" s="167"/>
      <c r="E997" s="167"/>
      <c r="F997" s="167"/>
      <c r="G997" s="167"/>
      <c r="H997" s="167"/>
      <c r="I997" s="167"/>
      <c r="J997" s="168"/>
    </row>
    <row r="998" spans="1:10" s="135" customFormat="1" x14ac:dyDescent="0.2">
      <c r="A998" s="492"/>
      <c r="B998" s="167"/>
      <c r="C998" s="167"/>
      <c r="D998" s="167"/>
      <c r="E998" s="167"/>
      <c r="F998" s="167"/>
      <c r="G998" s="167"/>
      <c r="H998" s="167"/>
      <c r="I998" s="167"/>
      <c r="J998" s="168"/>
    </row>
    <row r="999" spans="1:10" s="135" customFormat="1" x14ac:dyDescent="0.2">
      <c r="A999" s="492"/>
      <c r="B999" s="167"/>
      <c r="C999" s="167"/>
      <c r="D999" s="167"/>
      <c r="E999" s="167"/>
      <c r="F999" s="167"/>
      <c r="G999" s="167"/>
      <c r="H999" s="167"/>
      <c r="I999" s="167"/>
      <c r="J999" s="168"/>
    </row>
    <row r="1000" spans="1:10" s="135" customFormat="1" x14ac:dyDescent="0.2">
      <c r="A1000" s="492"/>
      <c r="B1000" s="167"/>
      <c r="C1000" s="167"/>
      <c r="D1000" s="167"/>
      <c r="E1000" s="167"/>
      <c r="F1000" s="167"/>
      <c r="G1000" s="167"/>
      <c r="H1000" s="167"/>
      <c r="I1000" s="167"/>
      <c r="J1000" s="168"/>
    </row>
    <row r="1001" spans="1:10" s="135" customFormat="1" x14ac:dyDescent="0.2">
      <c r="A1001" s="492"/>
      <c r="B1001" s="167"/>
      <c r="C1001" s="167"/>
      <c r="D1001" s="167"/>
      <c r="E1001" s="167"/>
      <c r="F1001" s="167"/>
      <c r="G1001" s="167"/>
      <c r="H1001" s="167"/>
      <c r="I1001" s="167"/>
      <c r="J1001" s="168"/>
    </row>
    <row r="1002" spans="1:10" s="135" customFormat="1" x14ac:dyDescent="0.2">
      <c r="A1002" s="492"/>
      <c r="B1002" s="167"/>
      <c r="C1002" s="167"/>
      <c r="D1002" s="167"/>
      <c r="E1002" s="167"/>
      <c r="F1002" s="167"/>
      <c r="G1002" s="167"/>
      <c r="H1002" s="167"/>
      <c r="I1002" s="167"/>
      <c r="J1002" s="168"/>
    </row>
    <row r="1003" spans="1:10" s="135" customFormat="1" x14ac:dyDescent="0.2">
      <c r="A1003" s="492"/>
      <c r="B1003" s="167"/>
      <c r="C1003" s="167"/>
      <c r="D1003" s="167"/>
      <c r="E1003" s="167"/>
      <c r="F1003" s="167"/>
      <c r="G1003" s="167"/>
      <c r="H1003" s="167"/>
      <c r="I1003" s="167"/>
      <c r="J1003" s="168"/>
    </row>
    <row r="1004" spans="1:10" s="135" customFormat="1" x14ac:dyDescent="0.2">
      <c r="A1004" s="492"/>
      <c r="B1004" s="167"/>
      <c r="C1004" s="167"/>
      <c r="D1004" s="167"/>
      <c r="E1004" s="167"/>
      <c r="F1004" s="167"/>
      <c r="G1004" s="167"/>
      <c r="H1004" s="167"/>
      <c r="I1004" s="167"/>
      <c r="J1004" s="168"/>
    </row>
    <row r="1005" spans="1:10" s="135" customFormat="1" x14ac:dyDescent="0.2">
      <c r="A1005" s="492"/>
      <c r="B1005" s="167"/>
      <c r="C1005" s="167"/>
      <c r="D1005" s="167"/>
      <c r="E1005" s="167"/>
      <c r="F1005" s="167"/>
      <c r="G1005" s="167"/>
      <c r="H1005" s="167"/>
      <c r="I1005" s="167"/>
      <c r="J1005" s="168"/>
    </row>
  </sheetData>
  <phoneticPr fontId="122" type="noConversion"/>
  <conditionalFormatting sqref="J8:J178">
    <cfRule type="cellIs" dxfId="76" priority="1" operator="lessThan">
      <formula>0</formula>
    </cfRule>
    <cfRule type="cellIs" dxfId="75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DC51-90E7-477A-8EC8-6E61B3F807BD}">
  <sheetPr>
    <tabColor theme="3" tint="-0.499984740745262"/>
  </sheetPr>
  <dimension ref="A1:XEU513"/>
  <sheetViews>
    <sheetView zoomScaleNormal="100" workbookViewId="0">
      <selection activeCell="J11" sqref="J11"/>
    </sheetView>
  </sheetViews>
  <sheetFormatPr defaultColWidth="0" defaultRowHeight="15" x14ac:dyDescent="0.2"/>
  <cols>
    <col min="1" max="1" width="2.41796875" style="304" customWidth="1"/>
    <col min="2" max="2" width="5.91796875" style="304" bestFit="1" customWidth="1"/>
    <col min="3" max="3" width="13.1796875" style="304" bestFit="1" customWidth="1"/>
    <col min="4" max="4" width="9.68359375" style="304" bestFit="1" customWidth="1"/>
    <col min="5" max="5" width="9.01171875" style="304" bestFit="1" customWidth="1"/>
    <col min="6" max="6" width="7.3984375" style="304" bestFit="1" customWidth="1"/>
    <col min="7" max="7" width="6.45703125" style="304" bestFit="1" customWidth="1"/>
    <col min="8" max="8" width="8.7421875" style="304" bestFit="1" customWidth="1"/>
    <col min="9" max="9" width="10.22265625" style="304" bestFit="1" customWidth="1"/>
    <col min="10" max="10" width="9.14453125" style="304" bestFit="1" customWidth="1"/>
    <col min="11" max="11" width="8.33984375" style="304" bestFit="1" customWidth="1"/>
    <col min="12" max="12" width="7.6640625" style="304" bestFit="1" customWidth="1"/>
    <col min="13" max="13" width="3.09375" style="304" customWidth="1"/>
    <col min="14" max="14" width="18.6953125" style="304" bestFit="1" customWidth="1"/>
    <col min="15" max="15" width="9.68359375" style="304" bestFit="1" customWidth="1"/>
    <col min="16" max="16" width="2.41796875" style="304" customWidth="1"/>
    <col min="17" max="17" width="4.9765625" style="303" bestFit="1" customWidth="1"/>
    <col min="18" max="22" width="2.5546875" style="303" bestFit="1" customWidth="1"/>
    <col min="23" max="23" width="2.015625" style="303" bestFit="1" customWidth="1"/>
    <col min="24" max="24" width="2.15234375" style="303" bestFit="1" customWidth="1"/>
    <col min="25" max="26" width="2.5546875" style="303" bestFit="1" customWidth="1"/>
    <col min="27" max="38" width="2.95703125" style="303" bestFit="1" customWidth="1"/>
    <col min="39" max="54" width="2.95703125" style="304" bestFit="1" customWidth="1"/>
    <col min="55" max="55" width="5.37890625" style="304" bestFit="1" customWidth="1"/>
    <col min="56" max="299" width="0" style="304" hidden="1" customWidth="1"/>
    <col min="300" max="15126" width="11.43359375" style="304" hidden="1"/>
    <col min="15127" max="16375" width="0" style="304" hidden="1"/>
    <col min="16376" max="16384" width="11.8359375" style="304" hidden="1"/>
  </cols>
  <sheetData>
    <row r="1" spans="1:56" x14ac:dyDescent="0.2">
      <c r="A1" s="302"/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</row>
    <row r="2" spans="1:56" ht="28.5" customHeight="1" x14ac:dyDescent="0.2">
      <c r="A2" s="302"/>
      <c r="B2" s="207"/>
      <c r="C2" s="690" t="s">
        <v>142</v>
      </c>
      <c r="D2" s="690"/>
      <c r="E2" s="690"/>
      <c r="F2" s="690"/>
      <c r="G2" s="690"/>
      <c r="H2" s="690"/>
      <c r="I2" s="690"/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Z2" s="690"/>
      <c r="AA2" s="690"/>
      <c r="AB2" s="690"/>
      <c r="AC2" s="690"/>
      <c r="AD2" s="690"/>
      <c r="AE2" s="690"/>
      <c r="AF2" s="690"/>
      <c r="AG2" s="690"/>
      <c r="AH2" s="690"/>
      <c r="AI2" s="690"/>
      <c r="AJ2" s="690"/>
      <c r="AK2" s="690"/>
      <c r="AL2" s="690"/>
      <c r="AM2" s="690"/>
      <c r="AN2" s="690"/>
      <c r="AO2" s="690"/>
      <c r="AP2" s="690"/>
      <c r="AQ2" s="690"/>
      <c r="AR2" s="690"/>
      <c r="AS2" s="690"/>
      <c r="AT2" s="690"/>
      <c r="AU2" s="690"/>
      <c r="AV2" s="690"/>
      <c r="AW2" s="690"/>
      <c r="AX2" s="690"/>
      <c r="AY2" s="690"/>
      <c r="AZ2" s="690"/>
      <c r="BA2" s="690"/>
      <c r="BB2" s="690"/>
      <c r="BC2" s="303"/>
      <c r="BD2" s="303"/>
    </row>
    <row r="3" spans="1:56" ht="18.75" customHeight="1" x14ac:dyDescent="0.2">
      <c r="A3" s="302"/>
      <c r="B3" s="207"/>
      <c r="C3" s="690"/>
      <c r="D3" s="690"/>
      <c r="E3" s="690"/>
      <c r="F3" s="690"/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  <c r="AB3" s="690"/>
      <c r="AC3" s="690"/>
      <c r="AD3" s="690"/>
      <c r="AE3" s="690"/>
      <c r="AF3" s="690"/>
      <c r="AG3" s="690"/>
      <c r="AH3" s="690"/>
      <c r="AI3" s="690"/>
      <c r="AJ3" s="690"/>
      <c r="AK3" s="690"/>
      <c r="AL3" s="690"/>
      <c r="AM3" s="690"/>
      <c r="AN3" s="690"/>
      <c r="AO3" s="690"/>
      <c r="AP3" s="690"/>
      <c r="AQ3" s="690"/>
      <c r="AR3" s="690"/>
      <c r="AS3" s="690"/>
      <c r="AT3" s="690"/>
      <c r="AU3" s="690"/>
      <c r="AV3" s="690"/>
      <c r="AW3" s="690"/>
      <c r="AX3" s="690"/>
      <c r="AY3" s="690"/>
      <c r="AZ3" s="690"/>
      <c r="BA3" s="690"/>
      <c r="BB3" s="690"/>
      <c r="BC3" s="303"/>
      <c r="BD3" s="303"/>
    </row>
    <row r="4" spans="1:56" x14ac:dyDescent="0.2">
      <c r="A4" s="302"/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5"/>
      <c r="N4" s="305"/>
      <c r="O4" s="305"/>
      <c r="P4" s="303"/>
      <c r="AM4" s="303"/>
      <c r="AN4" s="303"/>
      <c r="AO4" s="303"/>
      <c r="AP4" s="303"/>
      <c r="AQ4" s="303"/>
      <c r="AR4" s="303"/>
      <c r="AS4" s="303"/>
      <c r="AT4" s="303"/>
      <c r="AU4" s="303"/>
      <c r="AV4" s="303"/>
      <c r="AW4" s="303"/>
      <c r="AX4" s="303"/>
      <c r="AY4" s="303"/>
      <c r="AZ4" s="303"/>
      <c r="BA4" s="303"/>
      <c r="BB4" s="303"/>
      <c r="BC4" s="303"/>
      <c r="BD4" s="303"/>
    </row>
    <row r="5" spans="1:56" x14ac:dyDescent="0.2">
      <c r="A5" s="302"/>
      <c r="B5" s="302"/>
      <c r="C5" s="560" t="s">
        <v>3</v>
      </c>
      <c r="D5" s="561">
        <f>+J45+J20</f>
        <v>13955.07</v>
      </c>
      <c r="E5" s="561"/>
      <c r="F5" s="302"/>
      <c r="G5" s="302"/>
      <c r="H5" s="302"/>
      <c r="I5" s="302"/>
      <c r="J5" s="302"/>
      <c r="K5" s="302"/>
      <c r="L5" s="302"/>
      <c r="M5" s="305"/>
      <c r="N5" s="558"/>
      <c r="O5" s="558"/>
      <c r="P5" s="303"/>
      <c r="AM5" s="303"/>
      <c r="AN5" s="303"/>
      <c r="AO5" s="303"/>
      <c r="AP5" s="303"/>
      <c r="AQ5" s="303"/>
      <c r="AR5" s="303"/>
      <c r="AS5" s="303"/>
      <c r="AT5" s="303"/>
      <c r="AU5" s="303"/>
      <c r="AV5" s="303"/>
      <c r="AW5" s="303"/>
      <c r="AX5" s="303"/>
      <c r="AY5" s="303"/>
      <c r="AZ5" s="303"/>
      <c r="BA5" s="303"/>
      <c r="BB5" s="303"/>
      <c r="BC5" s="303"/>
      <c r="BD5" s="303"/>
    </row>
    <row r="6" spans="1:56" ht="15.75" thickBot="1" x14ac:dyDescent="0.25">
      <c r="A6" s="302"/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7"/>
      <c r="N6" s="558"/>
      <c r="O6" s="558"/>
      <c r="P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</row>
    <row r="7" spans="1:56" ht="16.5" thickBot="1" x14ac:dyDescent="0.25">
      <c r="A7" s="302"/>
      <c r="B7" s="208"/>
      <c r="C7" s="208"/>
      <c r="D7" s="563" t="s">
        <v>5</v>
      </c>
      <c r="E7" s="563" t="s">
        <v>6</v>
      </c>
      <c r="F7" s="564" t="s">
        <v>49</v>
      </c>
      <c r="G7" s="564"/>
      <c r="H7" s="563" t="s">
        <v>7</v>
      </c>
      <c r="I7" s="563" t="s">
        <v>8</v>
      </c>
      <c r="J7" s="563" t="s">
        <v>9</v>
      </c>
      <c r="K7" s="565" t="s">
        <v>10</v>
      </c>
      <c r="L7" s="565"/>
      <c r="M7" s="308"/>
      <c r="N7" s="558"/>
      <c r="O7" s="558"/>
      <c r="P7" s="303"/>
      <c r="Q7" s="655">
        <v>2026</v>
      </c>
      <c r="R7" s="656"/>
      <c r="S7" s="656"/>
      <c r="T7" s="656"/>
      <c r="U7" s="656"/>
      <c r="V7" s="656"/>
      <c r="W7" s="656"/>
      <c r="X7" s="656"/>
      <c r="Y7" s="656"/>
      <c r="Z7" s="656"/>
      <c r="AA7" s="656"/>
      <c r="AB7" s="656"/>
      <c r="AC7" s="656"/>
      <c r="AD7" s="656"/>
      <c r="AE7" s="656"/>
      <c r="AF7" s="656"/>
      <c r="AG7" s="656"/>
      <c r="AH7" s="656"/>
      <c r="AI7" s="656"/>
      <c r="AJ7" s="656"/>
      <c r="AK7" s="656"/>
      <c r="AL7" s="656"/>
      <c r="AM7" s="656"/>
      <c r="AN7" s="656"/>
      <c r="AO7" s="656"/>
      <c r="AP7" s="656"/>
      <c r="AQ7" s="656"/>
      <c r="AR7" s="656"/>
      <c r="AS7" s="656"/>
      <c r="AT7" s="656"/>
      <c r="AU7" s="656"/>
      <c r="AV7" s="656"/>
      <c r="AW7" s="656"/>
      <c r="AX7" s="656"/>
      <c r="AY7" s="656"/>
      <c r="AZ7" s="656"/>
      <c r="BA7" s="656"/>
      <c r="BB7" s="657"/>
      <c r="BC7" s="303"/>
      <c r="BD7" s="303"/>
    </row>
    <row r="8" spans="1:56" ht="19.5" customHeight="1" x14ac:dyDescent="0.2">
      <c r="A8" s="302"/>
      <c r="B8" s="691">
        <v>2026</v>
      </c>
      <c r="C8" s="562">
        <v>45658</v>
      </c>
      <c r="D8" s="472">
        <v>2166.6666666666665</v>
      </c>
      <c r="E8" s="473">
        <f t="shared" ref="E8:E19" si="0">(D8+G8)*4.85/100</f>
        <v>105.08333333333331</v>
      </c>
      <c r="F8" s="473">
        <f>(D8+G8)*0.0165</f>
        <v>35.75</v>
      </c>
      <c r="G8" s="473"/>
      <c r="H8" s="473">
        <f t="shared" ref="H8:H19" si="1">D8*$N$14</f>
        <v>281.66666666666663</v>
      </c>
      <c r="I8" s="566">
        <f t="shared" ref="I8:I11" si="2">D8-E8-H8-F8</f>
        <v>1744.1666666666665</v>
      </c>
      <c r="J8" s="215">
        <v>1744.17</v>
      </c>
      <c r="K8" s="216" t="str">
        <f t="shared" ref="K8:K15" si="3">IF(ISBLANK(J8)," ",IF(ABS(J8-I8)&lt;0.01,"Correcto ",IF(J8-I8&lt;0,"Faltan","Sobran")))</f>
        <v xml:space="preserve">Correcto </v>
      </c>
      <c r="L8" s="217" t="str">
        <f t="shared" ref="L8:L15" si="4">IF(ISBLANK(J8)," ",IF(ABS(J8-I8)&lt;0.01," ",J8-I8))</f>
        <v xml:space="preserve"> </v>
      </c>
      <c r="M8" s="313"/>
      <c r="N8" s="559"/>
      <c r="O8" s="558"/>
      <c r="P8" s="303"/>
      <c r="Q8" s="658"/>
      <c r="R8" s="581" t="s">
        <v>42</v>
      </c>
      <c r="S8" s="581" t="s">
        <v>43</v>
      </c>
      <c r="T8" s="581" t="s">
        <v>44</v>
      </c>
      <c r="U8" s="581" t="s">
        <v>45</v>
      </c>
      <c r="V8" s="581" t="s">
        <v>46</v>
      </c>
      <c r="W8" s="581" t="s">
        <v>47</v>
      </c>
      <c r="X8" s="581" t="s">
        <v>48</v>
      </c>
      <c r="Y8" s="581" t="s">
        <v>42</v>
      </c>
      <c r="Z8" s="581" t="s">
        <v>43</v>
      </c>
      <c r="AA8" s="581" t="s">
        <v>44</v>
      </c>
      <c r="AB8" s="581" t="s">
        <v>45</v>
      </c>
      <c r="AC8" s="581" t="s">
        <v>46</v>
      </c>
      <c r="AD8" s="581" t="s">
        <v>47</v>
      </c>
      <c r="AE8" s="581" t="s">
        <v>48</v>
      </c>
      <c r="AF8" s="581" t="s">
        <v>42</v>
      </c>
      <c r="AG8" s="581" t="s">
        <v>43</v>
      </c>
      <c r="AH8" s="581" t="s">
        <v>44</v>
      </c>
      <c r="AI8" s="581" t="s">
        <v>45</v>
      </c>
      <c r="AJ8" s="581" t="s">
        <v>46</v>
      </c>
      <c r="AK8" s="581" t="s">
        <v>47</v>
      </c>
      <c r="AL8" s="581" t="s">
        <v>48</v>
      </c>
      <c r="AM8" s="581" t="s">
        <v>42</v>
      </c>
      <c r="AN8" s="581" t="s">
        <v>43</v>
      </c>
      <c r="AO8" s="581" t="s">
        <v>44</v>
      </c>
      <c r="AP8" s="581" t="s">
        <v>45</v>
      </c>
      <c r="AQ8" s="581" t="s">
        <v>46</v>
      </c>
      <c r="AR8" s="581" t="s">
        <v>47</v>
      </c>
      <c r="AS8" s="581" t="s">
        <v>48</v>
      </c>
      <c r="AT8" s="581" t="s">
        <v>42</v>
      </c>
      <c r="AU8" s="581" t="s">
        <v>43</v>
      </c>
      <c r="AV8" s="581" t="s">
        <v>44</v>
      </c>
      <c r="AW8" s="581" t="s">
        <v>45</v>
      </c>
      <c r="AX8" s="581" t="s">
        <v>46</v>
      </c>
      <c r="AY8" s="581" t="s">
        <v>47</v>
      </c>
      <c r="AZ8" s="581" t="s">
        <v>48</v>
      </c>
      <c r="BA8" s="581" t="s">
        <v>42</v>
      </c>
      <c r="BB8" s="659" t="s">
        <v>43</v>
      </c>
      <c r="BC8" s="303"/>
      <c r="BD8" s="303"/>
    </row>
    <row r="9" spans="1:56" x14ac:dyDescent="0.2">
      <c r="A9" s="302"/>
      <c r="B9" s="691"/>
      <c r="C9" s="562">
        <v>45689</v>
      </c>
      <c r="D9" s="472">
        <v>2166.6666666666665</v>
      </c>
      <c r="E9" s="473">
        <f t="shared" si="0"/>
        <v>105.08333333333331</v>
      </c>
      <c r="F9" s="473">
        <f t="shared" ref="F9:F19" si="5">(D9+G9)*0.0165</f>
        <v>35.75</v>
      </c>
      <c r="G9" s="473"/>
      <c r="H9" s="473">
        <f t="shared" si="1"/>
        <v>281.66666666666663</v>
      </c>
      <c r="I9" s="566">
        <f t="shared" si="2"/>
        <v>1744.1666666666665</v>
      </c>
      <c r="J9" s="215">
        <v>1744.17</v>
      </c>
      <c r="K9" s="216" t="str">
        <f t="shared" si="3"/>
        <v xml:space="preserve">Correcto </v>
      </c>
      <c r="L9" s="217" t="str">
        <f t="shared" si="4"/>
        <v xml:space="preserve"> </v>
      </c>
      <c r="M9" s="313"/>
      <c r="N9" s="314"/>
      <c r="O9" s="314"/>
      <c r="P9" s="303"/>
      <c r="Q9" s="660" t="s">
        <v>50</v>
      </c>
      <c r="R9" s="530"/>
      <c r="S9" s="530"/>
      <c r="T9" s="530"/>
      <c r="U9" s="531">
        <v>1</v>
      </c>
      <c r="V9" s="667">
        <v>2</v>
      </c>
      <c r="W9" s="575">
        <v>3</v>
      </c>
      <c r="X9" s="575">
        <v>4</v>
      </c>
      <c r="Y9" s="667">
        <v>5</v>
      </c>
      <c r="Z9" s="531">
        <v>6</v>
      </c>
      <c r="AA9" s="530">
        <v>7</v>
      </c>
      <c r="AB9" s="530">
        <v>8</v>
      </c>
      <c r="AC9" s="667">
        <v>9</v>
      </c>
      <c r="AD9" s="575">
        <v>10</v>
      </c>
      <c r="AE9" s="575">
        <v>11</v>
      </c>
      <c r="AF9" s="530">
        <v>12</v>
      </c>
      <c r="AG9" s="530">
        <v>13</v>
      </c>
      <c r="AH9" s="530">
        <v>14</v>
      </c>
      <c r="AI9" s="530">
        <v>15</v>
      </c>
      <c r="AJ9" s="667">
        <v>16</v>
      </c>
      <c r="AK9" s="575">
        <v>17</v>
      </c>
      <c r="AL9" s="575">
        <v>18</v>
      </c>
      <c r="AM9" s="530">
        <v>19</v>
      </c>
      <c r="AN9" s="530">
        <v>20</v>
      </c>
      <c r="AO9" s="530">
        <v>21</v>
      </c>
      <c r="AP9" s="530">
        <v>22</v>
      </c>
      <c r="AQ9" s="667">
        <v>23</v>
      </c>
      <c r="AR9" s="575">
        <v>24</v>
      </c>
      <c r="AS9" s="575">
        <v>25</v>
      </c>
      <c r="AT9" s="530">
        <v>26</v>
      </c>
      <c r="AU9" s="530">
        <v>27</v>
      </c>
      <c r="AV9" s="530">
        <v>28</v>
      </c>
      <c r="AW9" s="530">
        <v>29</v>
      </c>
      <c r="AX9" s="667">
        <v>30</v>
      </c>
      <c r="AY9" s="575">
        <v>31</v>
      </c>
      <c r="AZ9" s="575"/>
      <c r="BA9" s="530"/>
      <c r="BB9" s="661"/>
      <c r="BC9" s="303"/>
      <c r="BD9" s="303"/>
    </row>
    <row r="10" spans="1:56" x14ac:dyDescent="0.2">
      <c r="A10" s="302"/>
      <c r="B10" s="691"/>
      <c r="C10" s="562">
        <v>45717</v>
      </c>
      <c r="D10" s="472">
        <v>2166.6666666666665</v>
      </c>
      <c r="E10" s="473">
        <f t="shared" si="0"/>
        <v>105.08333333333331</v>
      </c>
      <c r="F10" s="473">
        <f t="shared" si="5"/>
        <v>35.75</v>
      </c>
      <c r="G10" s="473"/>
      <c r="H10" s="473">
        <f t="shared" si="1"/>
        <v>281.66666666666663</v>
      </c>
      <c r="I10" s="566">
        <f t="shared" si="2"/>
        <v>1744.1666666666665</v>
      </c>
      <c r="J10" s="215">
        <v>1744.17</v>
      </c>
      <c r="K10" s="216" t="str">
        <f t="shared" si="3"/>
        <v xml:space="preserve">Correcto </v>
      </c>
      <c r="L10" s="217" t="str">
        <f t="shared" si="4"/>
        <v xml:space="preserve"> </v>
      </c>
      <c r="M10" s="313"/>
      <c r="N10" s="314"/>
      <c r="O10" s="317"/>
      <c r="P10" s="303"/>
      <c r="Q10" s="660" t="s">
        <v>51</v>
      </c>
      <c r="R10" s="530"/>
      <c r="S10" s="530"/>
      <c r="T10" s="530"/>
      <c r="U10" s="530"/>
      <c r="V10" s="530"/>
      <c r="W10" s="575"/>
      <c r="X10" s="575">
        <v>1</v>
      </c>
      <c r="Y10" s="530">
        <v>2</v>
      </c>
      <c r="Z10" s="530">
        <v>3</v>
      </c>
      <c r="AA10" s="530">
        <v>4</v>
      </c>
      <c r="AB10" s="530">
        <v>5</v>
      </c>
      <c r="AC10" s="667">
        <v>6</v>
      </c>
      <c r="AD10" s="575">
        <v>7</v>
      </c>
      <c r="AE10" s="575">
        <v>8</v>
      </c>
      <c r="AF10" s="530">
        <v>9</v>
      </c>
      <c r="AG10" s="530">
        <v>10</v>
      </c>
      <c r="AH10" s="530">
        <v>11</v>
      </c>
      <c r="AI10" s="530">
        <v>12</v>
      </c>
      <c r="AJ10" s="667">
        <v>13</v>
      </c>
      <c r="AK10" s="575">
        <v>14</v>
      </c>
      <c r="AL10" s="575">
        <v>15</v>
      </c>
      <c r="AM10" s="530">
        <v>16</v>
      </c>
      <c r="AN10" s="530">
        <v>17</v>
      </c>
      <c r="AO10" s="530">
        <v>18</v>
      </c>
      <c r="AP10" s="530">
        <v>19</v>
      </c>
      <c r="AQ10" s="667">
        <v>20</v>
      </c>
      <c r="AR10" s="575">
        <v>21</v>
      </c>
      <c r="AS10" s="575">
        <v>22</v>
      </c>
      <c r="AT10" s="530">
        <v>23</v>
      </c>
      <c r="AU10" s="530">
        <v>24</v>
      </c>
      <c r="AV10" s="530">
        <v>25</v>
      </c>
      <c r="AW10" s="530">
        <v>26</v>
      </c>
      <c r="AX10" s="667">
        <v>27</v>
      </c>
      <c r="AY10" s="575">
        <v>28</v>
      </c>
      <c r="AZ10" s="575"/>
      <c r="BA10" s="530"/>
      <c r="BB10" s="661"/>
      <c r="BC10" s="303"/>
      <c r="BD10" s="303"/>
    </row>
    <row r="11" spans="1:56" x14ac:dyDescent="0.2">
      <c r="A11" s="302"/>
      <c r="B11" s="691"/>
      <c r="C11" s="562">
        <v>45748</v>
      </c>
      <c r="D11" s="472">
        <v>2166.6666666666665</v>
      </c>
      <c r="E11" s="473">
        <f t="shared" si="0"/>
        <v>105.08333333333331</v>
      </c>
      <c r="F11" s="473">
        <f t="shared" si="5"/>
        <v>35.75</v>
      </c>
      <c r="G11" s="473"/>
      <c r="H11" s="473">
        <f t="shared" si="1"/>
        <v>281.66666666666663</v>
      </c>
      <c r="I11" s="566">
        <f t="shared" si="2"/>
        <v>1744.1666666666665</v>
      </c>
      <c r="J11" s="215">
        <v>1744.17</v>
      </c>
      <c r="K11" s="216" t="str">
        <f t="shared" si="3"/>
        <v xml:space="preserve">Correcto </v>
      </c>
      <c r="L11" s="217" t="str">
        <f t="shared" si="4"/>
        <v xml:space="preserve"> </v>
      </c>
      <c r="M11" s="319"/>
      <c r="N11" s="571" t="s">
        <v>138</v>
      </c>
      <c r="O11" s="231">
        <f>SUM(D8:D19)</f>
        <v>25999.996190476195</v>
      </c>
      <c r="P11" s="232"/>
      <c r="Q11" s="660" t="s">
        <v>52</v>
      </c>
      <c r="R11" s="530"/>
      <c r="S11" s="530"/>
      <c r="T11" s="530"/>
      <c r="U11" s="530"/>
      <c r="V11" s="530"/>
      <c r="W11" s="575"/>
      <c r="X11" s="575">
        <v>1</v>
      </c>
      <c r="Y11" s="530">
        <v>2</v>
      </c>
      <c r="Z11" s="530">
        <v>3</v>
      </c>
      <c r="AA11" s="530">
        <v>4</v>
      </c>
      <c r="AB11" s="530">
        <v>5</v>
      </c>
      <c r="AC11" s="667">
        <v>6</v>
      </c>
      <c r="AD11" s="575">
        <v>7</v>
      </c>
      <c r="AE11" s="575">
        <v>8</v>
      </c>
      <c r="AF11" s="530">
        <v>9</v>
      </c>
      <c r="AG11" s="530">
        <v>10</v>
      </c>
      <c r="AH11" s="530">
        <v>11</v>
      </c>
      <c r="AI11" s="530">
        <v>12</v>
      </c>
      <c r="AJ11" s="667">
        <v>13</v>
      </c>
      <c r="AK11" s="575">
        <v>14</v>
      </c>
      <c r="AL11" s="575">
        <v>15</v>
      </c>
      <c r="AM11" s="530">
        <v>16</v>
      </c>
      <c r="AN11" s="530">
        <v>17</v>
      </c>
      <c r="AO11" s="667">
        <v>18</v>
      </c>
      <c r="AP11" s="531">
        <v>19</v>
      </c>
      <c r="AQ11" s="667">
        <v>20</v>
      </c>
      <c r="AR11" s="575">
        <v>21</v>
      </c>
      <c r="AS11" s="575">
        <v>22</v>
      </c>
      <c r="AT11" s="530">
        <v>23</v>
      </c>
      <c r="AU11" s="530">
        <v>24</v>
      </c>
      <c r="AV11" s="530">
        <v>25</v>
      </c>
      <c r="AW11" s="530">
        <v>26</v>
      </c>
      <c r="AX11" s="667">
        <v>27</v>
      </c>
      <c r="AY11" s="575">
        <v>28</v>
      </c>
      <c r="AZ11" s="575">
        <v>29</v>
      </c>
      <c r="BA11" s="530">
        <v>30</v>
      </c>
      <c r="BB11" s="661">
        <v>31</v>
      </c>
      <c r="BC11" s="303"/>
      <c r="BD11" s="303"/>
    </row>
    <row r="12" spans="1:56" x14ac:dyDescent="0.2">
      <c r="A12" s="302"/>
      <c r="B12" s="691"/>
      <c r="C12" s="562">
        <v>45778</v>
      </c>
      <c r="D12" s="472">
        <v>2166.6666666666665</v>
      </c>
      <c r="E12" s="473">
        <f t="shared" si="0"/>
        <v>105.08333333333331</v>
      </c>
      <c r="F12" s="473">
        <f t="shared" si="5"/>
        <v>35.75</v>
      </c>
      <c r="G12" s="473"/>
      <c r="H12" s="473">
        <f t="shared" si="1"/>
        <v>281.66666666666663</v>
      </c>
      <c r="I12" s="566">
        <f>D12-E12-H12-F12-G12</f>
        <v>1744.1666666666665</v>
      </c>
      <c r="J12" s="215"/>
      <c r="K12" s="216" t="str">
        <f t="shared" si="3"/>
        <v xml:space="preserve"> </v>
      </c>
      <c r="L12" s="217" t="str">
        <f t="shared" si="4"/>
        <v xml:space="preserve"> </v>
      </c>
      <c r="M12" s="233"/>
      <c r="N12" s="572" t="s">
        <v>13</v>
      </c>
      <c r="O12" s="235">
        <f>SUM(E8:F19)</f>
        <v>1689.9997523809518</v>
      </c>
      <c r="P12" s="236"/>
      <c r="Q12" s="660" t="s">
        <v>53</v>
      </c>
      <c r="R12" s="530"/>
      <c r="S12" s="530"/>
      <c r="T12" s="667">
        <v>1</v>
      </c>
      <c r="U12" s="531">
        <v>2</v>
      </c>
      <c r="V12" s="531">
        <v>3</v>
      </c>
      <c r="W12" s="575">
        <v>4</v>
      </c>
      <c r="X12" s="575">
        <v>5</v>
      </c>
      <c r="Y12" s="531">
        <v>6</v>
      </c>
      <c r="Z12" s="530">
        <v>7</v>
      </c>
      <c r="AA12" s="530">
        <v>8</v>
      </c>
      <c r="AB12" s="530">
        <v>9</v>
      </c>
      <c r="AC12" s="667">
        <v>10</v>
      </c>
      <c r="AD12" s="575">
        <v>11</v>
      </c>
      <c r="AE12" s="575">
        <v>12</v>
      </c>
      <c r="AF12" s="530">
        <v>13</v>
      </c>
      <c r="AG12" s="530">
        <v>14</v>
      </c>
      <c r="AH12" s="530">
        <v>15</v>
      </c>
      <c r="AI12" s="530">
        <v>16</v>
      </c>
      <c r="AJ12" s="667">
        <v>17</v>
      </c>
      <c r="AK12" s="575">
        <v>18</v>
      </c>
      <c r="AL12" s="575">
        <v>19</v>
      </c>
      <c r="AM12" s="530">
        <v>20</v>
      </c>
      <c r="AN12" s="530">
        <v>21</v>
      </c>
      <c r="AO12" s="530">
        <v>22</v>
      </c>
      <c r="AP12" s="530">
        <v>23</v>
      </c>
      <c r="AQ12" s="667">
        <v>24</v>
      </c>
      <c r="AR12" s="575">
        <v>25</v>
      </c>
      <c r="AS12" s="575">
        <v>26</v>
      </c>
      <c r="AT12" s="667">
        <v>27</v>
      </c>
      <c r="AU12" s="531">
        <v>28</v>
      </c>
      <c r="AV12" s="667">
        <v>29</v>
      </c>
      <c r="AW12" s="667">
        <v>30</v>
      </c>
      <c r="AX12" s="530"/>
      <c r="AY12" s="575"/>
      <c r="AZ12" s="575"/>
      <c r="BA12" s="530"/>
      <c r="BB12" s="661"/>
      <c r="BC12" s="303"/>
      <c r="BD12" s="303"/>
    </row>
    <row r="13" spans="1:56" x14ac:dyDescent="0.2">
      <c r="A13" s="302"/>
      <c r="B13" s="691"/>
      <c r="C13" s="562">
        <v>45809</v>
      </c>
      <c r="D13" s="472">
        <v>2166.6666666666665</v>
      </c>
      <c r="E13" s="473">
        <f t="shared" si="0"/>
        <v>105.08333333333331</v>
      </c>
      <c r="F13" s="473">
        <f t="shared" si="5"/>
        <v>35.75</v>
      </c>
      <c r="G13" s="473"/>
      <c r="H13" s="473">
        <f t="shared" si="1"/>
        <v>281.66666666666663</v>
      </c>
      <c r="I13" s="566">
        <f t="shared" ref="I13:I19" si="6">D13-E13-H13-F13-G13</f>
        <v>1744.1666666666665</v>
      </c>
      <c r="J13" s="215"/>
      <c r="K13" s="216" t="str">
        <f t="shared" si="3"/>
        <v xml:space="preserve"> </v>
      </c>
      <c r="L13" s="217" t="str">
        <f t="shared" si="4"/>
        <v xml:space="preserve"> </v>
      </c>
      <c r="M13" s="233"/>
      <c r="N13" s="573" t="s">
        <v>7</v>
      </c>
      <c r="O13" s="235">
        <f>SUM(H8:H19)</f>
        <v>3379.9995047619041</v>
      </c>
      <c r="P13" s="238"/>
      <c r="Q13" s="660" t="s">
        <v>54</v>
      </c>
      <c r="R13" s="530"/>
      <c r="S13" s="530"/>
      <c r="T13" s="530"/>
      <c r="U13" s="530"/>
      <c r="V13" s="531">
        <v>1</v>
      </c>
      <c r="W13" s="575">
        <v>2</v>
      </c>
      <c r="X13" s="575">
        <v>3</v>
      </c>
      <c r="Y13" s="530">
        <v>4</v>
      </c>
      <c r="Z13" s="530">
        <v>5</v>
      </c>
      <c r="AA13" s="530">
        <v>6</v>
      </c>
      <c r="AB13" s="530">
        <v>7</v>
      </c>
      <c r="AC13" s="667">
        <v>8</v>
      </c>
      <c r="AD13" s="575">
        <v>9</v>
      </c>
      <c r="AE13" s="575">
        <v>10</v>
      </c>
      <c r="AF13" s="530">
        <v>11</v>
      </c>
      <c r="AG13" s="530">
        <v>12</v>
      </c>
      <c r="AH13" s="530">
        <v>13</v>
      </c>
      <c r="AI13" s="530">
        <v>14</v>
      </c>
      <c r="AJ13" s="667">
        <v>15</v>
      </c>
      <c r="AK13" s="575">
        <v>16</v>
      </c>
      <c r="AL13" s="575">
        <v>17</v>
      </c>
      <c r="AM13" s="530">
        <v>18</v>
      </c>
      <c r="AN13" s="530">
        <v>19</v>
      </c>
      <c r="AO13" s="530">
        <v>20</v>
      </c>
      <c r="AP13" s="530">
        <v>21</v>
      </c>
      <c r="AQ13" s="667">
        <v>22</v>
      </c>
      <c r="AR13" s="575">
        <v>23</v>
      </c>
      <c r="AS13" s="575">
        <v>24</v>
      </c>
      <c r="AT13" s="530">
        <v>25</v>
      </c>
      <c r="AU13" s="530">
        <v>26</v>
      </c>
      <c r="AV13" s="530">
        <v>27</v>
      </c>
      <c r="AW13" s="530">
        <v>28</v>
      </c>
      <c r="AX13" s="667">
        <v>29</v>
      </c>
      <c r="AY13" s="575">
        <v>30</v>
      </c>
      <c r="AZ13" s="575">
        <v>31</v>
      </c>
      <c r="BA13" s="530"/>
      <c r="BB13" s="661"/>
      <c r="BC13" s="303"/>
      <c r="BD13" s="303"/>
    </row>
    <row r="14" spans="1:56" x14ac:dyDescent="0.2">
      <c r="A14" s="302"/>
      <c r="B14" s="691"/>
      <c r="C14" s="562">
        <v>45839</v>
      </c>
      <c r="D14" s="472">
        <v>2166.6666666666665</v>
      </c>
      <c r="E14" s="473">
        <f t="shared" si="0"/>
        <v>105.08333333333331</v>
      </c>
      <c r="F14" s="473">
        <f t="shared" si="5"/>
        <v>35.75</v>
      </c>
      <c r="G14" s="473"/>
      <c r="H14" s="473">
        <f t="shared" si="1"/>
        <v>281.66666666666663</v>
      </c>
      <c r="I14" s="566">
        <f t="shared" si="6"/>
        <v>1744.1666666666665</v>
      </c>
      <c r="J14" s="215"/>
      <c r="K14" s="216" t="str">
        <f t="shared" si="3"/>
        <v xml:space="preserve"> </v>
      </c>
      <c r="L14" s="217" t="str">
        <f t="shared" si="4"/>
        <v xml:space="preserve"> </v>
      </c>
      <c r="M14" s="232"/>
      <c r="N14" s="574">
        <v>0.13</v>
      </c>
      <c r="O14" s="303"/>
      <c r="P14" s="238"/>
      <c r="Q14" s="660" t="s">
        <v>55</v>
      </c>
      <c r="R14" s="667">
        <v>1</v>
      </c>
      <c r="S14" s="667">
        <v>2</v>
      </c>
      <c r="T14" s="667">
        <v>3</v>
      </c>
      <c r="U14" s="667">
        <v>4</v>
      </c>
      <c r="V14" s="667">
        <v>5</v>
      </c>
      <c r="W14" s="575">
        <v>6</v>
      </c>
      <c r="X14" s="575">
        <v>7</v>
      </c>
      <c r="Y14" s="667">
        <v>8</v>
      </c>
      <c r="Z14" s="667">
        <v>9</v>
      </c>
      <c r="AA14" s="667">
        <v>10</v>
      </c>
      <c r="AB14" s="667">
        <v>11</v>
      </c>
      <c r="AC14" s="667">
        <v>12</v>
      </c>
      <c r="AD14" s="575">
        <v>13</v>
      </c>
      <c r="AE14" s="575">
        <v>14</v>
      </c>
      <c r="AF14" s="667">
        <v>15</v>
      </c>
      <c r="AG14" s="667">
        <v>16</v>
      </c>
      <c r="AH14" s="667">
        <v>17</v>
      </c>
      <c r="AI14" s="667">
        <v>18</v>
      </c>
      <c r="AJ14" s="667">
        <v>19</v>
      </c>
      <c r="AK14" s="575">
        <v>20</v>
      </c>
      <c r="AL14" s="575">
        <v>21</v>
      </c>
      <c r="AM14" s="667">
        <v>22</v>
      </c>
      <c r="AN14" s="667">
        <v>23</v>
      </c>
      <c r="AO14" s="667">
        <v>24</v>
      </c>
      <c r="AP14" s="667">
        <v>25</v>
      </c>
      <c r="AQ14" s="667">
        <v>26</v>
      </c>
      <c r="AR14" s="575">
        <v>27</v>
      </c>
      <c r="AS14" s="575">
        <v>28</v>
      </c>
      <c r="AT14" s="678">
        <v>29</v>
      </c>
      <c r="AU14" s="678">
        <v>30</v>
      </c>
      <c r="AV14" s="530"/>
      <c r="AW14" s="530"/>
      <c r="AX14" s="530"/>
      <c r="AY14" s="575"/>
      <c r="AZ14" s="575"/>
      <c r="BA14" s="530"/>
      <c r="BB14" s="661"/>
      <c r="BC14" s="558"/>
      <c r="BD14" s="303"/>
    </row>
    <row r="15" spans="1:56" ht="15.75" thickBot="1" x14ac:dyDescent="0.25">
      <c r="A15" s="302"/>
      <c r="B15" s="691"/>
      <c r="C15" s="562">
        <v>45870</v>
      </c>
      <c r="D15" s="472">
        <v>2166.6666666666665</v>
      </c>
      <c r="E15" s="473">
        <f t="shared" si="0"/>
        <v>105.08333333333331</v>
      </c>
      <c r="F15" s="473">
        <f t="shared" si="5"/>
        <v>35.75</v>
      </c>
      <c r="G15" s="473"/>
      <c r="H15" s="473">
        <f t="shared" si="1"/>
        <v>281.66666666666663</v>
      </c>
      <c r="I15" s="566">
        <f t="shared" si="6"/>
        <v>1744.1666666666665</v>
      </c>
      <c r="J15" s="215"/>
      <c r="K15" s="216" t="str">
        <f t="shared" si="3"/>
        <v xml:space="preserve"> </v>
      </c>
      <c r="L15" s="217" t="str">
        <f t="shared" si="4"/>
        <v xml:space="preserve"> </v>
      </c>
      <c r="M15" s="303"/>
      <c r="N15" s="303"/>
      <c r="O15" s="303"/>
      <c r="P15" s="238"/>
      <c r="Q15" s="660" t="s">
        <v>56</v>
      </c>
      <c r="R15" s="530"/>
      <c r="S15" s="530"/>
      <c r="T15" s="678">
        <v>1</v>
      </c>
      <c r="U15" s="678">
        <v>2</v>
      </c>
      <c r="V15" s="667">
        <v>3</v>
      </c>
      <c r="W15" s="575">
        <v>4</v>
      </c>
      <c r="X15" s="575">
        <v>5</v>
      </c>
      <c r="Y15" s="667">
        <v>6</v>
      </c>
      <c r="Z15" s="667">
        <v>7</v>
      </c>
      <c r="AA15" s="667">
        <v>8</v>
      </c>
      <c r="AB15" s="667">
        <v>9</v>
      </c>
      <c r="AC15" s="667">
        <v>10</v>
      </c>
      <c r="AD15" s="575">
        <v>11</v>
      </c>
      <c r="AE15" s="575">
        <v>12</v>
      </c>
      <c r="AF15" s="667">
        <v>13</v>
      </c>
      <c r="AG15" s="667">
        <v>14</v>
      </c>
      <c r="AH15" s="667">
        <v>15</v>
      </c>
      <c r="AI15" s="667">
        <v>16</v>
      </c>
      <c r="AJ15" s="667">
        <v>17</v>
      </c>
      <c r="AK15" s="575">
        <v>18</v>
      </c>
      <c r="AL15" s="575">
        <v>19</v>
      </c>
      <c r="AM15" s="667">
        <v>20</v>
      </c>
      <c r="AN15" s="667">
        <v>21</v>
      </c>
      <c r="AO15" s="667">
        <v>22</v>
      </c>
      <c r="AP15" s="667">
        <v>23</v>
      </c>
      <c r="AQ15" s="667">
        <v>24</v>
      </c>
      <c r="AR15" s="575">
        <v>25</v>
      </c>
      <c r="AS15" s="575">
        <v>26</v>
      </c>
      <c r="AT15" s="667">
        <v>27</v>
      </c>
      <c r="AU15" s="667">
        <v>28</v>
      </c>
      <c r="AV15" s="667">
        <v>29</v>
      </c>
      <c r="AW15" s="667">
        <v>30</v>
      </c>
      <c r="AX15" s="667">
        <v>31</v>
      </c>
      <c r="AY15" s="575"/>
      <c r="AZ15" s="575"/>
      <c r="BA15" s="530"/>
      <c r="BB15" s="661"/>
      <c r="BC15" s="558"/>
      <c r="BD15" s="303"/>
    </row>
    <row r="16" spans="1:56" x14ac:dyDescent="0.2">
      <c r="A16" s="302"/>
      <c r="B16" s="691"/>
      <c r="C16" s="562">
        <v>45901</v>
      </c>
      <c r="D16" s="472">
        <f>1857.14285714286+309.52</f>
        <v>2166.66285714286</v>
      </c>
      <c r="E16" s="473">
        <f t="shared" si="0"/>
        <v>105.08314857142869</v>
      </c>
      <c r="F16" s="473">
        <f t="shared" si="5"/>
        <v>35.749937142857192</v>
      </c>
      <c r="G16" s="473"/>
      <c r="H16" s="473">
        <f t="shared" si="1"/>
        <v>281.66617142857183</v>
      </c>
      <c r="I16" s="566">
        <f t="shared" si="6"/>
        <v>1744.1636000000021</v>
      </c>
      <c r="J16" s="215"/>
      <c r="K16" s="216" t="str">
        <f t="shared" ref="K16:K19" si="7">IF(ISBLANK(J16)," ",IF(ABS(J16-I16)&lt;0.01,"Correcto ",IF(J16-I16&lt;0,"Faltan","Sobran")))</f>
        <v xml:space="preserve"> </v>
      </c>
      <c r="L16" s="217" t="str">
        <f t="shared" ref="L16:L19" si="8">IF(ISBLANK(J16)," ",IF(ABS(J16-I16)&lt;0.01," ",J16-I16))</f>
        <v xml:space="preserve"> </v>
      </c>
      <c r="M16" s="303"/>
      <c r="N16" s="590" t="s">
        <v>69</v>
      </c>
      <c r="O16" s="591" t="s">
        <v>163</v>
      </c>
      <c r="P16" s="303"/>
      <c r="Q16" s="660" t="s">
        <v>57</v>
      </c>
      <c r="R16" s="530"/>
      <c r="S16" s="530"/>
      <c r="T16" s="530"/>
      <c r="U16" s="530"/>
      <c r="V16" s="530"/>
      <c r="W16" s="575">
        <v>1</v>
      </c>
      <c r="X16" s="575">
        <v>2</v>
      </c>
      <c r="Y16" s="667">
        <v>3</v>
      </c>
      <c r="Z16" s="667">
        <v>4</v>
      </c>
      <c r="AA16" s="531">
        <v>5</v>
      </c>
      <c r="AB16" s="678">
        <v>6</v>
      </c>
      <c r="AC16" s="678">
        <v>7</v>
      </c>
      <c r="AD16" s="575">
        <v>8</v>
      </c>
      <c r="AE16" s="575">
        <v>9</v>
      </c>
      <c r="AF16" s="678">
        <v>10</v>
      </c>
      <c r="AG16" s="678">
        <v>11</v>
      </c>
      <c r="AH16" s="678">
        <v>12</v>
      </c>
      <c r="AI16" s="678">
        <v>13</v>
      </c>
      <c r="AJ16" s="678">
        <v>14</v>
      </c>
      <c r="AK16" s="575">
        <v>15</v>
      </c>
      <c r="AL16" s="575">
        <v>16</v>
      </c>
      <c r="AM16" s="678">
        <v>17</v>
      </c>
      <c r="AN16" s="678">
        <v>18</v>
      </c>
      <c r="AO16" s="678">
        <v>19</v>
      </c>
      <c r="AP16" s="678">
        <v>20</v>
      </c>
      <c r="AQ16" s="678">
        <v>21</v>
      </c>
      <c r="AR16" s="575">
        <v>22</v>
      </c>
      <c r="AS16" s="575">
        <v>23</v>
      </c>
      <c r="AT16" s="667">
        <v>24</v>
      </c>
      <c r="AU16" s="667">
        <v>25</v>
      </c>
      <c r="AV16" s="667">
        <v>26</v>
      </c>
      <c r="AW16" s="667">
        <v>27</v>
      </c>
      <c r="AX16" s="667">
        <v>28</v>
      </c>
      <c r="AY16" s="575">
        <v>29</v>
      </c>
      <c r="AZ16" s="575">
        <v>30</v>
      </c>
      <c r="BA16" s="530">
        <v>31</v>
      </c>
      <c r="BB16" s="661"/>
      <c r="BC16" s="558"/>
      <c r="BD16" s="303"/>
    </row>
    <row r="17" spans="1:56" x14ac:dyDescent="0.2">
      <c r="A17" s="302"/>
      <c r="B17" s="691"/>
      <c r="C17" s="562">
        <v>45931</v>
      </c>
      <c r="D17" s="472">
        <v>2166.6666666666665</v>
      </c>
      <c r="E17" s="473">
        <f t="shared" si="0"/>
        <v>105.08333333333331</v>
      </c>
      <c r="F17" s="473">
        <f t="shared" si="5"/>
        <v>35.75</v>
      </c>
      <c r="G17" s="473"/>
      <c r="H17" s="473">
        <f t="shared" si="1"/>
        <v>281.66666666666663</v>
      </c>
      <c r="I17" s="566">
        <f t="shared" si="6"/>
        <v>1744.1666666666665</v>
      </c>
      <c r="J17" s="215"/>
      <c r="K17" s="216" t="str">
        <f t="shared" si="7"/>
        <v xml:space="preserve"> </v>
      </c>
      <c r="L17" s="217" t="str">
        <f t="shared" si="8"/>
        <v xml:space="preserve"> </v>
      </c>
      <c r="M17" s="303"/>
      <c r="N17" s="592" t="s">
        <v>161</v>
      </c>
      <c r="O17" s="593">
        <v>4</v>
      </c>
      <c r="P17" s="303"/>
      <c r="Q17" s="660" t="s">
        <v>58</v>
      </c>
      <c r="R17" s="530"/>
      <c r="S17" s="667">
        <v>1</v>
      </c>
      <c r="T17" s="667">
        <v>2</v>
      </c>
      <c r="U17" s="667">
        <v>3</v>
      </c>
      <c r="V17" s="667">
        <v>4</v>
      </c>
      <c r="W17" s="575">
        <v>5</v>
      </c>
      <c r="X17" s="575">
        <v>6</v>
      </c>
      <c r="Y17" s="678">
        <v>7</v>
      </c>
      <c r="Z17" s="678">
        <v>8</v>
      </c>
      <c r="AA17" s="678">
        <v>9</v>
      </c>
      <c r="AB17" s="678">
        <v>10</v>
      </c>
      <c r="AC17" s="678">
        <v>11</v>
      </c>
      <c r="AD17" s="575">
        <v>12</v>
      </c>
      <c r="AE17" s="575">
        <v>13</v>
      </c>
      <c r="AF17" s="678">
        <v>14</v>
      </c>
      <c r="AG17" s="667">
        <v>15</v>
      </c>
      <c r="AH17" s="667">
        <v>16</v>
      </c>
      <c r="AI17" s="667">
        <v>17</v>
      </c>
      <c r="AJ17" s="667">
        <v>18</v>
      </c>
      <c r="AK17" s="575">
        <v>19</v>
      </c>
      <c r="AL17" s="575">
        <v>20</v>
      </c>
      <c r="AM17" s="667">
        <v>21</v>
      </c>
      <c r="AN17" s="667">
        <v>22</v>
      </c>
      <c r="AO17" s="667">
        <v>23</v>
      </c>
      <c r="AP17" s="667">
        <v>24</v>
      </c>
      <c r="AQ17" s="667">
        <v>25</v>
      </c>
      <c r="AR17" s="575">
        <v>26</v>
      </c>
      <c r="AS17" s="575">
        <v>27</v>
      </c>
      <c r="AT17" s="667">
        <v>28</v>
      </c>
      <c r="AU17" s="667">
        <v>29</v>
      </c>
      <c r="AV17" s="667">
        <v>30</v>
      </c>
      <c r="AW17" s="530"/>
      <c r="AX17" s="530"/>
      <c r="AY17" s="575"/>
      <c r="AZ17" s="575"/>
      <c r="BA17" s="530"/>
      <c r="BB17" s="661"/>
      <c r="BC17" s="558"/>
      <c r="BD17" s="303"/>
    </row>
    <row r="18" spans="1:56" x14ac:dyDescent="0.2">
      <c r="A18" s="302"/>
      <c r="B18" s="691"/>
      <c r="C18" s="562">
        <v>45962</v>
      </c>
      <c r="D18" s="472">
        <v>2166.6666666666665</v>
      </c>
      <c r="E18" s="473">
        <f t="shared" si="0"/>
        <v>105.08333333333331</v>
      </c>
      <c r="F18" s="473">
        <f t="shared" si="5"/>
        <v>35.75</v>
      </c>
      <c r="G18" s="473"/>
      <c r="H18" s="473">
        <f t="shared" si="1"/>
        <v>281.66666666666663</v>
      </c>
      <c r="I18" s="566">
        <f t="shared" si="6"/>
        <v>1744.1666666666665</v>
      </c>
      <c r="J18" s="215"/>
      <c r="K18" s="216" t="str">
        <f t="shared" si="7"/>
        <v xml:space="preserve"> </v>
      </c>
      <c r="L18" s="217" t="str">
        <f t="shared" si="8"/>
        <v xml:space="preserve"> </v>
      </c>
      <c r="M18" s="303"/>
      <c r="N18" s="594" t="s">
        <v>162</v>
      </c>
      <c r="O18" s="593">
        <v>12</v>
      </c>
      <c r="P18" s="303"/>
      <c r="Q18" s="660" t="s">
        <v>59</v>
      </c>
      <c r="R18" s="530"/>
      <c r="S18" s="530"/>
      <c r="T18" s="530"/>
      <c r="U18" s="530">
        <v>1</v>
      </c>
      <c r="V18" s="667">
        <v>2</v>
      </c>
      <c r="W18" s="575">
        <v>3</v>
      </c>
      <c r="X18" s="575">
        <v>4</v>
      </c>
      <c r="Y18" s="530">
        <v>5</v>
      </c>
      <c r="Z18" s="530">
        <v>6</v>
      </c>
      <c r="AA18" s="530">
        <v>7</v>
      </c>
      <c r="AB18" s="530">
        <v>8</v>
      </c>
      <c r="AC18" s="667">
        <v>9</v>
      </c>
      <c r="AD18" s="575">
        <v>10</v>
      </c>
      <c r="AE18" s="575">
        <v>11</v>
      </c>
      <c r="AF18" s="531">
        <v>12</v>
      </c>
      <c r="AG18" s="530">
        <v>13</v>
      </c>
      <c r="AH18" s="530">
        <v>14</v>
      </c>
      <c r="AI18" s="530">
        <v>15</v>
      </c>
      <c r="AJ18" s="667">
        <v>16</v>
      </c>
      <c r="AK18" s="575">
        <v>17</v>
      </c>
      <c r="AL18" s="575">
        <v>18</v>
      </c>
      <c r="AM18" s="530">
        <v>19</v>
      </c>
      <c r="AN18" s="530">
        <v>20</v>
      </c>
      <c r="AO18" s="530">
        <v>21</v>
      </c>
      <c r="AP18" s="530">
        <v>22</v>
      </c>
      <c r="AQ18" s="667">
        <v>23</v>
      </c>
      <c r="AR18" s="575">
        <v>24</v>
      </c>
      <c r="AS18" s="575">
        <v>25</v>
      </c>
      <c r="AT18" s="530">
        <v>26</v>
      </c>
      <c r="AU18" s="530">
        <v>27</v>
      </c>
      <c r="AV18" s="530">
        <v>28</v>
      </c>
      <c r="AW18" s="530">
        <v>29</v>
      </c>
      <c r="AX18" s="667">
        <v>30</v>
      </c>
      <c r="AY18" s="575">
        <v>31</v>
      </c>
      <c r="AZ18" s="575"/>
      <c r="BA18" s="530"/>
      <c r="BB18" s="661"/>
      <c r="BC18" s="558"/>
      <c r="BD18" s="303"/>
    </row>
    <row r="19" spans="1:56" x14ac:dyDescent="0.2">
      <c r="A19" s="302"/>
      <c r="B19" s="691"/>
      <c r="C19" s="562">
        <v>45992</v>
      </c>
      <c r="D19" s="472">
        <v>2166.6666666666665</v>
      </c>
      <c r="E19" s="473">
        <f t="shared" si="0"/>
        <v>105.08333333333331</v>
      </c>
      <c r="F19" s="473">
        <f t="shared" si="5"/>
        <v>35.75</v>
      </c>
      <c r="G19" s="473"/>
      <c r="H19" s="473">
        <f t="shared" si="1"/>
        <v>281.66666666666663</v>
      </c>
      <c r="I19" s="566">
        <f t="shared" si="6"/>
        <v>1744.1666666666665</v>
      </c>
      <c r="J19" s="215"/>
      <c r="K19" s="216" t="str">
        <f t="shared" si="7"/>
        <v xml:space="preserve"> </v>
      </c>
      <c r="L19" s="217" t="str">
        <f t="shared" si="8"/>
        <v xml:space="preserve"> </v>
      </c>
      <c r="M19" s="303"/>
      <c r="N19" s="594" t="s">
        <v>160</v>
      </c>
      <c r="O19" s="593">
        <v>6</v>
      </c>
      <c r="P19" s="303"/>
      <c r="Q19" s="660" t="s">
        <v>60</v>
      </c>
      <c r="R19" s="530"/>
      <c r="S19" s="530"/>
      <c r="T19" s="530"/>
      <c r="U19" s="530"/>
      <c r="V19" s="530"/>
      <c r="W19" s="575"/>
      <c r="X19" s="575">
        <v>1</v>
      </c>
      <c r="Y19" s="530">
        <v>2</v>
      </c>
      <c r="Z19" s="530">
        <v>3</v>
      </c>
      <c r="AA19" s="530">
        <v>4</v>
      </c>
      <c r="AB19" s="530">
        <v>5</v>
      </c>
      <c r="AC19" s="667">
        <v>6</v>
      </c>
      <c r="AD19" s="575">
        <v>7</v>
      </c>
      <c r="AE19" s="575">
        <v>8</v>
      </c>
      <c r="AF19" s="530">
        <v>9</v>
      </c>
      <c r="AG19" s="530">
        <v>10</v>
      </c>
      <c r="AH19" s="530">
        <v>11</v>
      </c>
      <c r="AI19" s="530">
        <v>12</v>
      </c>
      <c r="AJ19" s="667">
        <v>13</v>
      </c>
      <c r="AK19" s="575">
        <v>14</v>
      </c>
      <c r="AL19" s="575">
        <v>15</v>
      </c>
      <c r="AM19" s="530">
        <v>16</v>
      </c>
      <c r="AN19" s="530">
        <v>17</v>
      </c>
      <c r="AO19" s="530">
        <v>18</v>
      </c>
      <c r="AP19" s="530">
        <v>19</v>
      </c>
      <c r="AQ19" s="667">
        <v>20</v>
      </c>
      <c r="AR19" s="575">
        <v>21</v>
      </c>
      <c r="AS19" s="575">
        <v>22</v>
      </c>
      <c r="AT19" s="530">
        <v>23</v>
      </c>
      <c r="AU19" s="530">
        <v>24</v>
      </c>
      <c r="AV19" s="530">
        <v>25</v>
      </c>
      <c r="AW19" s="530">
        <v>26</v>
      </c>
      <c r="AX19" s="667">
        <v>27</v>
      </c>
      <c r="AY19" s="575">
        <v>28</v>
      </c>
      <c r="AZ19" s="575">
        <v>29</v>
      </c>
      <c r="BA19" s="530">
        <v>30</v>
      </c>
      <c r="BB19" s="661"/>
      <c r="BC19" s="558"/>
      <c r="BD19" s="303"/>
    </row>
    <row r="20" spans="1:56" ht="15.75" thickBot="1" x14ac:dyDescent="0.25">
      <c r="A20" s="302"/>
      <c r="B20" s="303"/>
      <c r="C20" s="303"/>
      <c r="D20" s="568">
        <f t="shared" ref="D20:J20" si="9">SUM(D8:D19)</f>
        <v>25999.996190476195</v>
      </c>
      <c r="E20" s="568">
        <f t="shared" si="9"/>
        <v>1260.9998152380947</v>
      </c>
      <c r="F20" s="569">
        <f t="shared" si="9"/>
        <v>428.99993714285722</v>
      </c>
      <c r="G20" s="569">
        <f t="shared" si="9"/>
        <v>0</v>
      </c>
      <c r="H20" s="569">
        <f t="shared" si="9"/>
        <v>3379.9995047619041</v>
      </c>
      <c r="I20" s="567">
        <f t="shared" si="9"/>
        <v>20929.996933333336</v>
      </c>
      <c r="J20" s="567">
        <f t="shared" si="9"/>
        <v>6976.68</v>
      </c>
      <c r="K20" s="692"/>
      <c r="L20" s="692"/>
      <c r="M20" s="303"/>
      <c r="N20" s="598" t="s">
        <v>141</v>
      </c>
      <c r="O20" s="596">
        <f>SUM(O17:O19)</f>
        <v>22</v>
      </c>
      <c r="P20" s="238"/>
      <c r="Q20" s="662" t="s">
        <v>61</v>
      </c>
      <c r="R20" s="663"/>
      <c r="S20" s="663">
        <v>1</v>
      </c>
      <c r="T20" s="663">
        <v>2</v>
      </c>
      <c r="U20" s="663">
        <v>3</v>
      </c>
      <c r="V20" s="668">
        <v>4</v>
      </c>
      <c r="W20" s="664">
        <v>5</v>
      </c>
      <c r="X20" s="664">
        <v>6</v>
      </c>
      <c r="Y20" s="668">
        <v>7</v>
      </c>
      <c r="Z20" s="666">
        <v>8</v>
      </c>
      <c r="AA20" s="663">
        <v>9</v>
      </c>
      <c r="AB20" s="663">
        <v>10</v>
      </c>
      <c r="AC20" s="668">
        <v>11</v>
      </c>
      <c r="AD20" s="664">
        <v>12</v>
      </c>
      <c r="AE20" s="664">
        <v>13</v>
      </c>
      <c r="AF20" s="663">
        <v>14</v>
      </c>
      <c r="AG20" s="663">
        <v>15</v>
      </c>
      <c r="AH20" s="663">
        <v>16</v>
      </c>
      <c r="AI20" s="663">
        <v>17</v>
      </c>
      <c r="AJ20" s="668">
        <v>18</v>
      </c>
      <c r="AK20" s="664">
        <v>19</v>
      </c>
      <c r="AL20" s="664">
        <v>20</v>
      </c>
      <c r="AM20" s="663">
        <v>21</v>
      </c>
      <c r="AN20" s="663">
        <v>22</v>
      </c>
      <c r="AO20" s="663">
        <v>23</v>
      </c>
      <c r="AP20" s="666">
        <v>24</v>
      </c>
      <c r="AQ20" s="666">
        <v>25</v>
      </c>
      <c r="AR20" s="664">
        <v>26</v>
      </c>
      <c r="AS20" s="664">
        <v>27</v>
      </c>
      <c r="AT20" s="668">
        <v>28</v>
      </c>
      <c r="AU20" s="668">
        <v>29</v>
      </c>
      <c r="AV20" s="668">
        <v>30</v>
      </c>
      <c r="AW20" s="666">
        <v>31</v>
      </c>
      <c r="AX20" s="663"/>
      <c r="AY20" s="664"/>
      <c r="AZ20" s="664"/>
      <c r="BA20" s="663"/>
      <c r="BB20" s="665"/>
      <c r="BC20" s="558"/>
      <c r="BD20" s="303"/>
    </row>
    <row r="21" spans="1:56" ht="15.75" thickBot="1" x14ac:dyDescent="0.25">
      <c r="A21" s="302"/>
      <c r="B21" s="303"/>
      <c r="C21" s="303"/>
      <c r="D21" s="570">
        <f>D20-E20-H20-F20-G20</f>
        <v>20929.996933333339</v>
      </c>
      <c r="E21" s="570"/>
      <c r="F21" s="570"/>
      <c r="G21" s="570"/>
      <c r="H21" s="570"/>
      <c r="I21" s="255"/>
      <c r="J21" s="255"/>
      <c r="K21" s="255"/>
      <c r="L21" s="255"/>
      <c r="M21" s="303"/>
      <c r="N21" s="599" t="str">
        <f>+IF(O20&lt;O15,"Por coger",IF(O20&gt;O15,"Del año que viene"," "))</f>
        <v>Del año que viene</v>
      </c>
      <c r="O21" s="597"/>
      <c r="P21" s="23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58"/>
      <c r="AB21" s="558"/>
      <c r="AC21" s="558"/>
      <c r="AD21" s="558"/>
      <c r="AE21" s="558"/>
      <c r="AF21" s="558"/>
      <c r="AG21" s="558"/>
      <c r="AH21" s="558"/>
      <c r="AI21" s="558"/>
      <c r="AJ21" s="558"/>
      <c r="AK21" s="558"/>
      <c r="AL21" s="558"/>
      <c r="AM21" s="558"/>
      <c r="AN21" s="558"/>
      <c r="AO21" s="558"/>
      <c r="AP21" s="558"/>
      <c r="AQ21" s="558"/>
      <c r="AR21" s="558"/>
      <c r="AS21" s="558"/>
      <c r="AT21" s="558"/>
      <c r="AU21" s="558"/>
      <c r="AV21" s="558"/>
      <c r="AW21" s="558"/>
      <c r="AX21" s="558"/>
      <c r="AY21" s="558"/>
      <c r="AZ21" s="558"/>
      <c r="BA21" s="558"/>
      <c r="BB21" s="558"/>
      <c r="BC21" s="558"/>
      <c r="BD21" s="303"/>
    </row>
    <row r="22" spans="1:56" x14ac:dyDescent="0.2">
      <c r="A22" s="302"/>
      <c r="B22" s="303"/>
      <c r="C22" s="303"/>
      <c r="D22" s="303"/>
      <c r="E22" s="303"/>
      <c r="F22" s="303"/>
      <c r="G22" s="303"/>
      <c r="H22" s="303"/>
      <c r="I22" s="342"/>
      <c r="J22" s="303"/>
      <c r="K22" s="303"/>
      <c r="L22" s="303"/>
      <c r="M22" s="303"/>
      <c r="N22" s="323"/>
      <c r="O22" s="470"/>
      <c r="P22" s="238"/>
      <c r="Q22" s="558"/>
      <c r="R22" s="558"/>
      <c r="S22" s="558"/>
      <c r="T22" s="558"/>
      <c r="U22" s="558"/>
      <c r="V22" s="558"/>
      <c r="W22" s="558"/>
      <c r="X22" s="558"/>
      <c r="Y22" s="558"/>
      <c r="Z22" s="558"/>
      <c r="AA22" s="558"/>
      <c r="AB22" s="558"/>
      <c r="AC22" s="558"/>
      <c r="AD22" s="558"/>
      <c r="AE22" s="558"/>
      <c r="AF22" s="558"/>
      <c r="AG22" s="558"/>
      <c r="AH22" s="558"/>
      <c r="AI22" s="558"/>
      <c r="AJ22" s="558"/>
      <c r="AK22" s="558"/>
      <c r="AL22" s="558"/>
      <c r="AM22" s="558"/>
      <c r="AN22" s="558"/>
      <c r="AO22" s="558"/>
      <c r="AP22" s="558"/>
      <c r="AQ22" s="558"/>
      <c r="AR22" s="558"/>
      <c r="AS22" s="558"/>
      <c r="AT22" s="558"/>
      <c r="AU22" s="558"/>
      <c r="AV22" s="558"/>
      <c r="AW22" s="558"/>
      <c r="AX22" s="558"/>
      <c r="AY22" s="558"/>
      <c r="AZ22" s="558"/>
      <c r="BA22" s="558"/>
      <c r="BB22" s="558"/>
      <c r="BC22" s="558"/>
      <c r="BD22" s="303"/>
    </row>
    <row r="23" spans="1:56" x14ac:dyDescent="0.2">
      <c r="A23" s="302"/>
      <c r="B23" s="303"/>
      <c r="C23" s="303"/>
      <c r="D23" s="303"/>
      <c r="E23" s="303"/>
      <c r="F23" s="303"/>
      <c r="G23" s="303"/>
      <c r="H23" s="303"/>
      <c r="I23" s="303"/>
      <c r="J23" s="303"/>
      <c r="K23" s="303"/>
      <c r="L23" s="303"/>
      <c r="M23" s="303"/>
      <c r="N23" s="323"/>
      <c r="O23" s="303"/>
      <c r="P23" s="303"/>
      <c r="Q23" s="558"/>
      <c r="R23" s="558"/>
      <c r="S23" s="558"/>
      <c r="T23" s="558"/>
      <c r="U23" s="558"/>
      <c r="V23" s="558"/>
      <c r="W23" s="558"/>
      <c r="X23" s="558"/>
      <c r="Y23" s="558"/>
      <c r="Z23" s="558"/>
      <c r="AA23" s="558"/>
      <c r="AB23" s="558"/>
      <c r="AC23" s="558"/>
      <c r="AD23" s="558"/>
      <c r="AE23" s="558"/>
      <c r="AF23" s="558"/>
      <c r="AG23" s="558"/>
      <c r="AH23" s="558"/>
      <c r="AI23" s="558"/>
      <c r="AJ23" s="558"/>
      <c r="AK23" s="558"/>
      <c r="AL23" s="558"/>
      <c r="AM23" s="558"/>
      <c r="AN23" s="558"/>
      <c r="AO23" s="558"/>
      <c r="AP23" s="558"/>
      <c r="AQ23" s="558"/>
      <c r="AR23" s="558"/>
      <c r="AS23" s="558"/>
      <c r="AT23" s="558"/>
      <c r="AU23" s="558"/>
      <c r="AV23" s="558"/>
      <c r="AW23" s="558"/>
      <c r="AX23" s="558"/>
      <c r="AY23" s="558"/>
      <c r="AZ23" s="558"/>
      <c r="BA23" s="558"/>
      <c r="BB23" s="558"/>
      <c r="BC23" s="558"/>
      <c r="BD23" s="303"/>
    </row>
    <row r="24" spans="1:56" x14ac:dyDescent="0.2">
      <c r="A24" s="302"/>
      <c r="B24" s="302"/>
      <c r="C24" s="302"/>
      <c r="D24" s="302"/>
      <c r="E24" s="302"/>
      <c r="F24" s="302"/>
      <c r="G24" s="302"/>
      <c r="H24" s="302"/>
      <c r="I24" s="302"/>
      <c r="J24" s="302"/>
      <c r="K24" s="302"/>
      <c r="L24" s="302"/>
      <c r="M24" s="307"/>
      <c r="N24" s="558"/>
      <c r="O24" s="558"/>
      <c r="P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</row>
    <row r="25" spans="1:56" x14ac:dyDescent="0.2">
      <c r="A25" s="302"/>
      <c r="B25" s="302"/>
      <c r="C25" s="302"/>
      <c r="D25" s="302"/>
      <c r="E25" s="302"/>
      <c r="F25" s="302"/>
      <c r="G25" s="302"/>
      <c r="H25" s="302"/>
      <c r="I25" s="302"/>
      <c r="J25" s="302"/>
      <c r="K25" s="302"/>
      <c r="L25" s="302"/>
      <c r="M25" s="307"/>
      <c r="N25" s="558"/>
      <c r="O25" s="558"/>
      <c r="P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</row>
    <row r="26" spans="1:56" x14ac:dyDescent="0.2">
      <c r="A26" s="302"/>
      <c r="B26" s="302"/>
      <c r="C26" s="302"/>
      <c r="D26" s="302"/>
      <c r="E26" s="302"/>
      <c r="F26" s="302"/>
      <c r="G26" s="302"/>
      <c r="H26" s="302"/>
      <c r="I26" s="302"/>
      <c r="J26" s="302"/>
      <c r="K26" s="302"/>
      <c r="L26" s="302"/>
      <c r="M26" s="307"/>
      <c r="N26" s="558"/>
      <c r="O26" s="558"/>
      <c r="P26" s="303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</row>
    <row r="27" spans="1:56" x14ac:dyDescent="0.2">
      <c r="A27" s="302"/>
      <c r="B27" s="302"/>
      <c r="C27" s="302"/>
      <c r="D27" s="302"/>
      <c r="E27" s="302"/>
      <c r="F27" s="302"/>
      <c r="G27" s="302"/>
      <c r="H27" s="302"/>
      <c r="I27" s="302"/>
      <c r="J27" s="302"/>
      <c r="K27" s="302"/>
      <c r="L27" s="302"/>
      <c r="M27" s="307"/>
      <c r="N27" s="558"/>
      <c r="O27" s="558"/>
      <c r="P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</row>
    <row r="28" spans="1:56" ht="15.75" thickBot="1" x14ac:dyDescent="0.25">
      <c r="A28" s="302"/>
      <c r="B28" s="302"/>
      <c r="C28" s="302"/>
      <c r="D28" s="302"/>
      <c r="E28" s="302"/>
      <c r="F28" s="302"/>
      <c r="G28" s="302"/>
      <c r="H28" s="302"/>
      <c r="I28" s="302"/>
      <c r="J28" s="302"/>
      <c r="K28" s="302"/>
      <c r="L28" s="302"/>
      <c r="M28" s="307"/>
      <c r="N28" s="558"/>
      <c r="O28" s="558"/>
      <c r="P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</row>
    <row r="29" spans="1:56" ht="16.5" thickBot="1" x14ac:dyDescent="0.25">
      <c r="A29" s="302"/>
      <c r="B29" s="208"/>
      <c r="C29" s="208"/>
      <c r="D29" s="563" t="s">
        <v>5</v>
      </c>
      <c r="E29" s="563" t="s">
        <v>6</v>
      </c>
      <c r="F29" s="564" t="s">
        <v>49</v>
      </c>
      <c r="G29" s="564"/>
      <c r="H29" s="563" t="s">
        <v>7</v>
      </c>
      <c r="I29" s="563" t="s">
        <v>8</v>
      </c>
      <c r="J29" s="563" t="s">
        <v>9</v>
      </c>
      <c r="K29" s="565" t="s">
        <v>10</v>
      </c>
      <c r="L29" s="565"/>
      <c r="M29" s="308"/>
      <c r="N29" s="558"/>
      <c r="O29" s="558"/>
      <c r="P29" s="303"/>
      <c r="Q29" s="577">
        <v>2025</v>
      </c>
      <c r="R29" s="578"/>
      <c r="S29" s="578"/>
      <c r="T29" s="578"/>
      <c r="U29" s="578"/>
      <c r="V29" s="578"/>
      <c r="W29" s="578"/>
      <c r="X29" s="578"/>
      <c r="Y29" s="578"/>
      <c r="Z29" s="578"/>
      <c r="AA29" s="578"/>
      <c r="AB29" s="578"/>
      <c r="AC29" s="578"/>
      <c r="AD29" s="578"/>
      <c r="AE29" s="578"/>
      <c r="AF29" s="578"/>
      <c r="AG29" s="578"/>
      <c r="AH29" s="578"/>
      <c r="AI29" s="578"/>
      <c r="AJ29" s="578"/>
      <c r="AK29" s="578"/>
      <c r="AL29" s="578"/>
      <c r="AM29" s="578"/>
      <c r="AN29" s="578"/>
      <c r="AO29" s="578"/>
      <c r="AP29" s="578"/>
      <c r="AQ29" s="578"/>
      <c r="AR29" s="578"/>
      <c r="AS29" s="578"/>
      <c r="AT29" s="578"/>
      <c r="AU29" s="578"/>
      <c r="AV29" s="578"/>
      <c r="AW29" s="578"/>
      <c r="AX29" s="578"/>
      <c r="AY29" s="578"/>
      <c r="AZ29" s="578"/>
      <c r="BA29" s="578"/>
      <c r="BB29" s="579"/>
      <c r="BC29" s="303"/>
      <c r="BD29" s="303"/>
    </row>
    <row r="30" spans="1:56" ht="19.5" customHeight="1" x14ac:dyDescent="0.2">
      <c r="A30" s="302"/>
      <c r="B30" s="691">
        <v>2025</v>
      </c>
      <c r="C30" s="562">
        <v>45658</v>
      </c>
      <c r="D30" s="472"/>
      <c r="E30" s="473"/>
      <c r="F30" s="473"/>
      <c r="G30" s="473"/>
      <c r="H30" s="473"/>
      <c r="I30" s="566">
        <f t="shared" ref="I30:I33" si="10">D30-E30-H30-F30</f>
        <v>0</v>
      </c>
      <c r="J30" s="215"/>
      <c r="K30" s="216" t="str">
        <f t="shared" ref="K30:K44" si="11">IF(ISBLANK(J30)," ",IF(ABS(J30-I30)&lt;0.01,"Correcto ",IF(J30-I30&lt;0,"Faltan","Sobran")))</f>
        <v xml:space="preserve"> </v>
      </c>
      <c r="L30" s="217" t="str">
        <f t="shared" ref="L30:L42" si="12">IF(ISBLANK(J30)," ",IF(ABS(J30-I30)&lt;0.01," ",J30-I30))</f>
        <v xml:space="preserve"> </v>
      </c>
      <c r="M30" s="313"/>
      <c r="N30" s="559"/>
      <c r="O30" s="558"/>
      <c r="P30" s="303"/>
      <c r="Q30" s="580"/>
      <c r="R30" s="581" t="s">
        <v>42</v>
      </c>
      <c r="S30" s="581" t="s">
        <v>43</v>
      </c>
      <c r="T30" s="581" t="s">
        <v>44</v>
      </c>
      <c r="U30" s="581" t="s">
        <v>45</v>
      </c>
      <c r="V30" s="581" t="s">
        <v>46</v>
      </c>
      <c r="W30" s="581" t="s">
        <v>47</v>
      </c>
      <c r="X30" s="581" t="s">
        <v>48</v>
      </c>
      <c r="Y30" s="581" t="s">
        <v>42</v>
      </c>
      <c r="Z30" s="581" t="s">
        <v>43</v>
      </c>
      <c r="AA30" s="581" t="s">
        <v>44</v>
      </c>
      <c r="AB30" s="581" t="s">
        <v>45</v>
      </c>
      <c r="AC30" s="581" t="s">
        <v>46</v>
      </c>
      <c r="AD30" s="581" t="s">
        <v>47</v>
      </c>
      <c r="AE30" s="581" t="s">
        <v>48</v>
      </c>
      <c r="AF30" s="581" t="s">
        <v>42</v>
      </c>
      <c r="AG30" s="581" t="s">
        <v>43</v>
      </c>
      <c r="AH30" s="581" t="s">
        <v>44</v>
      </c>
      <c r="AI30" s="581" t="s">
        <v>45</v>
      </c>
      <c r="AJ30" s="581" t="s">
        <v>46</v>
      </c>
      <c r="AK30" s="581" t="s">
        <v>47</v>
      </c>
      <c r="AL30" s="581" t="s">
        <v>48</v>
      </c>
      <c r="AM30" s="581" t="s">
        <v>42</v>
      </c>
      <c r="AN30" s="581" t="s">
        <v>43</v>
      </c>
      <c r="AO30" s="581" t="s">
        <v>44</v>
      </c>
      <c r="AP30" s="581" t="s">
        <v>45</v>
      </c>
      <c r="AQ30" s="581" t="s">
        <v>46</v>
      </c>
      <c r="AR30" s="581" t="s">
        <v>47</v>
      </c>
      <c r="AS30" s="581" t="s">
        <v>48</v>
      </c>
      <c r="AT30" s="581" t="s">
        <v>42</v>
      </c>
      <c r="AU30" s="581" t="s">
        <v>43</v>
      </c>
      <c r="AV30" s="581" t="s">
        <v>44</v>
      </c>
      <c r="AW30" s="581" t="s">
        <v>45</v>
      </c>
      <c r="AX30" s="581" t="s">
        <v>46</v>
      </c>
      <c r="AY30" s="581" t="s">
        <v>47</v>
      </c>
      <c r="AZ30" s="581" t="s">
        <v>48</v>
      </c>
      <c r="BA30" s="581" t="s">
        <v>42</v>
      </c>
      <c r="BB30" s="582" t="s">
        <v>43</v>
      </c>
      <c r="BC30" s="303"/>
      <c r="BD30" s="303"/>
    </row>
    <row r="31" spans="1:56" x14ac:dyDescent="0.2">
      <c r="A31" s="302"/>
      <c r="B31" s="691"/>
      <c r="C31" s="562">
        <v>45689</v>
      </c>
      <c r="D31" s="472"/>
      <c r="E31" s="473"/>
      <c r="F31" s="473"/>
      <c r="G31" s="473"/>
      <c r="H31" s="473"/>
      <c r="I31" s="566">
        <f t="shared" si="10"/>
        <v>0</v>
      </c>
      <c r="J31" s="215"/>
      <c r="K31" s="216" t="str">
        <f t="shared" si="11"/>
        <v xml:space="preserve"> </v>
      </c>
      <c r="L31" s="217" t="str">
        <f t="shared" si="12"/>
        <v xml:space="preserve"> </v>
      </c>
      <c r="M31" s="313"/>
      <c r="N31" s="314"/>
      <c r="O31" s="314"/>
      <c r="P31" s="303"/>
      <c r="Q31" s="583" t="s">
        <v>58</v>
      </c>
      <c r="R31" s="530">
        <v>1</v>
      </c>
      <c r="S31" s="530">
        <v>2</v>
      </c>
      <c r="T31" s="530">
        <v>3</v>
      </c>
      <c r="U31" s="530">
        <v>4</v>
      </c>
      <c r="V31" s="667">
        <v>5</v>
      </c>
      <c r="W31" s="575">
        <v>6</v>
      </c>
      <c r="X31" s="575">
        <v>7</v>
      </c>
      <c r="Y31" s="530">
        <v>8</v>
      </c>
      <c r="Z31" s="530">
        <v>9</v>
      </c>
      <c r="AA31" s="530">
        <v>10</v>
      </c>
      <c r="AB31" s="530">
        <v>11</v>
      </c>
      <c r="AC31" s="667">
        <v>12</v>
      </c>
      <c r="AD31" s="575">
        <v>13</v>
      </c>
      <c r="AE31" s="575">
        <v>14</v>
      </c>
      <c r="AF31" s="530">
        <v>15</v>
      </c>
      <c r="AG31" s="530">
        <v>16</v>
      </c>
      <c r="AH31" s="530">
        <v>17</v>
      </c>
      <c r="AI31" s="530">
        <v>18</v>
      </c>
      <c r="AJ31" s="667">
        <v>19</v>
      </c>
      <c r="AK31" s="575">
        <v>20</v>
      </c>
      <c r="AL31" s="575">
        <v>21</v>
      </c>
      <c r="AM31" s="530">
        <v>22</v>
      </c>
      <c r="AN31" s="530">
        <v>23</v>
      </c>
      <c r="AO31" s="530">
        <v>24</v>
      </c>
      <c r="AP31" s="530">
        <v>25</v>
      </c>
      <c r="AQ31" s="667">
        <v>26</v>
      </c>
      <c r="AR31" s="575">
        <v>27</v>
      </c>
      <c r="AS31" s="575">
        <v>28</v>
      </c>
      <c r="AT31" s="530">
        <v>29</v>
      </c>
      <c r="AU31" s="530">
        <v>30</v>
      </c>
      <c r="AV31" s="530"/>
      <c r="AW31" s="530"/>
      <c r="AX31" s="530"/>
      <c r="AY31" s="575"/>
      <c r="AZ31" s="575"/>
      <c r="BA31" s="530"/>
      <c r="BB31" s="541" t="s">
        <v>67</v>
      </c>
      <c r="BC31" s="303"/>
      <c r="BD31" s="303"/>
    </row>
    <row r="32" spans="1:56" x14ac:dyDescent="0.2">
      <c r="A32" s="302"/>
      <c r="B32" s="691"/>
      <c r="C32" s="562">
        <v>45717</v>
      </c>
      <c r="D32" s="472"/>
      <c r="E32" s="473"/>
      <c r="F32" s="473"/>
      <c r="G32" s="473"/>
      <c r="H32" s="473"/>
      <c r="I32" s="566">
        <f t="shared" si="10"/>
        <v>0</v>
      </c>
      <c r="J32" s="215"/>
      <c r="K32" s="216" t="str">
        <f t="shared" si="11"/>
        <v xml:space="preserve"> </v>
      </c>
      <c r="L32" s="217" t="str">
        <f t="shared" si="12"/>
        <v xml:space="preserve"> </v>
      </c>
      <c r="M32" s="313"/>
      <c r="N32" s="314"/>
      <c r="O32" s="317"/>
      <c r="P32" s="303"/>
      <c r="Q32" s="583" t="s">
        <v>59</v>
      </c>
      <c r="R32" s="530" t="s">
        <v>67</v>
      </c>
      <c r="S32" s="530" t="s">
        <v>67</v>
      </c>
      <c r="T32" s="530">
        <v>1</v>
      </c>
      <c r="U32" s="530">
        <v>2</v>
      </c>
      <c r="V32" s="667">
        <v>3</v>
      </c>
      <c r="W32" s="575">
        <v>4</v>
      </c>
      <c r="X32" s="575">
        <v>5</v>
      </c>
      <c r="Y32" s="530">
        <v>6</v>
      </c>
      <c r="Z32" s="530">
        <v>7</v>
      </c>
      <c r="AA32" s="530">
        <v>8</v>
      </c>
      <c r="AB32" s="530">
        <v>9</v>
      </c>
      <c r="AC32" s="667">
        <v>10</v>
      </c>
      <c r="AD32" s="575">
        <v>11</v>
      </c>
      <c r="AE32" s="575">
        <v>12</v>
      </c>
      <c r="AF32" s="530">
        <v>13</v>
      </c>
      <c r="AG32" s="530">
        <v>14</v>
      </c>
      <c r="AH32" s="530">
        <v>15</v>
      </c>
      <c r="AI32" s="530">
        <v>16</v>
      </c>
      <c r="AJ32" s="667">
        <v>17</v>
      </c>
      <c r="AK32" s="575">
        <v>18</v>
      </c>
      <c r="AL32" s="575">
        <v>19</v>
      </c>
      <c r="AM32" s="530">
        <v>20</v>
      </c>
      <c r="AN32" s="530">
        <v>21</v>
      </c>
      <c r="AO32" s="530">
        <v>22</v>
      </c>
      <c r="AP32" s="530">
        <v>23</v>
      </c>
      <c r="AQ32" s="667">
        <v>24</v>
      </c>
      <c r="AR32" s="575">
        <v>25</v>
      </c>
      <c r="AS32" s="575">
        <v>26</v>
      </c>
      <c r="AT32" s="530">
        <v>27</v>
      </c>
      <c r="AU32" s="530">
        <v>28</v>
      </c>
      <c r="AV32" s="530">
        <v>29</v>
      </c>
      <c r="AW32" s="530">
        <v>30</v>
      </c>
      <c r="AX32" s="667">
        <v>31</v>
      </c>
      <c r="AY32" s="575" t="s">
        <v>67</v>
      </c>
      <c r="AZ32" s="575" t="s">
        <v>67</v>
      </c>
      <c r="BA32" s="530" t="s">
        <v>67</v>
      </c>
      <c r="BB32" s="541" t="s">
        <v>67</v>
      </c>
      <c r="BC32" s="303"/>
      <c r="BD32" s="303"/>
    </row>
    <row r="33" spans="1:56" x14ac:dyDescent="0.2">
      <c r="A33" s="302"/>
      <c r="B33" s="691"/>
      <c r="C33" s="562">
        <v>45748</v>
      </c>
      <c r="D33" s="472"/>
      <c r="E33" s="473"/>
      <c r="F33" s="473"/>
      <c r="G33" s="473"/>
      <c r="H33" s="473"/>
      <c r="I33" s="566">
        <f t="shared" si="10"/>
        <v>0</v>
      </c>
      <c r="J33" s="215"/>
      <c r="K33" s="216" t="str">
        <f t="shared" si="11"/>
        <v xml:space="preserve"> </v>
      </c>
      <c r="L33" s="217" t="str">
        <f t="shared" si="12"/>
        <v xml:space="preserve"> </v>
      </c>
      <c r="M33" s="319"/>
      <c r="N33" s="571" t="s">
        <v>138</v>
      </c>
      <c r="O33" s="231">
        <f>SUM(D30:D43)</f>
        <v>8666.6628571428591</v>
      </c>
      <c r="P33" s="232"/>
      <c r="Q33" s="583" t="s">
        <v>60</v>
      </c>
      <c r="R33" s="530" t="s">
        <v>67</v>
      </c>
      <c r="S33" s="530" t="s">
        <v>67</v>
      </c>
      <c r="T33" s="530" t="s">
        <v>67</v>
      </c>
      <c r="U33" s="530" t="s">
        <v>67</v>
      </c>
      <c r="V33" s="530" t="s">
        <v>67</v>
      </c>
      <c r="W33" s="575">
        <v>1</v>
      </c>
      <c r="X33" s="575">
        <v>2</v>
      </c>
      <c r="Y33" s="530">
        <v>3</v>
      </c>
      <c r="Z33" s="530">
        <v>4</v>
      </c>
      <c r="AA33" s="530">
        <v>5</v>
      </c>
      <c r="AB33" s="530">
        <v>6</v>
      </c>
      <c r="AC33" s="667">
        <v>7</v>
      </c>
      <c r="AD33" s="575">
        <v>8</v>
      </c>
      <c r="AE33" s="575">
        <v>9</v>
      </c>
      <c r="AF33" s="530">
        <v>10</v>
      </c>
      <c r="AG33" s="530">
        <v>11</v>
      </c>
      <c r="AH33" s="530">
        <v>12</v>
      </c>
      <c r="AI33" s="530">
        <v>13</v>
      </c>
      <c r="AJ33" s="667">
        <v>14</v>
      </c>
      <c r="AK33" s="575">
        <v>15</v>
      </c>
      <c r="AL33" s="575">
        <v>16</v>
      </c>
      <c r="AM33" s="530">
        <v>17</v>
      </c>
      <c r="AN33" s="530">
        <v>18</v>
      </c>
      <c r="AO33" s="530">
        <v>19</v>
      </c>
      <c r="AP33" s="530">
        <v>20</v>
      </c>
      <c r="AQ33" s="667">
        <v>21</v>
      </c>
      <c r="AR33" s="575">
        <v>22</v>
      </c>
      <c r="AS33" s="575">
        <v>23</v>
      </c>
      <c r="AT33" s="530">
        <v>24</v>
      </c>
      <c r="AU33" s="530">
        <v>25</v>
      </c>
      <c r="AV33" s="530">
        <v>26</v>
      </c>
      <c r="AW33" s="530">
        <v>27</v>
      </c>
      <c r="AX33" s="667">
        <v>28</v>
      </c>
      <c r="AY33" s="575">
        <v>29</v>
      </c>
      <c r="AZ33" s="575">
        <v>30</v>
      </c>
      <c r="BA33" s="530" t="s">
        <v>67</v>
      </c>
      <c r="BB33" s="541" t="s">
        <v>67</v>
      </c>
      <c r="BC33" s="303"/>
      <c r="BD33" s="303"/>
    </row>
    <row r="34" spans="1:56" ht="15.75" thickBot="1" x14ac:dyDescent="0.25">
      <c r="A34" s="302"/>
      <c r="B34" s="691"/>
      <c r="C34" s="562">
        <v>45778</v>
      </c>
      <c r="D34" s="472"/>
      <c r="E34" s="473"/>
      <c r="F34" s="473"/>
      <c r="G34" s="473"/>
      <c r="H34" s="473"/>
      <c r="I34" s="566">
        <f>D34-E34-H34-F34-G34</f>
        <v>0</v>
      </c>
      <c r="J34" s="215"/>
      <c r="K34" s="216" t="str">
        <f t="shared" si="11"/>
        <v xml:space="preserve"> </v>
      </c>
      <c r="L34" s="217" t="str">
        <f t="shared" si="12"/>
        <v xml:space="preserve"> </v>
      </c>
      <c r="M34" s="233"/>
      <c r="N34" s="572" t="s">
        <v>13</v>
      </c>
      <c r="O34" s="235">
        <f>SUM(E30:F43)</f>
        <v>561.59975314285725</v>
      </c>
      <c r="P34" s="236"/>
      <c r="Q34" s="584" t="s">
        <v>61</v>
      </c>
      <c r="R34" s="543">
        <v>1</v>
      </c>
      <c r="S34" s="543">
        <v>2</v>
      </c>
      <c r="T34" s="543">
        <v>3</v>
      </c>
      <c r="U34" s="543">
        <v>4</v>
      </c>
      <c r="V34" s="669">
        <v>5</v>
      </c>
      <c r="W34" s="576">
        <v>6</v>
      </c>
      <c r="X34" s="576">
        <v>7</v>
      </c>
      <c r="Y34" s="545">
        <v>8</v>
      </c>
      <c r="Z34" s="670">
        <v>9</v>
      </c>
      <c r="AA34" s="670">
        <v>10</v>
      </c>
      <c r="AB34" s="670">
        <v>11</v>
      </c>
      <c r="AC34" s="670">
        <v>12</v>
      </c>
      <c r="AD34" s="576">
        <v>13</v>
      </c>
      <c r="AE34" s="576">
        <v>14</v>
      </c>
      <c r="AF34" s="543">
        <v>15</v>
      </c>
      <c r="AG34" s="543">
        <v>16</v>
      </c>
      <c r="AH34" s="543">
        <v>17</v>
      </c>
      <c r="AI34" s="543">
        <v>18</v>
      </c>
      <c r="AJ34" s="669">
        <v>19</v>
      </c>
      <c r="AK34" s="576">
        <v>20</v>
      </c>
      <c r="AL34" s="576">
        <v>21</v>
      </c>
      <c r="AM34" s="543">
        <v>22</v>
      </c>
      <c r="AN34" s="543">
        <v>23</v>
      </c>
      <c r="AO34" s="545">
        <v>24</v>
      </c>
      <c r="AP34" s="545">
        <v>25</v>
      </c>
      <c r="AQ34" s="670">
        <v>26</v>
      </c>
      <c r="AR34" s="576">
        <v>27</v>
      </c>
      <c r="AS34" s="576">
        <v>28</v>
      </c>
      <c r="AT34" s="670">
        <v>29</v>
      </c>
      <c r="AU34" s="670">
        <v>30</v>
      </c>
      <c r="AV34" s="545">
        <v>31</v>
      </c>
      <c r="AW34" s="543"/>
      <c r="AX34" s="543"/>
      <c r="AY34" s="576"/>
      <c r="AZ34" s="576"/>
      <c r="BA34" s="543"/>
      <c r="BB34" s="547"/>
      <c r="BC34" s="303"/>
      <c r="BD34" s="303"/>
    </row>
    <row r="35" spans="1:56" x14ac:dyDescent="0.2">
      <c r="A35" s="302"/>
      <c r="B35" s="691"/>
      <c r="C35" s="562">
        <v>45809</v>
      </c>
      <c r="D35" s="472"/>
      <c r="E35" s="473"/>
      <c r="F35" s="473"/>
      <c r="G35" s="473"/>
      <c r="H35" s="473"/>
      <c r="I35" s="566">
        <f t="shared" ref="I35:I42" si="13">D35-E35-H35-F35-G35</f>
        <v>0</v>
      </c>
      <c r="J35" s="215"/>
      <c r="K35" s="216" t="str">
        <f t="shared" si="11"/>
        <v xml:space="preserve"> </v>
      </c>
      <c r="L35" s="217" t="str">
        <f t="shared" si="12"/>
        <v xml:space="preserve"> </v>
      </c>
      <c r="M35" s="233"/>
      <c r="N35" s="573" t="s">
        <v>7</v>
      </c>
      <c r="O35" s="235">
        <f>SUM(H30:H43)</f>
        <v>1126.6661714285717</v>
      </c>
      <c r="P35" s="238"/>
      <c r="AM35" s="303"/>
      <c r="AN35" s="303"/>
      <c r="AO35" s="303"/>
      <c r="AP35" s="303"/>
      <c r="AQ35" s="303"/>
      <c r="AR35" s="303"/>
      <c r="AS35" s="303"/>
      <c r="AT35" s="303"/>
      <c r="AU35" s="303"/>
      <c r="AV35" s="303"/>
      <c r="AW35" s="303"/>
      <c r="AX35" s="303"/>
      <c r="AY35" s="303"/>
      <c r="AZ35" s="303"/>
      <c r="BA35" s="303"/>
      <c r="BB35" s="303"/>
      <c r="BC35" s="303"/>
      <c r="BD35" s="303"/>
    </row>
    <row r="36" spans="1:56" x14ac:dyDescent="0.2">
      <c r="A36" s="302"/>
      <c r="B36" s="691"/>
      <c r="C36" s="562"/>
      <c r="D36" s="472"/>
      <c r="E36" s="473"/>
      <c r="F36" s="473"/>
      <c r="G36" s="473"/>
      <c r="H36" s="473"/>
      <c r="I36" s="566">
        <f t="shared" si="13"/>
        <v>0</v>
      </c>
      <c r="J36" s="215"/>
      <c r="K36" s="216" t="str">
        <f t="shared" si="11"/>
        <v xml:space="preserve"> </v>
      </c>
      <c r="L36" s="217" t="str">
        <f t="shared" si="12"/>
        <v xml:space="preserve"> </v>
      </c>
      <c r="M36" s="255"/>
      <c r="N36" s="574">
        <v>0.13</v>
      </c>
      <c r="O36" s="232"/>
      <c r="P36" s="320"/>
      <c r="Q36" s="558"/>
      <c r="R36" s="558" t="s">
        <v>144</v>
      </c>
      <c r="S36" s="558"/>
      <c r="T36" s="558"/>
      <c r="U36" s="558"/>
      <c r="V36" s="558"/>
      <c r="W36" s="558"/>
      <c r="X36" s="558"/>
      <c r="Y36" s="558"/>
      <c r="Z36" s="558"/>
      <c r="AA36" s="558"/>
      <c r="AB36" s="558"/>
      <c r="AC36" s="558"/>
      <c r="AD36" s="558"/>
      <c r="AE36" s="558"/>
      <c r="AF36" s="558"/>
      <c r="AG36" s="558"/>
      <c r="AH36" s="558"/>
      <c r="AI36" s="558"/>
      <c r="AJ36" s="558"/>
      <c r="AK36" s="558"/>
      <c r="AL36" s="558"/>
      <c r="AM36" s="558"/>
      <c r="AN36" s="558"/>
      <c r="AO36" s="558"/>
      <c r="AP36" s="558"/>
      <c r="AQ36" s="558"/>
      <c r="AR36" s="558"/>
      <c r="AS36" s="558"/>
      <c r="AT36" s="558"/>
      <c r="AU36" s="558"/>
      <c r="AV36" s="558"/>
      <c r="AW36" s="558"/>
      <c r="AX36" s="558"/>
      <c r="AY36" s="558"/>
      <c r="AZ36" s="558"/>
      <c r="BA36" s="558"/>
      <c r="BB36" s="558"/>
      <c r="BC36" s="558"/>
      <c r="BD36" s="303"/>
    </row>
    <row r="37" spans="1:56" x14ac:dyDescent="0.2">
      <c r="A37" s="302"/>
      <c r="B37" s="691"/>
      <c r="C37" s="562">
        <v>45839</v>
      </c>
      <c r="D37" s="472"/>
      <c r="E37" s="473"/>
      <c r="F37" s="473"/>
      <c r="G37" s="473"/>
      <c r="H37" s="473"/>
      <c r="I37" s="566">
        <f t="shared" si="13"/>
        <v>0</v>
      </c>
      <c r="J37" s="215"/>
      <c r="K37" s="216" t="str">
        <f t="shared" si="11"/>
        <v xml:space="preserve"> </v>
      </c>
      <c r="L37" s="217" t="str">
        <f t="shared" si="12"/>
        <v xml:space="preserve"> </v>
      </c>
      <c r="M37" s="232"/>
      <c r="N37" s="303"/>
      <c r="O37" s="303"/>
      <c r="P37" s="238"/>
      <c r="Q37" s="558"/>
      <c r="R37" s="558" t="s">
        <v>145</v>
      </c>
      <c r="S37" s="558"/>
      <c r="T37" s="558"/>
      <c r="U37" s="558"/>
      <c r="V37" s="558"/>
      <c r="W37" s="558"/>
      <c r="X37" s="558"/>
      <c r="Y37" s="558"/>
      <c r="Z37" s="558"/>
      <c r="AA37" s="558"/>
      <c r="AB37" s="558"/>
      <c r="AC37" s="558"/>
      <c r="AD37" s="558"/>
      <c r="AE37" s="558"/>
      <c r="AF37" s="558"/>
      <c r="AG37" s="558"/>
      <c r="AH37" s="558"/>
      <c r="AI37" s="558"/>
      <c r="AJ37" s="558"/>
      <c r="AK37" s="558"/>
      <c r="AL37" s="558"/>
      <c r="AM37" s="558"/>
      <c r="AN37" s="558"/>
      <c r="AO37" s="558"/>
      <c r="AP37" s="558"/>
      <c r="AQ37" s="558"/>
      <c r="AR37" s="558"/>
      <c r="AS37" s="558"/>
      <c r="AT37" s="558"/>
      <c r="AU37" s="558"/>
      <c r="AV37" s="558"/>
      <c r="AW37" s="558"/>
      <c r="AX37" s="558"/>
      <c r="AY37" s="558"/>
      <c r="AZ37" s="558"/>
      <c r="BA37" s="558"/>
      <c r="BB37" s="558"/>
      <c r="BC37" s="558"/>
      <c r="BD37" s="303"/>
    </row>
    <row r="38" spans="1:56" ht="15.75" thickBot="1" x14ac:dyDescent="0.25">
      <c r="A38" s="302"/>
      <c r="B38" s="691"/>
      <c r="C38" s="562">
        <v>45870</v>
      </c>
      <c r="D38" s="472"/>
      <c r="E38" s="473"/>
      <c r="F38" s="473"/>
      <c r="G38" s="473"/>
      <c r="H38" s="473"/>
      <c r="I38" s="566">
        <f t="shared" si="13"/>
        <v>0</v>
      </c>
      <c r="J38" s="215"/>
      <c r="K38" s="216" t="str">
        <f t="shared" si="11"/>
        <v xml:space="preserve"> </v>
      </c>
      <c r="L38" s="217" t="str">
        <f t="shared" si="12"/>
        <v xml:space="preserve"> </v>
      </c>
      <c r="M38" s="303"/>
      <c r="N38" s="303"/>
      <c r="O38" s="303"/>
      <c r="P38" s="238"/>
      <c r="Q38" s="558"/>
      <c r="R38" s="558"/>
      <c r="S38" s="558"/>
      <c r="T38" s="558"/>
      <c r="U38" s="558"/>
      <c r="V38" s="558"/>
      <c r="W38" s="558"/>
      <c r="X38" s="558"/>
      <c r="Y38" s="558"/>
      <c r="Z38" s="558"/>
      <c r="AA38" s="558"/>
      <c r="AB38" s="558"/>
      <c r="AC38" s="558"/>
      <c r="AD38" s="558"/>
      <c r="AE38" s="558"/>
      <c r="AF38" s="558"/>
      <c r="AG38" s="558"/>
      <c r="AH38" s="558"/>
      <c r="AI38" s="558"/>
      <c r="AJ38" s="558"/>
      <c r="AK38" s="558"/>
      <c r="AL38" s="558"/>
      <c r="AM38" s="558"/>
      <c r="AN38" s="558"/>
      <c r="AO38" s="558"/>
      <c r="AP38" s="558"/>
      <c r="AQ38" s="558"/>
      <c r="AR38" s="558"/>
      <c r="AS38" s="558"/>
      <c r="AT38" s="558"/>
      <c r="AU38" s="558"/>
      <c r="AV38" s="558"/>
      <c r="AW38" s="558"/>
      <c r="AX38" s="558"/>
      <c r="AY38" s="558"/>
      <c r="AZ38" s="558"/>
      <c r="BA38" s="558"/>
      <c r="BB38" s="558"/>
      <c r="BC38" s="558"/>
      <c r="BD38" s="303"/>
    </row>
    <row r="39" spans="1:56" x14ac:dyDescent="0.2">
      <c r="A39" s="302"/>
      <c r="B39" s="691"/>
      <c r="C39" s="562">
        <v>45901</v>
      </c>
      <c r="D39" s="472">
        <f>1857.14285714286+309.52</f>
        <v>2166.66285714286</v>
      </c>
      <c r="E39" s="473">
        <f>(D39+G39)*0.0483</f>
        <v>104.64981600000014</v>
      </c>
      <c r="F39" s="473">
        <f>(D39+G39)*0.0165</f>
        <v>35.749937142857192</v>
      </c>
      <c r="G39" s="473"/>
      <c r="H39" s="473">
        <f t="shared" ref="H39:H42" si="14">D39*$N$36</f>
        <v>281.66617142857183</v>
      </c>
      <c r="I39" s="566">
        <f t="shared" si="13"/>
        <v>1744.5969325714309</v>
      </c>
      <c r="J39" s="215">
        <v>1744.59</v>
      </c>
      <c r="K39" s="216" t="str">
        <f t="shared" si="11"/>
        <v xml:space="preserve">Correcto </v>
      </c>
      <c r="L39" s="217" t="str">
        <f t="shared" si="12"/>
        <v xml:space="preserve"> </v>
      </c>
      <c r="M39" s="303"/>
      <c r="N39" s="590" t="s">
        <v>69</v>
      </c>
      <c r="O39" s="591">
        <f>22/12*4</f>
        <v>7.333333333333333</v>
      </c>
      <c r="P39" s="303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58"/>
      <c r="AB39" s="558"/>
      <c r="AC39" s="558"/>
      <c r="AD39" s="558"/>
      <c r="AE39" s="558"/>
      <c r="AF39" s="558"/>
      <c r="AG39" s="558"/>
      <c r="AH39" s="558"/>
      <c r="AI39" s="558"/>
      <c r="AJ39" s="558"/>
      <c r="AK39" s="558"/>
      <c r="AL39" s="558"/>
      <c r="AM39" s="558"/>
      <c r="AN39" s="558"/>
      <c r="AO39" s="558"/>
      <c r="AP39" s="558"/>
      <c r="AQ39" s="558"/>
      <c r="AR39" s="558"/>
      <c r="AS39" s="558"/>
      <c r="AT39" s="558"/>
      <c r="AU39" s="558"/>
      <c r="AV39" s="558"/>
      <c r="AW39" s="558"/>
      <c r="AX39" s="558"/>
      <c r="AY39" s="558"/>
      <c r="AZ39" s="558"/>
      <c r="BA39" s="558"/>
      <c r="BB39" s="558"/>
      <c r="BC39" s="558"/>
      <c r="BD39" s="303"/>
    </row>
    <row r="40" spans="1:56" x14ac:dyDescent="0.2">
      <c r="A40" s="302"/>
      <c r="B40" s="691"/>
      <c r="C40" s="562">
        <v>45931</v>
      </c>
      <c r="D40" s="472">
        <v>2166.6666666666665</v>
      </c>
      <c r="E40" s="473">
        <f t="shared" ref="E40:E42" si="15">(D40+G40)*0.0483</f>
        <v>104.64999999999999</v>
      </c>
      <c r="F40" s="473">
        <f t="shared" ref="F40:F42" si="16">(D40+G40)*0.0165</f>
        <v>35.75</v>
      </c>
      <c r="G40" s="473"/>
      <c r="H40" s="473">
        <f t="shared" si="14"/>
        <v>281.66666666666663</v>
      </c>
      <c r="I40" s="566">
        <f t="shared" si="13"/>
        <v>1744.6</v>
      </c>
      <c r="J40" s="215">
        <v>1744.6</v>
      </c>
      <c r="K40" s="216" t="str">
        <f t="shared" si="11"/>
        <v xml:space="preserve">Correcto </v>
      </c>
      <c r="L40" s="217" t="str">
        <f t="shared" si="12"/>
        <v xml:space="preserve"> </v>
      </c>
      <c r="M40" s="303"/>
      <c r="N40" s="592" t="s">
        <v>146</v>
      </c>
      <c r="O40" s="593">
        <v>4</v>
      </c>
      <c r="P40" s="303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58"/>
      <c r="AB40" s="558"/>
      <c r="AC40" s="558"/>
      <c r="AD40" s="558"/>
      <c r="AE40" s="558"/>
      <c r="AF40" s="558"/>
      <c r="AG40" s="558"/>
      <c r="AH40" s="558"/>
      <c r="AI40" s="558"/>
      <c r="AJ40" s="558"/>
      <c r="AK40" s="558"/>
      <c r="AL40" s="558"/>
      <c r="AM40" s="558"/>
      <c r="AN40" s="558"/>
      <c r="AO40" s="558"/>
      <c r="AP40" s="558"/>
      <c r="AQ40" s="558"/>
      <c r="AR40" s="558"/>
      <c r="AS40" s="558"/>
      <c r="AT40" s="558"/>
      <c r="AU40" s="558"/>
      <c r="AV40" s="558"/>
      <c r="AW40" s="558"/>
      <c r="AX40" s="558"/>
      <c r="AY40" s="558"/>
      <c r="AZ40" s="558"/>
      <c r="BA40" s="558"/>
      <c r="BB40" s="558"/>
      <c r="BC40" s="558"/>
      <c r="BD40" s="303"/>
    </row>
    <row r="41" spans="1:56" x14ac:dyDescent="0.2">
      <c r="A41" s="302"/>
      <c r="B41" s="691"/>
      <c r="C41" s="562">
        <v>45962</v>
      </c>
      <c r="D41" s="472">
        <v>2166.6666666666665</v>
      </c>
      <c r="E41" s="473">
        <f t="shared" si="15"/>
        <v>104.64999999999999</v>
      </c>
      <c r="F41" s="473">
        <f t="shared" si="16"/>
        <v>35.75</v>
      </c>
      <c r="G41" s="473"/>
      <c r="H41" s="473">
        <f t="shared" si="14"/>
        <v>281.66666666666663</v>
      </c>
      <c r="I41" s="566">
        <f t="shared" si="13"/>
        <v>1744.6</v>
      </c>
      <c r="J41" s="215">
        <v>1744.6</v>
      </c>
      <c r="K41" s="216" t="str">
        <f t="shared" si="11"/>
        <v xml:space="preserve">Correcto </v>
      </c>
      <c r="L41" s="217" t="str">
        <f t="shared" si="12"/>
        <v xml:space="preserve"> </v>
      </c>
      <c r="M41" s="303"/>
      <c r="N41" s="594" t="s">
        <v>148</v>
      </c>
      <c r="O41" s="593">
        <v>1</v>
      </c>
      <c r="P41" s="303"/>
      <c r="Q41" s="558"/>
      <c r="R41" s="558"/>
      <c r="S41" s="558"/>
      <c r="T41" s="558"/>
      <c r="U41" s="558"/>
      <c r="V41" s="558"/>
      <c r="W41" s="558"/>
      <c r="X41" s="558"/>
      <c r="Y41" s="558"/>
      <c r="Z41" s="558"/>
      <c r="AA41" s="558"/>
      <c r="AB41" s="558"/>
      <c r="AC41" s="558"/>
      <c r="AD41" s="558"/>
      <c r="AE41" s="558"/>
      <c r="AF41" s="558"/>
      <c r="AG41" s="558"/>
      <c r="AH41" s="558"/>
      <c r="AI41" s="558"/>
      <c r="AJ41" s="558"/>
      <c r="AK41" s="558"/>
      <c r="AL41" s="558"/>
      <c r="AM41" s="558"/>
      <c r="AN41" s="558"/>
      <c r="AO41" s="558"/>
      <c r="AP41" s="558"/>
      <c r="AQ41" s="558"/>
      <c r="AR41" s="558"/>
      <c r="AS41" s="558"/>
      <c r="AT41" s="558"/>
      <c r="AU41" s="558"/>
      <c r="AV41" s="558"/>
      <c r="AW41" s="558"/>
      <c r="AX41" s="558"/>
      <c r="AY41" s="558"/>
      <c r="AZ41" s="558"/>
      <c r="BA41" s="558"/>
      <c r="BB41" s="558"/>
      <c r="BC41" s="558"/>
      <c r="BD41" s="303"/>
    </row>
    <row r="42" spans="1:56" x14ac:dyDescent="0.2">
      <c r="A42" s="302"/>
      <c r="B42" s="691"/>
      <c r="C42" s="562">
        <v>45992</v>
      </c>
      <c r="D42" s="472">
        <v>2166.6666666666665</v>
      </c>
      <c r="E42" s="473">
        <f t="shared" si="15"/>
        <v>104.64999999999999</v>
      </c>
      <c r="F42" s="473">
        <f t="shared" si="16"/>
        <v>35.75</v>
      </c>
      <c r="G42" s="473"/>
      <c r="H42" s="473">
        <f t="shared" si="14"/>
        <v>281.66666666666663</v>
      </c>
      <c r="I42" s="566">
        <f t="shared" si="13"/>
        <v>1744.6</v>
      </c>
      <c r="J42" s="215">
        <v>1744.6</v>
      </c>
      <c r="K42" s="216" t="str">
        <f t="shared" si="11"/>
        <v xml:space="preserve">Correcto </v>
      </c>
      <c r="L42" s="217" t="str">
        <f t="shared" si="12"/>
        <v xml:space="preserve"> </v>
      </c>
      <c r="M42" s="303"/>
      <c r="N42" s="594" t="s">
        <v>147</v>
      </c>
      <c r="O42" s="593">
        <v>2</v>
      </c>
      <c r="P42" s="303"/>
      <c r="Q42" s="558"/>
      <c r="R42" s="558"/>
      <c r="S42" s="558"/>
      <c r="T42" s="558"/>
      <c r="U42" s="558"/>
      <c r="V42" s="558"/>
      <c r="W42" s="558"/>
      <c r="X42" s="558"/>
      <c r="Y42" s="558"/>
      <c r="Z42" s="558"/>
      <c r="AA42" s="558"/>
      <c r="AB42" s="558"/>
      <c r="AC42" s="558"/>
      <c r="AD42" s="558"/>
      <c r="AE42" s="558"/>
      <c r="AF42" s="558"/>
      <c r="AG42" s="558"/>
      <c r="AH42" s="558"/>
      <c r="AI42" s="558"/>
      <c r="AJ42" s="558"/>
      <c r="AK42" s="558"/>
      <c r="AL42" s="558"/>
      <c r="AM42" s="558"/>
      <c r="AN42" s="558"/>
      <c r="AO42" s="558"/>
      <c r="AP42" s="558"/>
      <c r="AQ42" s="558"/>
      <c r="AR42" s="558"/>
      <c r="AS42" s="558"/>
      <c r="AT42" s="558"/>
      <c r="AU42" s="558"/>
      <c r="AV42" s="558"/>
      <c r="AW42" s="558"/>
      <c r="AX42" s="558"/>
      <c r="AY42" s="558"/>
      <c r="AZ42" s="558"/>
      <c r="BA42" s="558"/>
      <c r="BB42" s="558"/>
      <c r="BC42" s="558"/>
      <c r="BD42" s="303"/>
    </row>
    <row r="43" spans="1:56" x14ac:dyDescent="0.2">
      <c r="A43" s="302"/>
      <c r="B43" s="691"/>
      <c r="C43" s="562"/>
      <c r="D43" s="472"/>
      <c r="E43" s="473"/>
      <c r="F43" s="473"/>
      <c r="G43" s="473"/>
      <c r="H43" s="473"/>
      <c r="I43" s="566"/>
      <c r="J43" s="215"/>
      <c r="K43" s="216" t="str">
        <f t="shared" si="11"/>
        <v xml:space="preserve"> </v>
      </c>
      <c r="L43" s="250" t="str">
        <f t="shared" ref="L43:L44" si="17">IF(ISBLANK(J43)," ",IF(J43-I43&lt;0.01," ",J43-I43))</f>
        <v xml:space="preserve"> </v>
      </c>
      <c r="M43" s="303"/>
      <c r="N43" s="595"/>
      <c r="O43" s="593"/>
      <c r="P43" s="303"/>
      <c r="Q43" s="558"/>
      <c r="R43" s="558"/>
      <c r="S43" s="558"/>
      <c r="T43" s="558"/>
      <c r="U43" s="558"/>
      <c r="V43" s="558"/>
      <c r="W43" s="558"/>
      <c r="X43" s="558"/>
      <c r="Y43" s="558"/>
      <c r="Z43" s="558"/>
      <c r="AA43" s="558"/>
      <c r="AB43" s="558"/>
      <c r="AC43" s="558"/>
      <c r="AD43" s="558"/>
      <c r="AE43" s="558"/>
      <c r="AF43" s="558"/>
      <c r="AG43" s="558"/>
      <c r="AH43" s="558"/>
      <c r="AI43" s="558"/>
      <c r="AJ43" s="558"/>
      <c r="AK43" s="558"/>
      <c r="AL43" s="558"/>
      <c r="AM43" s="558"/>
      <c r="AN43" s="558"/>
      <c r="AO43" s="558"/>
      <c r="AP43" s="558"/>
      <c r="AQ43" s="558"/>
      <c r="AR43" s="558"/>
      <c r="AS43" s="558"/>
      <c r="AT43" s="558"/>
      <c r="AU43" s="558"/>
      <c r="AV43" s="558"/>
      <c r="AW43" s="558"/>
      <c r="AX43" s="558"/>
      <c r="AY43" s="558"/>
      <c r="AZ43" s="558"/>
      <c r="BA43" s="558"/>
      <c r="BB43" s="558"/>
      <c r="BC43" s="558"/>
      <c r="BD43" s="303"/>
    </row>
    <row r="44" spans="1:56" x14ac:dyDescent="0.2">
      <c r="A44" s="302"/>
      <c r="B44" s="691"/>
      <c r="C44" s="562"/>
      <c r="D44" s="472"/>
      <c r="E44" s="473"/>
      <c r="F44" s="473"/>
      <c r="G44" s="473"/>
      <c r="H44" s="473"/>
      <c r="I44" s="566"/>
      <c r="J44" s="215"/>
      <c r="K44" s="216" t="str">
        <f t="shared" si="11"/>
        <v xml:space="preserve"> </v>
      </c>
      <c r="L44" s="250" t="str">
        <f t="shared" si="17"/>
        <v xml:space="preserve"> </v>
      </c>
      <c r="M44" s="303"/>
      <c r="N44" s="598" t="s">
        <v>141</v>
      </c>
      <c r="O44" s="596">
        <f>SUM(O40:O43)</f>
        <v>7</v>
      </c>
      <c r="P44" s="238"/>
      <c r="Q44" s="558"/>
      <c r="R44" s="558"/>
      <c r="S44" s="558"/>
      <c r="T44" s="558"/>
      <c r="U44" s="558"/>
      <c r="V44" s="558"/>
      <c r="W44" s="558"/>
      <c r="X44" s="558"/>
      <c r="Y44" s="558"/>
      <c r="Z44" s="558"/>
      <c r="AA44" s="558"/>
      <c r="AB44" s="558"/>
      <c r="AC44" s="558"/>
      <c r="AD44" s="558"/>
      <c r="AE44" s="558"/>
      <c r="AF44" s="558"/>
      <c r="AG44" s="558"/>
      <c r="AH44" s="558"/>
      <c r="AI44" s="558"/>
      <c r="AJ44" s="558"/>
      <c r="AK44" s="558"/>
      <c r="AL44" s="558"/>
      <c r="AM44" s="558"/>
      <c r="AN44" s="558"/>
      <c r="AO44" s="558"/>
      <c r="AP44" s="558"/>
      <c r="AQ44" s="558"/>
      <c r="AR44" s="558"/>
      <c r="AS44" s="558"/>
      <c r="AT44" s="558"/>
      <c r="AU44" s="558"/>
      <c r="AV44" s="558"/>
      <c r="AW44" s="558"/>
      <c r="AX44" s="558"/>
      <c r="AY44" s="558"/>
      <c r="AZ44" s="558"/>
      <c r="BA44" s="558"/>
      <c r="BB44" s="558"/>
      <c r="BC44" s="558"/>
      <c r="BD44" s="303"/>
    </row>
    <row r="45" spans="1:56" ht="15.75" thickBot="1" x14ac:dyDescent="0.25">
      <c r="A45" s="302"/>
      <c r="B45" s="303"/>
      <c r="C45" s="303"/>
      <c r="D45" s="568">
        <f t="shared" ref="D45:J45" si="18">SUM(D30:D44)</f>
        <v>8666.6628571428591</v>
      </c>
      <c r="E45" s="568">
        <f t="shared" si="18"/>
        <v>418.59981600000009</v>
      </c>
      <c r="F45" s="569">
        <f t="shared" si="18"/>
        <v>142.99993714285719</v>
      </c>
      <c r="G45" s="569">
        <f t="shared" si="18"/>
        <v>0</v>
      </c>
      <c r="H45" s="569">
        <f t="shared" si="18"/>
        <v>1126.6661714285717</v>
      </c>
      <c r="I45" s="567">
        <f t="shared" si="18"/>
        <v>6978.3969325714315</v>
      </c>
      <c r="J45" s="567">
        <f t="shared" si="18"/>
        <v>6978.3899999999994</v>
      </c>
      <c r="K45" s="692"/>
      <c r="L45" s="692"/>
      <c r="M45" s="303"/>
      <c r="N45" s="599" t="str">
        <f>+IF(O44&lt;O39,"Por coger",IF(O44&gt;O39,"Del año que viene"," "))</f>
        <v>Por coger</v>
      </c>
      <c r="O45" s="597"/>
      <c r="P45" s="238"/>
      <c r="Q45" s="558"/>
      <c r="R45" s="558"/>
      <c r="S45" s="558"/>
      <c r="T45" s="558"/>
      <c r="U45" s="558"/>
      <c r="V45" s="558"/>
      <c r="W45" s="558"/>
      <c r="X45" s="558"/>
      <c r="Y45" s="558"/>
      <c r="Z45" s="558"/>
      <c r="AA45" s="558"/>
      <c r="AB45" s="558"/>
      <c r="AC45" s="558"/>
      <c r="AD45" s="558"/>
      <c r="AE45" s="558"/>
      <c r="AF45" s="558"/>
      <c r="AG45" s="558"/>
      <c r="AH45" s="558"/>
      <c r="AI45" s="558"/>
      <c r="AJ45" s="558"/>
      <c r="AK45" s="558"/>
      <c r="AL45" s="558"/>
      <c r="AM45" s="558"/>
      <c r="AN45" s="558"/>
      <c r="AO45" s="558"/>
      <c r="AP45" s="558"/>
      <c r="AQ45" s="558"/>
      <c r="AR45" s="558"/>
      <c r="AS45" s="558"/>
      <c r="AT45" s="558"/>
      <c r="AU45" s="558"/>
      <c r="AV45" s="558"/>
      <c r="AW45" s="558"/>
      <c r="AX45" s="558"/>
      <c r="AY45" s="558"/>
      <c r="AZ45" s="558"/>
      <c r="BA45" s="558"/>
      <c r="BB45" s="558"/>
      <c r="BC45" s="558"/>
      <c r="BD45" s="303"/>
    </row>
    <row r="46" spans="1:56" x14ac:dyDescent="0.2">
      <c r="A46" s="302"/>
      <c r="B46" s="303"/>
      <c r="C46" s="303"/>
      <c r="D46" s="570">
        <f>D45-E45-H45-F45-G45</f>
        <v>6978.3969325714297</v>
      </c>
      <c r="E46" s="570"/>
      <c r="F46" s="570"/>
      <c r="G46" s="570"/>
      <c r="H46" s="570"/>
      <c r="I46" s="255"/>
      <c r="J46" s="255"/>
      <c r="K46" s="255"/>
      <c r="L46" s="255"/>
      <c r="M46" s="303"/>
      <c r="N46" s="303"/>
      <c r="O46" s="303"/>
      <c r="P46" s="23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58"/>
      <c r="AB46" s="558"/>
      <c r="AC46" s="558"/>
      <c r="AD46" s="558"/>
      <c r="AE46" s="558"/>
      <c r="AF46" s="558"/>
      <c r="AG46" s="558"/>
      <c r="AH46" s="558"/>
      <c r="AI46" s="558"/>
      <c r="AJ46" s="558"/>
      <c r="AK46" s="558"/>
      <c r="AL46" s="558"/>
      <c r="AM46" s="558"/>
      <c r="AN46" s="558"/>
      <c r="AO46" s="558"/>
      <c r="AP46" s="558"/>
      <c r="AQ46" s="558"/>
      <c r="AR46" s="558"/>
      <c r="AS46" s="558"/>
      <c r="AT46" s="558"/>
      <c r="AU46" s="558"/>
      <c r="AV46" s="558"/>
      <c r="AW46" s="558"/>
      <c r="AX46" s="558"/>
      <c r="AY46" s="558"/>
      <c r="AZ46" s="558"/>
      <c r="BA46" s="558"/>
      <c r="BB46" s="558"/>
      <c r="BC46" s="558"/>
      <c r="BD46" s="303"/>
    </row>
    <row r="47" spans="1:56" x14ac:dyDescent="0.2">
      <c r="A47" s="302"/>
      <c r="B47" s="303"/>
      <c r="C47" s="303"/>
      <c r="D47" s="303"/>
      <c r="E47" s="303"/>
      <c r="F47" s="303"/>
      <c r="G47" s="303"/>
      <c r="H47" s="303"/>
      <c r="I47" s="342"/>
      <c r="J47" s="303"/>
      <c r="K47" s="303"/>
      <c r="L47" s="303"/>
      <c r="M47" s="303"/>
      <c r="N47" s="323"/>
      <c r="O47" s="470"/>
      <c r="P47" s="238"/>
      <c r="Q47" s="558"/>
      <c r="R47" s="558"/>
      <c r="S47" s="558"/>
      <c r="T47" s="558"/>
      <c r="U47" s="558"/>
      <c r="V47" s="558"/>
      <c r="W47" s="558"/>
      <c r="X47" s="558"/>
      <c r="Y47" s="558"/>
      <c r="Z47" s="558"/>
      <c r="AA47" s="558"/>
      <c r="AB47" s="558"/>
      <c r="AC47" s="558"/>
      <c r="AD47" s="558"/>
      <c r="AE47" s="558"/>
      <c r="AF47" s="558"/>
      <c r="AG47" s="558"/>
      <c r="AH47" s="558"/>
      <c r="AI47" s="558"/>
      <c r="AJ47" s="558"/>
      <c r="AK47" s="558"/>
      <c r="AL47" s="558"/>
      <c r="AM47" s="558"/>
      <c r="AN47" s="558"/>
      <c r="AO47" s="558"/>
      <c r="AP47" s="558"/>
      <c r="AQ47" s="558"/>
      <c r="AR47" s="558"/>
      <c r="AS47" s="558"/>
      <c r="AT47" s="558"/>
      <c r="AU47" s="558"/>
      <c r="AV47" s="558"/>
      <c r="AW47" s="558"/>
      <c r="AX47" s="558"/>
      <c r="AY47" s="558"/>
      <c r="AZ47" s="558"/>
      <c r="BA47" s="558"/>
      <c r="BB47" s="558"/>
      <c r="BC47" s="558"/>
      <c r="BD47" s="303"/>
    </row>
    <row r="48" spans="1:56" x14ac:dyDescent="0.2">
      <c r="A48" s="302"/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23"/>
      <c r="O48" s="303"/>
      <c r="P48" s="303"/>
      <c r="Q48" s="558"/>
      <c r="R48" s="558"/>
      <c r="S48" s="558"/>
      <c r="T48" s="558"/>
      <c r="U48" s="558"/>
      <c r="V48" s="558"/>
      <c r="W48" s="558"/>
      <c r="X48" s="558"/>
      <c r="Y48" s="558"/>
      <c r="Z48" s="558"/>
      <c r="AA48" s="558"/>
      <c r="AB48" s="558"/>
      <c r="AC48" s="558"/>
      <c r="AD48" s="558"/>
      <c r="AE48" s="558"/>
      <c r="AF48" s="558"/>
      <c r="AG48" s="558"/>
      <c r="AH48" s="558"/>
      <c r="AI48" s="558"/>
      <c r="AJ48" s="558"/>
      <c r="AK48" s="558"/>
      <c r="AL48" s="558"/>
      <c r="AM48" s="558"/>
      <c r="AN48" s="558"/>
      <c r="AO48" s="558"/>
      <c r="AP48" s="558"/>
      <c r="AQ48" s="558"/>
      <c r="AR48" s="558"/>
      <c r="AS48" s="558"/>
      <c r="AT48" s="558"/>
      <c r="AU48" s="558"/>
      <c r="AV48" s="558"/>
      <c r="AW48" s="558"/>
      <c r="AX48" s="558"/>
      <c r="AY48" s="558"/>
      <c r="AZ48" s="558"/>
      <c r="BA48" s="558"/>
      <c r="BB48" s="558"/>
      <c r="BC48" s="558"/>
      <c r="BD48" s="303"/>
    </row>
    <row r="49" spans="1:56" x14ac:dyDescent="0.2">
      <c r="A49" s="302"/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23"/>
      <c r="O49" s="303"/>
      <c r="P49" s="303"/>
      <c r="Q49" s="558"/>
      <c r="R49" s="558"/>
      <c r="S49" s="558"/>
      <c r="T49" s="558"/>
      <c r="U49" s="558"/>
      <c r="V49" s="558"/>
      <c r="W49" s="558"/>
      <c r="X49" s="558"/>
      <c r="Y49" s="558"/>
      <c r="Z49" s="558"/>
      <c r="AA49" s="558"/>
      <c r="AB49" s="558"/>
      <c r="AC49" s="558"/>
      <c r="AD49" s="558"/>
      <c r="AE49" s="558"/>
      <c r="AF49" s="558"/>
      <c r="AG49" s="558"/>
      <c r="AH49" s="558"/>
      <c r="AI49" s="558"/>
      <c r="AJ49" s="558"/>
      <c r="AK49" s="558"/>
      <c r="AL49" s="558"/>
      <c r="AM49" s="558"/>
      <c r="AN49" s="558"/>
      <c r="AO49" s="558"/>
      <c r="AP49" s="558"/>
      <c r="AQ49" s="558"/>
      <c r="AR49" s="558"/>
      <c r="AS49" s="558"/>
      <c r="AT49" s="558"/>
      <c r="AU49" s="558"/>
      <c r="AV49" s="558"/>
      <c r="AW49" s="558"/>
      <c r="AX49" s="558"/>
      <c r="AY49" s="558"/>
      <c r="AZ49" s="558"/>
      <c r="BA49" s="558"/>
      <c r="BB49" s="558"/>
      <c r="BC49" s="558"/>
      <c r="BD49" s="303"/>
    </row>
    <row r="50" spans="1:56" x14ac:dyDescent="0.2">
      <c r="A50" s="302"/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23"/>
      <c r="O50" s="303"/>
      <c r="P50" s="303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58"/>
      <c r="AB50" s="558"/>
      <c r="AC50" s="558"/>
      <c r="AD50" s="558"/>
      <c r="AE50" s="558"/>
      <c r="AF50" s="558"/>
      <c r="AG50" s="558"/>
      <c r="AH50" s="558"/>
      <c r="AI50" s="558"/>
      <c r="AJ50" s="558"/>
      <c r="AK50" s="558"/>
      <c r="AL50" s="558"/>
      <c r="AM50" s="558"/>
      <c r="AN50" s="558"/>
      <c r="AO50" s="558"/>
      <c r="AP50" s="558"/>
      <c r="AQ50" s="558"/>
      <c r="AR50" s="558"/>
      <c r="AS50" s="558"/>
      <c r="AT50" s="558"/>
      <c r="AU50" s="558"/>
      <c r="AV50" s="558"/>
      <c r="AW50" s="558"/>
      <c r="AX50" s="558"/>
      <c r="AY50" s="558"/>
      <c r="AZ50" s="558"/>
      <c r="BA50" s="558"/>
      <c r="BB50" s="558"/>
      <c r="BC50" s="558"/>
      <c r="BD50" s="303"/>
    </row>
    <row r="51" spans="1:56" x14ac:dyDescent="0.2">
      <c r="A51" s="302"/>
      <c r="B51" s="303"/>
      <c r="C51" s="303"/>
      <c r="D51" s="303"/>
      <c r="E51" s="303"/>
      <c r="F51" s="303"/>
      <c r="G51" s="303"/>
      <c r="H51" s="303"/>
      <c r="I51" s="303"/>
      <c r="J51" s="303"/>
      <c r="K51" s="303"/>
      <c r="L51" s="303"/>
      <c r="M51" s="303"/>
      <c r="N51" s="303"/>
      <c r="O51" s="303"/>
      <c r="P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</row>
    <row r="52" spans="1:56" x14ac:dyDescent="0.2">
      <c r="A52" s="302"/>
      <c r="B52" s="303"/>
      <c r="C52" s="303"/>
      <c r="D52" s="303"/>
      <c r="E52" s="303"/>
      <c r="F52" s="303"/>
      <c r="G52" s="303"/>
      <c r="H52" s="303"/>
      <c r="I52" s="303"/>
      <c r="J52" s="303"/>
      <c r="K52" s="303"/>
      <c r="L52" s="303"/>
      <c r="M52" s="303"/>
      <c r="N52" s="303"/>
      <c r="O52" s="303"/>
      <c r="P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</row>
    <row r="53" spans="1:56" x14ac:dyDescent="0.2">
      <c r="A53" s="302"/>
      <c r="B53" s="303"/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  <c r="N53" s="303"/>
      <c r="O53" s="303"/>
      <c r="P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</row>
    <row r="54" spans="1:56" s="303" customFormat="1" x14ac:dyDescent="0.2"/>
    <row r="55" spans="1:56" s="303" customFormat="1" x14ac:dyDescent="0.2"/>
    <row r="56" spans="1:56" s="303" customFormat="1" x14ac:dyDescent="0.2"/>
    <row r="57" spans="1:56" s="303" customFormat="1" x14ac:dyDescent="0.2"/>
    <row r="58" spans="1:56" s="303" customFormat="1" x14ac:dyDescent="0.2"/>
    <row r="59" spans="1:56" s="303" customFormat="1" x14ac:dyDescent="0.2"/>
    <row r="60" spans="1:56" s="303" customFormat="1" x14ac:dyDescent="0.2"/>
    <row r="61" spans="1:56" s="303" customFormat="1" x14ac:dyDescent="0.2"/>
    <row r="62" spans="1:56" s="303" customFormat="1" x14ac:dyDescent="0.2"/>
    <row r="63" spans="1:56" s="303" customFormat="1" x14ac:dyDescent="0.2"/>
    <row r="64" spans="1:56" s="303" customFormat="1" x14ac:dyDescent="0.2"/>
    <row r="65" s="303" customFormat="1" x14ac:dyDescent="0.2"/>
    <row r="66" s="303" customFormat="1" x14ac:dyDescent="0.2"/>
    <row r="67" s="303" customFormat="1" x14ac:dyDescent="0.2"/>
    <row r="68" s="303" customFormat="1" x14ac:dyDescent="0.2"/>
    <row r="69" s="303" customFormat="1" x14ac:dyDescent="0.2"/>
    <row r="70" s="303" customFormat="1" x14ac:dyDescent="0.2"/>
    <row r="71" s="303" customFormat="1" x14ac:dyDescent="0.2"/>
    <row r="72" s="303" customFormat="1" x14ac:dyDescent="0.2"/>
    <row r="73" s="303" customFormat="1" x14ac:dyDescent="0.2"/>
    <row r="74" s="303" customFormat="1" x14ac:dyDescent="0.2"/>
    <row r="75" s="303" customFormat="1" x14ac:dyDescent="0.2"/>
    <row r="76" s="303" customFormat="1" x14ac:dyDescent="0.2"/>
    <row r="77" s="303" customFormat="1" x14ac:dyDescent="0.2"/>
    <row r="78" s="303" customFormat="1" x14ac:dyDescent="0.2"/>
    <row r="79" s="303" customFormat="1" x14ac:dyDescent="0.2"/>
    <row r="80" s="303" customFormat="1" x14ac:dyDescent="0.2"/>
    <row r="81" s="303" customFormat="1" x14ac:dyDescent="0.2"/>
    <row r="82" s="303" customFormat="1" x14ac:dyDescent="0.2"/>
    <row r="83" s="303" customFormat="1" x14ac:dyDescent="0.2"/>
    <row r="84" s="303" customFormat="1" x14ac:dyDescent="0.2"/>
    <row r="85" s="303" customFormat="1" x14ac:dyDescent="0.2"/>
    <row r="86" s="303" customFormat="1" x14ac:dyDescent="0.2"/>
    <row r="87" s="303" customFormat="1" x14ac:dyDescent="0.2"/>
    <row r="88" s="303" customFormat="1" x14ac:dyDescent="0.2"/>
    <row r="89" s="303" customFormat="1" x14ac:dyDescent="0.2"/>
    <row r="90" s="303" customFormat="1" x14ac:dyDescent="0.2"/>
    <row r="91" s="303" customFormat="1" x14ac:dyDescent="0.2"/>
    <row r="92" s="303" customFormat="1" x14ac:dyDescent="0.2"/>
    <row r="93" s="303" customFormat="1" x14ac:dyDescent="0.2"/>
    <row r="94" s="303" customFormat="1" x14ac:dyDescent="0.2"/>
    <row r="95" s="303" customFormat="1" x14ac:dyDescent="0.2"/>
    <row r="96" s="303" customFormat="1" x14ac:dyDescent="0.2"/>
    <row r="97" s="303" customFormat="1" x14ac:dyDescent="0.2"/>
    <row r="98" s="303" customFormat="1" x14ac:dyDescent="0.2"/>
    <row r="99" s="303" customFormat="1" x14ac:dyDescent="0.2"/>
    <row r="100" s="303" customFormat="1" x14ac:dyDescent="0.2"/>
    <row r="101" s="303" customFormat="1" x14ac:dyDescent="0.2"/>
    <row r="102" s="303" customFormat="1" x14ac:dyDescent="0.2"/>
    <row r="103" s="303" customFormat="1" x14ac:dyDescent="0.2"/>
    <row r="104" s="303" customFormat="1" x14ac:dyDescent="0.2"/>
    <row r="105" s="303" customFormat="1" x14ac:dyDescent="0.2"/>
    <row r="106" s="303" customFormat="1" x14ac:dyDescent="0.2"/>
    <row r="107" s="303" customFormat="1" x14ac:dyDescent="0.2"/>
    <row r="108" s="303" customFormat="1" x14ac:dyDescent="0.2"/>
    <row r="109" s="303" customFormat="1" x14ac:dyDescent="0.2"/>
    <row r="110" s="303" customFormat="1" x14ac:dyDescent="0.2"/>
    <row r="111" s="303" customFormat="1" x14ac:dyDescent="0.2"/>
    <row r="112" s="303" customFormat="1" x14ac:dyDescent="0.2"/>
    <row r="113" s="303" customFormat="1" x14ac:dyDescent="0.2"/>
    <row r="114" s="303" customFormat="1" x14ac:dyDescent="0.2"/>
    <row r="115" s="303" customFormat="1" x14ac:dyDescent="0.2"/>
    <row r="116" s="303" customFormat="1" x14ac:dyDescent="0.2"/>
    <row r="117" s="303" customFormat="1" x14ac:dyDescent="0.2"/>
    <row r="118" s="303" customFormat="1" x14ac:dyDescent="0.2"/>
    <row r="119" s="303" customFormat="1" x14ac:dyDescent="0.2"/>
    <row r="120" s="303" customFormat="1" x14ac:dyDescent="0.2"/>
    <row r="121" s="303" customFormat="1" x14ac:dyDescent="0.2"/>
    <row r="122" s="303" customFormat="1" x14ac:dyDescent="0.2"/>
    <row r="123" s="303" customFormat="1" x14ac:dyDescent="0.2"/>
    <row r="124" s="303" customFormat="1" x14ac:dyDescent="0.2"/>
    <row r="125" s="303" customFormat="1" x14ac:dyDescent="0.2"/>
    <row r="126" s="303" customFormat="1" x14ac:dyDescent="0.2"/>
    <row r="127" s="303" customFormat="1" x14ac:dyDescent="0.2"/>
    <row r="128" s="303" customFormat="1" x14ac:dyDescent="0.2"/>
    <row r="129" s="303" customFormat="1" x14ac:dyDescent="0.2"/>
    <row r="130" s="303" customFormat="1" x14ac:dyDescent="0.2"/>
    <row r="131" s="303" customFormat="1" x14ac:dyDescent="0.2"/>
    <row r="132" s="303" customFormat="1" x14ac:dyDescent="0.2"/>
    <row r="133" s="303" customFormat="1" x14ac:dyDescent="0.2"/>
    <row r="134" s="303" customFormat="1" x14ac:dyDescent="0.2"/>
    <row r="135" s="303" customFormat="1" x14ac:dyDescent="0.2"/>
    <row r="136" s="303" customFormat="1" x14ac:dyDescent="0.2"/>
    <row r="137" s="303" customFormat="1" x14ac:dyDescent="0.2"/>
    <row r="138" s="303" customFormat="1" x14ac:dyDescent="0.2"/>
    <row r="139" s="303" customFormat="1" x14ac:dyDescent="0.2"/>
    <row r="140" s="303" customFormat="1" x14ac:dyDescent="0.2"/>
    <row r="141" s="303" customFormat="1" x14ac:dyDescent="0.2"/>
    <row r="142" s="303" customFormat="1" x14ac:dyDescent="0.2"/>
    <row r="143" s="303" customFormat="1" x14ac:dyDescent="0.2"/>
    <row r="144" s="303" customFormat="1" x14ac:dyDescent="0.2"/>
    <row r="145" s="303" customFormat="1" x14ac:dyDescent="0.2"/>
    <row r="146" s="303" customFormat="1" x14ac:dyDescent="0.2"/>
    <row r="147" s="303" customFormat="1" x14ac:dyDescent="0.2"/>
    <row r="148" s="303" customFormat="1" x14ac:dyDescent="0.2"/>
    <row r="149" s="303" customFormat="1" x14ac:dyDescent="0.2"/>
    <row r="150" s="303" customFormat="1" x14ac:dyDescent="0.2"/>
    <row r="151" s="303" customFormat="1" x14ac:dyDescent="0.2"/>
    <row r="152" s="303" customFormat="1" x14ac:dyDescent="0.2"/>
    <row r="153" s="303" customFormat="1" x14ac:dyDescent="0.2"/>
    <row r="154" s="303" customFormat="1" x14ac:dyDescent="0.2"/>
    <row r="155" s="303" customFormat="1" x14ac:dyDescent="0.2"/>
    <row r="156" s="303" customFormat="1" x14ac:dyDescent="0.2"/>
    <row r="157" s="303" customFormat="1" x14ac:dyDescent="0.2"/>
    <row r="158" s="303" customFormat="1" x14ac:dyDescent="0.2"/>
    <row r="159" s="303" customFormat="1" x14ac:dyDescent="0.2"/>
    <row r="160" s="303" customFormat="1" x14ac:dyDescent="0.2"/>
    <row r="161" s="303" customFormat="1" x14ac:dyDescent="0.2"/>
    <row r="162" s="303" customFormat="1" x14ac:dyDescent="0.2"/>
    <row r="163" s="303" customFormat="1" x14ac:dyDescent="0.2"/>
    <row r="164" s="303" customFormat="1" x14ac:dyDescent="0.2"/>
    <row r="165" s="303" customFormat="1" x14ac:dyDescent="0.2"/>
    <row r="166" s="303" customFormat="1" x14ac:dyDescent="0.2"/>
    <row r="167" s="303" customFormat="1" x14ac:dyDescent="0.2"/>
    <row r="168" s="303" customFormat="1" x14ac:dyDescent="0.2"/>
    <row r="169" s="303" customFormat="1" x14ac:dyDescent="0.2"/>
    <row r="170" s="303" customFormat="1" x14ac:dyDescent="0.2"/>
    <row r="171" s="303" customFormat="1" x14ac:dyDescent="0.2"/>
    <row r="172" s="303" customFormat="1" x14ac:dyDescent="0.2"/>
    <row r="173" s="303" customFormat="1" x14ac:dyDescent="0.2"/>
    <row r="174" s="303" customFormat="1" x14ac:dyDescent="0.2"/>
    <row r="175" s="303" customFormat="1" x14ac:dyDescent="0.2"/>
    <row r="176" s="303" customFormat="1" x14ac:dyDescent="0.2"/>
    <row r="177" s="303" customFormat="1" x14ac:dyDescent="0.2"/>
    <row r="178" s="303" customFormat="1" x14ac:dyDescent="0.2"/>
    <row r="179" s="303" customFormat="1" x14ac:dyDescent="0.2"/>
    <row r="180" s="303" customFormat="1" x14ac:dyDescent="0.2"/>
    <row r="181" s="303" customFormat="1" x14ac:dyDescent="0.2"/>
    <row r="182" s="303" customFormat="1" x14ac:dyDescent="0.2"/>
    <row r="183" s="303" customFormat="1" x14ac:dyDescent="0.2"/>
    <row r="184" s="303" customFormat="1" x14ac:dyDescent="0.2"/>
    <row r="185" s="303" customFormat="1" x14ac:dyDescent="0.2"/>
    <row r="186" s="303" customFormat="1" x14ac:dyDescent="0.2"/>
    <row r="187" s="303" customFormat="1" x14ac:dyDescent="0.2"/>
    <row r="188" s="303" customFormat="1" x14ac:dyDescent="0.2"/>
    <row r="189" s="303" customFormat="1" x14ac:dyDescent="0.2"/>
    <row r="190" s="303" customFormat="1" x14ac:dyDescent="0.2"/>
    <row r="191" s="303" customFormat="1" x14ac:dyDescent="0.2"/>
    <row r="192" s="303" customFormat="1" x14ac:dyDescent="0.2"/>
    <row r="193" s="303" customFormat="1" x14ac:dyDescent="0.2"/>
    <row r="194" s="303" customFormat="1" x14ac:dyDescent="0.2"/>
    <row r="195" s="303" customFormat="1" x14ac:dyDescent="0.2"/>
    <row r="196" s="303" customFormat="1" x14ac:dyDescent="0.2"/>
    <row r="197" s="303" customFormat="1" x14ac:dyDescent="0.2"/>
    <row r="198" s="303" customFormat="1" x14ac:dyDescent="0.2"/>
    <row r="199" s="303" customFormat="1" x14ac:dyDescent="0.2"/>
    <row r="200" s="303" customFormat="1" x14ac:dyDescent="0.2"/>
    <row r="201" s="303" customFormat="1" x14ac:dyDescent="0.2"/>
    <row r="202" s="303" customFormat="1" x14ac:dyDescent="0.2"/>
    <row r="203" s="303" customFormat="1" x14ac:dyDescent="0.2"/>
    <row r="204" s="303" customFormat="1" x14ac:dyDescent="0.2"/>
    <row r="205" s="303" customFormat="1" x14ac:dyDescent="0.2"/>
    <row r="206" s="303" customFormat="1" x14ac:dyDescent="0.2"/>
    <row r="207" s="303" customFormat="1" x14ac:dyDescent="0.2"/>
    <row r="208" s="303" customFormat="1" x14ac:dyDescent="0.2"/>
    <row r="209" s="303" customFormat="1" x14ac:dyDescent="0.2"/>
    <row r="210" s="303" customFormat="1" x14ac:dyDescent="0.2"/>
    <row r="211" s="303" customFormat="1" x14ac:dyDescent="0.2"/>
    <row r="212" s="303" customFormat="1" x14ac:dyDescent="0.2"/>
    <row r="213" s="303" customFormat="1" x14ac:dyDescent="0.2"/>
    <row r="214" s="303" customFormat="1" x14ac:dyDescent="0.2"/>
    <row r="215" s="303" customFormat="1" x14ac:dyDescent="0.2"/>
    <row r="216" s="303" customFormat="1" x14ac:dyDescent="0.2"/>
    <row r="217" s="303" customFormat="1" x14ac:dyDescent="0.2"/>
    <row r="218" s="303" customFormat="1" x14ac:dyDescent="0.2"/>
    <row r="219" s="303" customFormat="1" x14ac:dyDescent="0.2"/>
    <row r="220" s="303" customFormat="1" x14ac:dyDescent="0.2"/>
    <row r="221" s="303" customFormat="1" x14ac:dyDescent="0.2"/>
    <row r="222" s="303" customFormat="1" x14ac:dyDescent="0.2"/>
    <row r="223" s="303" customFormat="1" x14ac:dyDescent="0.2"/>
    <row r="224" s="303" customFormat="1" x14ac:dyDescent="0.2"/>
    <row r="225" s="303" customFormat="1" x14ac:dyDescent="0.2"/>
    <row r="226" s="303" customFormat="1" x14ac:dyDescent="0.2"/>
    <row r="227" s="303" customFormat="1" x14ac:dyDescent="0.2"/>
    <row r="228" s="303" customFormat="1" x14ac:dyDescent="0.2"/>
    <row r="229" s="303" customFormat="1" x14ac:dyDescent="0.2"/>
    <row r="230" s="303" customFormat="1" x14ac:dyDescent="0.2"/>
    <row r="231" s="303" customFormat="1" x14ac:dyDescent="0.2"/>
    <row r="232" s="303" customFormat="1" x14ac:dyDescent="0.2"/>
    <row r="233" s="303" customFormat="1" x14ac:dyDescent="0.2"/>
    <row r="234" s="303" customFormat="1" x14ac:dyDescent="0.2"/>
    <row r="235" s="303" customFormat="1" x14ac:dyDescent="0.2"/>
    <row r="236" s="303" customFormat="1" x14ac:dyDescent="0.2"/>
    <row r="237" s="303" customFormat="1" x14ac:dyDescent="0.2"/>
    <row r="238" s="303" customFormat="1" x14ac:dyDescent="0.2"/>
    <row r="239" s="303" customFormat="1" x14ac:dyDescent="0.2"/>
    <row r="240" s="303" customFormat="1" x14ac:dyDescent="0.2"/>
    <row r="241" s="303" customFormat="1" x14ac:dyDescent="0.2"/>
    <row r="242" s="303" customFormat="1" x14ac:dyDescent="0.2"/>
    <row r="243" s="303" customFormat="1" x14ac:dyDescent="0.2"/>
    <row r="244" s="303" customFormat="1" x14ac:dyDescent="0.2"/>
    <row r="245" s="303" customFormat="1" x14ac:dyDescent="0.2"/>
    <row r="246" s="303" customFormat="1" x14ac:dyDescent="0.2"/>
    <row r="247" s="303" customFormat="1" x14ac:dyDescent="0.2"/>
    <row r="248" s="303" customFormat="1" x14ac:dyDescent="0.2"/>
    <row r="249" s="303" customFormat="1" x14ac:dyDescent="0.2"/>
    <row r="250" s="303" customFormat="1" x14ac:dyDescent="0.2"/>
    <row r="251" s="303" customFormat="1" x14ac:dyDescent="0.2"/>
    <row r="252" s="303" customFormat="1" x14ac:dyDescent="0.2"/>
    <row r="253" s="303" customFormat="1" x14ac:dyDescent="0.2"/>
    <row r="254" s="303" customFormat="1" x14ac:dyDescent="0.2"/>
    <row r="255" s="303" customFormat="1" x14ac:dyDescent="0.2"/>
    <row r="256" s="303" customFormat="1" x14ac:dyDescent="0.2"/>
    <row r="257" s="303" customFormat="1" x14ac:dyDescent="0.2"/>
    <row r="258" s="303" customFormat="1" x14ac:dyDescent="0.2"/>
    <row r="259" s="303" customFormat="1" x14ac:dyDescent="0.2"/>
    <row r="260" s="303" customFormat="1" x14ac:dyDescent="0.2"/>
    <row r="261" s="303" customFormat="1" x14ac:dyDescent="0.2"/>
    <row r="262" s="303" customFormat="1" x14ac:dyDescent="0.2"/>
    <row r="263" s="303" customFormat="1" x14ac:dyDescent="0.2"/>
    <row r="264" s="303" customFormat="1" x14ac:dyDescent="0.2"/>
    <row r="265" s="303" customFormat="1" x14ac:dyDescent="0.2"/>
    <row r="266" s="303" customFormat="1" x14ac:dyDescent="0.2"/>
    <row r="267" s="303" customFormat="1" x14ac:dyDescent="0.2"/>
    <row r="268" s="303" customFormat="1" x14ac:dyDescent="0.2"/>
    <row r="269" s="303" customFormat="1" x14ac:dyDescent="0.2"/>
    <row r="270" s="303" customFormat="1" x14ac:dyDescent="0.2"/>
    <row r="271" s="303" customFormat="1" x14ac:dyDescent="0.2"/>
    <row r="272" s="303" customFormat="1" x14ac:dyDescent="0.2"/>
    <row r="273" s="303" customFormat="1" x14ac:dyDescent="0.2"/>
    <row r="274" s="303" customFormat="1" x14ac:dyDescent="0.2"/>
    <row r="275" s="303" customFormat="1" x14ac:dyDescent="0.2"/>
    <row r="276" s="303" customFormat="1" x14ac:dyDescent="0.2"/>
    <row r="277" s="303" customFormat="1" x14ac:dyDescent="0.2"/>
    <row r="278" s="303" customFormat="1" x14ac:dyDescent="0.2"/>
    <row r="279" s="303" customFormat="1" x14ac:dyDescent="0.2"/>
    <row r="280" s="303" customFormat="1" x14ac:dyDescent="0.2"/>
    <row r="281" s="303" customFormat="1" x14ac:dyDescent="0.2"/>
    <row r="282" s="303" customFormat="1" x14ac:dyDescent="0.2"/>
    <row r="283" s="303" customFormat="1" x14ac:dyDescent="0.2"/>
    <row r="284" s="303" customFormat="1" x14ac:dyDescent="0.2"/>
    <row r="285" s="303" customFormat="1" x14ac:dyDescent="0.2"/>
    <row r="286" s="303" customFormat="1" x14ac:dyDescent="0.2"/>
    <row r="287" s="303" customFormat="1" x14ac:dyDescent="0.2"/>
    <row r="288" s="303" customFormat="1" x14ac:dyDescent="0.2"/>
    <row r="289" s="303" customFormat="1" x14ac:dyDescent="0.2"/>
    <row r="290" s="303" customFormat="1" x14ac:dyDescent="0.2"/>
    <row r="291" s="303" customFormat="1" x14ac:dyDescent="0.2"/>
    <row r="292" s="303" customFormat="1" x14ac:dyDescent="0.2"/>
    <row r="293" s="303" customFormat="1" x14ac:dyDescent="0.2"/>
    <row r="294" s="303" customFormat="1" x14ac:dyDescent="0.2"/>
    <row r="295" s="303" customFormat="1" x14ac:dyDescent="0.2"/>
    <row r="296" s="303" customFormat="1" x14ac:dyDescent="0.2"/>
    <row r="297" s="303" customFormat="1" x14ac:dyDescent="0.2"/>
    <row r="298" s="303" customFormat="1" x14ac:dyDescent="0.2"/>
    <row r="299" s="303" customFormat="1" x14ac:dyDescent="0.2"/>
    <row r="300" s="303" customFormat="1" x14ac:dyDescent="0.2"/>
    <row r="301" s="303" customFormat="1" x14ac:dyDescent="0.2"/>
    <row r="302" s="303" customFormat="1" x14ac:dyDescent="0.2"/>
    <row r="303" s="303" customFormat="1" x14ac:dyDescent="0.2"/>
    <row r="304" s="303" customFormat="1" x14ac:dyDescent="0.2"/>
    <row r="305" s="303" customFormat="1" x14ac:dyDescent="0.2"/>
    <row r="306" s="303" customFormat="1" x14ac:dyDescent="0.2"/>
    <row r="307" s="303" customFormat="1" x14ac:dyDescent="0.2"/>
    <row r="308" s="303" customFormat="1" x14ac:dyDescent="0.2"/>
    <row r="309" s="303" customFormat="1" x14ac:dyDescent="0.2"/>
    <row r="310" s="303" customFormat="1" x14ac:dyDescent="0.2"/>
    <row r="311" s="303" customFormat="1" x14ac:dyDescent="0.2"/>
    <row r="312" s="303" customFormat="1" x14ac:dyDescent="0.2"/>
    <row r="313" s="303" customFormat="1" x14ac:dyDescent="0.2"/>
    <row r="314" s="303" customFormat="1" x14ac:dyDescent="0.2"/>
    <row r="315" s="303" customFormat="1" x14ac:dyDescent="0.2"/>
    <row r="316" s="303" customFormat="1" x14ac:dyDescent="0.2"/>
    <row r="317" s="303" customFormat="1" x14ac:dyDescent="0.2"/>
    <row r="318" s="303" customFormat="1" x14ac:dyDescent="0.2"/>
    <row r="319" s="303" customFormat="1" x14ac:dyDescent="0.2"/>
    <row r="320" s="303" customFormat="1" x14ac:dyDescent="0.2"/>
    <row r="321" s="303" customFormat="1" x14ac:dyDescent="0.2"/>
    <row r="322" s="303" customFormat="1" x14ac:dyDescent="0.2"/>
    <row r="323" s="303" customFormat="1" x14ac:dyDescent="0.2"/>
    <row r="324" s="303" customFormat="1" x14ac:dyDescent="0.2"/>
    <row r="325" s="303" customFormat="1" x14ac:dyDescent="0.2"/>
    <row r="326" s="303" customFormat="1" x14ac:dyDescent="0.2"/>
    <row r="327" s="303" customFormat="1" x14ac:dyDescent="0.2"/>
    <row r="328" s="303" customFormat="1" x14ac:dyDescent="0.2"/>
    <row r="329" s="303" customFormat="1" x14ac:dyDescent="0.2"/>
    <row r="330" s="303" customFormat="1" x14ac:dyDescent="0.2"/>
    <row r="331" s="303" customFormat="1" x14ac:dyDescent="0.2"/>
    <row r="332" s="303" customFormat="1" x14ac:dyDescent="0.2"/>
    <row r="333" s="303" customFormat="1" x14ac:dyDescent="0.2"/>
    <row r="334" s="303" customFormat="1" x14ac:dyDescent="0.2"/>
    <row r="335" s="303" customFormat="1" x14ac:dyDescent="0.2"/>
    <row r="336" s="303" customFormat="1" x14ac:dyDescent="0.2"/>
    <row r="337" s="303" customFormat="1" x14ac:dyDescent="0.2"/>
    <row r="338" s="303" customFormat="1" x14ac:dyDescent="0.2"/>
    <row r="339" s="303" customFormat="1" x14ac:dyDescent="0.2"/>
    <row r="340" s="303" customFormat="1" x14ac:dyDescent="0.2"/>
    <row r="341" s="303" customFormat="1" x14ac:dyDescent="0.2"/>
    <row r="342" s="303" customFormat="1" x14ac:dyDescent="0.2"/>
    <row r="343" s="303" customFormat="1" x14ac:dyDescent="0.2"/>
    <row r="344" s="303" customFormat="1" x14ac:dyDescent="0.2"/>
    <row r="345" s="303" customFormat="1" x14ac:dyDescent="0.2"/>
    <row r="346" s="303" customFormat="1" x14ac:dyDescent="0.2"/>
    <row r="347" s="303" customFormat="1" x14ac:dyDescent="0.2"/>
    <row r="348" s="303" customFormat="1" x14ac:dyDescent="0.2"/>
    <row r="349" s="303" customFormat="1" x14ac:dyDescent="0.2"/>
    <row r="350" s="303" customFormat="1" x14ac:dyDescent="0.2"/>
    <row r="351" s="303" customFormat="1" x14ac:dyDescent="0.2"/>
    <row r="352" s="303" customFormat="1" x14ac:dyDescent="0.2"/>
    <row r="353" s="303" customFormat="1" x14ac:dyDescent="0.2"/>
    <row r="354" s="303" customFormat="1" x14ac:dyDescent="0.2"/>
    <row r="355" s="303" customFormat="1" x14ac:dyDescent="0.2"/>
    <row r="356" s="303" customFormat="1" x14ac:dyDescent="0.2"/>
    <row r="357" s="303" customFormat="1" x14ac:dyDescent="0.2"/>
    <row r="358" s="303" customFormat="1" x14ac:dyDescent="0.2"/>
    <row r="359" s="303" customFormat="1" x14ac:dyDescent="0.2"/>
    <row r="360" s="303" customFormat="1" x14ac:dyDescent="0.2"/>
    <row r="361" s="303" customFormat="1" x14ac:dyDescent="0.2"/>
    <row r="362" s="303" customFormat="1" x14ac:dyDescent="0.2"/>
    <row r="363" s="303" customFormat="1" x14ac:dyDescent="0.2"/>
    <row r="364" s="303" customFormat="1" x14ac:dyDescent="0.2"/>
    <row r="365" s="303" customFormat="1" x14ac:dyDescent="0.2"/>
    <row r="366" s="303" customFormat="1" x14ac:dyDescent="0.2"/>
    <row r="367" s="303" customFormat="1" x14ac:dyDescent="0.2"/>
    <row r="368" s="303" customFormat="1" x14ac:dyDescent="0.2"/>
    <row r="369" s="303" customFormat="1" x14ac:dyDescent="0.2"/>
    <row r="370" s="303" customFormat="1" x14ac:dyDescent="0.2"/>
    <row r="371" s="303" customFormat="1" x14ac:dyDescent="0.2"/>
    <row r="372" s="303" customFormat="1" x14ac:dyDescent="0.2"/>
    <row r="373" s="303" customFormat="1" x14ac:dyDescent="0.2"/>
    <row r="374" s="303" customFormat="1" x14ac:dyDescent="0.2"/>
    <row r="375" s="303" customFormat="1" x14ac:dyDescent="0.2"/>
    <row r="376" s="303" customFormat="1" x14ac:dyDescent="0.2"/>
    <row r="377" s="303" customFormat="1" x14ac:dyDescent="0.2"/>
    <row r="378" s="303" customFormat="1" x14ac:dyDescent="0.2"/>
    <row r="379" s="303" customFormat="1" x14ac:dyDescent="0.2"/>
    <row r="380" s="303" customFormat="1" x14ac:dyDescent="0.2"/>
    <row r="381" s="303" customFormat="1" x14ac:dyDescent="0.2"/>
    <row r="382" s="303" customFormat="1" x14ac:dyDescent="0.2"/>
    <row r="383" s="303" customFormat="1" x14ac:dyDescent="0.2"/>
    <row r="384" s="303" customFormat="1" x14ac:dyDescent="0.2"/>
    <row r="385" s="303" customFormat="1" x14ac:dyDescent="0.2"/>
    <row r="386" s="303" customFormat="1" x14ac:dyDescent="0.2"/>
    <row r="387" s="303" customFormat="1" x14ac:dyDescent="0.2"/>
    <row r="388" s="303" customFormat="1" x14ac:dyDescent="0.2"/>
    <row r="389" s="303" customFormat="1" x14ac:dyDescent="0.2"/>
    <row r="390" s="303" customFormat="1" x14ac:dyDescent="0.2"/>
    <row r="391" s="303" customFormat="1" x14ac:dyDescent="0.2"/>
    <row r="392" s="303" customFormat="1" x14ac:dyDescent="0.2"/>
    <row r="393" s="303" customFormat="1" x14ac:dyDescent="0.2"/>
    <row r="394" s="303" customFormat="1" x14ac:dyDescent="0.2"/>
    <row r="395" s="303" customFormat="1" x14ac:dyDescent="0.2"/>
    <row r="396" s="303" customFormat="1" x14ac:dyDescent="0.2"/>
    <row r="397" s="303" customFormat="1" x14ac:dyDescent="0.2"/>
    <row r="398" s="303" customFormat="1" x14ac:dyDescent="0.2"/>
    <row r="399" s="303" customFormat="1" x14ac:dyDescent="0.2"/>
    <row r="400" s="303" customFormat="1" x14ac:dyDescent="0.2"/>
    <row r="401" s="303" customFormat="1" x14ac:dyDescent="0.2"/>
    <row r="402" s="303" customFormat="1" x14ac:dyDescent="0.2"/>
    <row r="403" s="303" customFormat="1" x14ac:dyDescent="0.2"/>
    <row r="404" s="303" customFormat="1" x14ac:dyDescent="0.2"/>
    <row r="405" s="303" customFormat="1" x14ac:dyDescent="0.2"/>
    <row r="406" s="303" customFormat="1" x14ac:dyDescent="0.2"/>
    <row r="407" s="303" customFormat="1" x14ac:dyDescent="0.2"/>
    <row r="408" s="303" customFormat="1" x14ac:dyDescent="0.2"/>
    <row r="409" s="303" customFormat="1" x14ac:dyDescent="0.2"/>
    <row r="410" s="303" customFormat="1" x14ac:dyDescent="0.2"/>
    <row r="411" s="303" customFormat="1" x14ac:dyDescent="0.2"/>
    <row r="412" s="303" customFormat="1" x14ac:dyDescent="0.2"/>
    <row r="413" s="303" customFormat="1" x14ac:dyDescent="0.2"/>
    <row r="414" s="303" customFormat="1" x14ac:dyDescent="0.2"/>
    <row r="415" s="303" customFormat="1" x14ac:dyDescent="0.2"/>
    <row r="416" s="303" customFormat="1" x14ac:dyDescent="0.2"/>
    <row r="417" s="303" customFormat="1" x14ac:dyDescent="0.2"/>
    <row r="418" s="303" customFormat="1" x14ac:dyDescent="0.2"/>
    <row r="419" s="303" customFormat="1" x14ac:dyDescent="0.2"/>
    <row r="420" s="303" customFormat="1" x14ac:dyDescent="0.2"/>
    <row r="421" s="303" customFormat="1" x14ac:dyDescent="0.2"/>
    <row r="422" s="303" customFormat="1" x14ac:dyDescent="0.2"/>
    <row r="423" s="303" customFormat="1" x14ac:dyDescent="0.2"/>
    <row r="424" s="303" customFormat="1" x14ac:dyDescent="0.2"/>
    <row r="425" s="303" customFormat="1" x14ac:dyDescent="0.2"/>
    <row r="426" s="303" customFormat="1" x14ac:dyDescent="0.2"/>
    <row r="427" s="303" customFormat="1" x14ac:dyDescent="0.2"/>
    <row r="428" s="303" customFormat="1" x14ac:dyDescent="0.2"/>
    <row r="429" s="303" customFormat="1" x14ac:dyDescent="0.2"/>
    <row r="430" s="303" customFormat="1" x14ac:dyDescent="0.2"/>
    <row r="431" s="303" customFormat="1" x14ac:dyDescent="0.2"/>
    <row r="432" s="303" customFormat="1" x14ac:dyDescent="0.2"/>
    <row r="433" s="303" customFormat="1" x14ac:dyDescent="0.2"/>
    <row r="434" s="303" customFormat="1" x14ac:dyDescent="0.2"/>
    <row r="435" s="303" customFormat="1" x14ac:dyDescent="0.2"/>
    <row r="436" s="303" customFormat="1" x14ac:dyDescent="0.2"/>
    <row r="437" s="303" customFormat="1" x14ac:dyDescent="0.2"/>
    <row r="438" s="303" customFormat="1" x14ac:dyDescent="0.2"/>
    <row r="439" s="303" customFormat="1" x14ac:dyDescent="0.2"/>
    <row r="440" s="303" customFormat="1" x14ac:dyDescent="0.2"/>
    <row r="441" s="303" customFormat="1" x14ac:dyDescent="0.2"/>
    <row r="442" s="303" customFormat="1" x14ac:dyDescent="0.2"/>
    <row r="443" s="303" customFormat="1" x14ac:dyDescent="0.2"/>
    <row r="444" s="303" customFormat="1" x14ac:dyDescent="0.2"/>
    <row r="445" s="303" customFormat="1" x14ac:dyDescent="0.2"/>
    <row r="446" s="303" customFormat="1" x14ac:dyDescent="0.2"/>
    <row r="447" s="303" customFormat="1" x14ac:dyDescent="0.2"/>
    <row r="448" s="303" customFormat="1" x14ac:dyDescent="0.2"/>
    <row r="449" s="303" customFormat="1" x14ac:dyDescent="0.2"/>
    <row r="450" s="303" customFormat="1" x14ac:dyDescent="0.2"/>
    <row r="451" s="303" customFormat="1" x14ac:dyDescent="0.2"/>
    <row r="452" s="303" customFormat="1" x14ac:dyDescent="0.2"/>
    <row r="453" s="303" customFormat="1" x14ac:dyDescent="0.2"/>
    <row r="454" s="303" customFormat="1" x14ac:dyDescent="0.2"/>
    <row r="455" s="303" customFormat="1" x14ac:dyDescent="0.2"/>
    <row r="456" s="303" customFormat="1" x14ac:dyDescent="0.2"/>
    <row r="457" s="303" customFormat="1" x14ac:dyDescent="0.2"/>
    <row r="458" s="303" customFormat="1" x14ac:dyDescent="0.2"/>
    <row r="459" s="303" customFormat="1" x14ac:dyDescent="0.2"/>
    <row r="460" s="303" customFormat="1" x14ac:dyDescent="0.2"/>
    <row r="461" s="303" customFormat="1" x14ac:dyDescent="0.2"/>
    <row r="462" s="303" customFormat="1" x14ac:dyDescent="0.2"/>
    <row r="463" s="303" customFormat="1" x14ac:dyDescent="0.2"/>
    <row r="464" s="303" customFormat="1" x14ac:dyDescent="0.2"/>
    <row r="465" s="303" customFormat="1" x14ac:dyDescent="0.2"/>
    <row r="466" s="303" customFormat="1" x14ac:dyDescent="0.2"/>
    <row r="467" s="303" customFormat="1" x14ac:dyDescent="0.2"/>
    <row r="468" s="303" customFormat="1" x14ac:dyDescent="0.2"/>
    <row r="469" s="303" customFormat="1" x14ac:dyDescent="0.2"/>
    <row r="470" s="303" customFormat="1" x14ac:dyDescent="0.2"/>
    <row r="471" s="303" customFormat="1" x14ac:dyDescent="0.2"/>
    <row r="472" s="303" customFormat="1" x14ac:dyDescent="0.2"/>
    <row r="473" s="303" customFormat="1" x14ac:dyDescent="0.2"/>
    <row r="474" s="303" customFormat="1" x14ac:dyDescent="0.2"/>
    <row r="475" s="303" customFormat="1" x14ac:dyDescent="0.2"/>
    <row r="476" s="303" customFormat="1" x14ac:dyDescent="0.2"/>
    <row r="477" s="303" customFormat="1" x14ac:dyDescent="0.2"/>
    <row r="478" s="303" customFormat="1" x14ac:dyDescent="0.2"/>
    <row r="479" s="303" customFormat="1" x14ac:dyDescent="0.2"/>
    <row r="480" s="303" customFormat="1" x14ac:dyDescent="0.2"/>
    <row r="481" s="303" customFormat="1" x14ac:dyDescent="0.2"/>
    <row r="482" s="303" customFormat="1" x14ac:dyDescent="0.2"/>
    <row r="483" s="303" customFormat="1" x14ac:dyDescent="0.2"/>
    <row r="484" s="303" customFormat="1" x14ac:dyDescent="0.2"/>
    <row r="485" s="303" customFormat="1" x14ac:dyDescent="0.2"/>
    <row r="486" s="303" customFormat="1" x14ac:dyDescent="0.2"/>
    <row r="487" s="303" customFormat="1" x14ac:dyDescent="0.2"/>
    <row r="488" s="303" customFormat="1" x14ac:dyDescent="0.2"/>
    <row r="489" s="303" customFormat="1" x14ac:dyDescent="0.2"/>
    <row r="490" s="303" customFormat="1" x14ac:dyDescent="0.2"/>
    <row r="491" s="303" customFormat="1" x14ac:dyDescent="0.2"/>
    <row r="492" s="303" customFormat="1" x14ac:dyDescent="0.2"/>
    <row r="493" s="303" customFormat="1" x14ac:dyDescent="0.2"/>
    <row r="494" s="303" customFormat="1" x14ac:dyDescent="0.2"/>
    <row r="495" s="303" customFormat="1" x14ac:dyDescent="0.2"/>
    <row r="496" s="303" customFormat="1" x14ac:dyDescent="0.2"/>
    <row r="497" s="303" customFormat="1" x14ac:dyDescent="0.2"/>
    <row r="498" s="303" customFormat="1" x14ac:dyDescent="0.2"/>
    <row r="499" s="303" customFormat="1" x14ac:dyDescent="0.2"/>
    <row r="500" s="303" customFormat="1" x14ac:dyDescent="0.2"/>
    <row r="501" s="303" customFormat="1" x14ac:dyDescent="0.2"/>
    <row r="502" s="303" customFormat="1" x14ac:dyDescent="0.2"/>
    <row r="503" s="303" customFormat="1" x14ac:dyDescent="0.2"/>
    <row r="504" s="303" customFormat="1" x14ac:dyDescent="0.2"/>
    <row r="505" s="303" customFormat="1" x14ac:dyDescent="0.2"/>
    <row r="506" s="303" customFormat="1" x14ac:dyDescent="0.2"/>
    <row r="507" s="303" customFormat="1" x14ac:dyDescent="0.2"/>
    <row r="508" s="303" customFormat="1" x14ac:dyDescent="0.2"/>
    <row r="509" s="303" customFormat="1" x14ac:dyDescent="0.2"/>
    <row r="510" s="303" customFormat="1" x14ac:dyDescent="0.2"/>
    <row r="511" s="303" customFormat="1" x14ac:dyDescent="0.2"/>
    <row r="512" s="303" customFormat="1" x14ac:dyDescent="0.2"/>
    <row r="513" s="303" customFormat="1" x14ac:dyDescent="0.2"/>
  </sheetData>
  <mergeCells count="5">
    <mergeCell ref="C2:BB3"/>
    <mergeCell ref="B30:B44"/>
    <mergeCell ref="B8:B19"/>
    <mergeCell ref="K45:L45"/>
    <mergeCell ref="K20:L20"/>
  </mergeCells>
  <phoneticPr fontId="133" alignment="center"/>
  <conditionalFormatting sqref="K8:K20 K30:K45">
    <cfRule type="containsText" dxfId="74" priority="7" operator="containsText" text="Correcto">
      <formula>NOT(ISERROR(SEARCH("Correcto",K8)))</formula>
    </cfRule>
    <cfRule type="cellIs" dxfId="73" priority="9" operator="equal">
      <formula>"Sobran"</formula>
    </cfRule>
    <cfRule type="cellIs" dxfId="72" priority="10" operator="equal">
      <formula>"Faltan"</formula>
    </cfRule>
  </conditionalFormatting>
  <conditionalFormatting sqref="L8:L19 L30:L44">
    <cfRule type="containsBlanks" dxfId="71" priority="8">
      <formula>LEN(TRIM(L8))=0</formula>
    </cfRule>
    <cfRule type="cellIs" dxfId="70" priority="11" operator="lessThan">
      <formula>0</formula>
    </cfRule>
    <cfRule type="cellIs" dxfId="69" priority="12" operator="greaterThan">
      <formula>0</formula>
    </cfRule>
  </conditionalFormatting>
  <pageMargins left="0.7" right="0.7" top="0.75" bottom="0.75" header="0.3" footer="0.3"/>
  <pageSetup paperSize="9" orientation="portrait" verticalDpi="1200" r:id="rId1"/>
  <ignoredErrors>
    <ignoredError sqref="O20" formulaRange="1"/>
    <ignoredError sqref="N19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95AA-7E5C-43FC-9313-182E44278187}">
  <dimension ref="A2:AE73"/>
  <sheetViews>
    <sheetView topLeftCell="D33" zoomScaleNormal="100" zoomScaleSheetLayoutView="100" workbookViewId="0">
      <selection activeCell="H63" sqref="H63"/>
    </sheetView>
  </sheetViews>
  <sheetFormatPr defaultColWidth="9.14453125" defaultRowHeight="12" x14ac:dyDescent="0.15"/>
  <cols>
    <col min="1" max="1" width="4.70703125" style="352" bestFit="1" customWidth="1"/>
    <col min="2" max="2" width="8.875" style="629" bestFit="1" customWidth="1"/>
    <col min="3" max="6" width="10.76171875" style="352" bestFit="1" customWidth="1"/>
    <col min="7" max="7" width="8.47265625" style="352" bestFit="1" customWidth="1"/>
    <col min="8" max="8" width="11.97265625" style="352" bestFit="1" customWidth="1"/>
    <col min="9" max="9" width="12.5078125" style="352" bestFit="1" customWidth="1"/>
    <col min="10" max="10" width="13.44921875" style="352" bestFit="1" customWidth="1"/>
    <col min="11" max="11" width="9.28125" style="352" bestFit="1" customWidth="1"/>
    <col min="12" max="12" width="4.3046875" style="352" customWidth="1"/>
    <col min="13" max="13" width="10.76171875" style="352" bestFit="1" customWidth="1"/>
    <col min="14" max="14" width="9.28125" style="352" bestFit="1" customWidth="1"/>
    <col min="15" max="16" width="10.76171875" style="352" bestFit="1" customWidth="1"/>
    <col min="17" max="17" width="4.9765625" style="352" bestFit="1" customWidth="1"/>
    <col min="18" max="18" width="11.703125" style="352" bestFit="1" customWidth="1"/>
    <col min="19" max="19" width="10.76171875" style="352" bestFit="1" customWidth="1"/>
    <col min="20" max="20" width="7.53125" style="352" bestFit="1" customWidth="1"/>
    <col min="21" max="22" width="10.76171875" style="352" bestFit="1" customWidth="1"/>
    <col min="23" max="25" width="4.9765625" style="352" bestFit="1" customWidth="1"/>
    <col min="26" max="26" width="8.609375" style="352" bestFit="1" customWidth="1"/>
    <col min="27" max="27" width="9.68359375" style="352" bestFit="1" customWidth="1"/>
    <col min="28" max="28" width="10.22265625" style="352" bestFit="1" customWidth="1"/>
    <col min="29" max="29" width="8.33984375" style="352" bestFit="1" customWidth="1"/>
    <col min="30" max="42" width="4.9765625" style="352" bestFit="1" customWidth="1"/>
    <col min="43" max="43" width="4.03515625" style="352" bestFit="1" customWidth="1"/>
    <col min="44" max="16384" width="9.14453125" style="352"/>
  </cols>
  <sheetData>
    <row r="2" spans="1:29" ht="12.75" thickBot="1" x14ac:dyDescent="0.2">
      <c r="C2" s="684" t="s">
        <v>79</v>
      </c>
      <c r="D2" s="684"/>
      <c r="E2" s="684"/>
      <c r="F2" s="684"/>
      <c r="G2" s="362"/>
      <c r="H2" s="685" t="s">
        <v>80</v>
      </c>
      <c r="I2" s="685"/>
      <c r="J2" s="685"/>
      <c r="K2" s="685"/>
      <c r="L2" s="362"/>
      <c r="M2" s="683" t="s">
        <v>89</v>
      </c>
      <c r="N2" s="683"/>
      <c r="O2" s="683"/>
      <c r="P2" s="683"/>
      <c r="R2" s="608" t="s">
        <v>5</v>
      </c>
      <c r="S2" s="608" t="s">
        <v>3</v>
      </c>
    </row>
    <row r="3" spans="1:29" ht="12.75" thickBot="1" x14ac:dyDescent="0.2">
      <c r="C3" s="435" t="s">
        <v>81</v>
      </c>
      <c r="D3" s="435" t="s">
        <v>82</v>
      </c>
      <c r="E3" s="436" t="s">
        <v>83</v>
      </c>
      <c r="F3" s="437" t="s">
        <v>9</v>
      </c>
      <c r="G3" s="438"/>
      <c r="H3" s="439" t="s">
        <v>81</v>
      </c>
      <c r="I3" s="439" t="s">
        <v>82</v>
      </c>
      <c r="J3" s="440" t="s">
        <v>83</v>
      </c>
      <c r="K3" s="441" t="s">
        <v>9</v>
      </c>
      <c r="L3" s="442"/>
      <c r="M3" s="443" t="s">
        <v>81</v>
      </c>
      <c r="N3" s="443" t="s">
        <v>82</v>
      </c>
      <c r="O3" s="444" t="s">
        <v>83</v>
      </c>
      <c r="P3" s="445" t="s">
        <v>9</v>
      </c>
    </row>
    <row r="4" spans="1:29" x14ac:dyDescent="0.15">
      <c r="A4" s="686">
        <v>2023</v>
      </c>
      <c r="B4" s="630">
        <v>45139</v>
      </c>
      <c r="C4" s="348">
        <v>21.3</v>
      </c>
      <c r="D4" s="349">
        <f>C4*0.19</f>
        <v>4.0470000000000006</v>
      </c>
      <c r="E4" s="625">
        <f>C4-D4</f>
        <v>17.253</v>
      </c>
      <c r="F4" s="416">
        <v>17.25</v>
      </c>
      <c r="G4" s="350"/>
      <c r="H4" s="350"/>
      <c r="I4" s="350"/>
      <c r="J4" s="622"/>
      <c r="K4" s="350"/>
      <c r="L4" s="350"/>
      <c r="M4" s="350"/>
      <c r="N4" s="350"/>
      <c r="O4" s="621"/>
      <c r="P4" s="350"/>
      <c r="Q4" s="350"/>
      <c r="R4" s="423">
        <f>+C4+H4+M4</f>
        <v>21.3</v>
      </c>
      <c r="S4" s="603">
        <f>SUM(E4,J4,O4)</f>
        <v>17.253</v>
      </c>
      <c r="T4" s="350"/>
      <c r="U4" s="350">
        <f>F4+K4+P4</f>
        <v>17.25</v>
      </c>
      <c r="Y4" s="446">
        <v>2023</v>
      </c>
      <c r="Z4" s="447" t="s">
        <v>81</v>
      </c>
      <c r="AA4" s="353">
        <f>SUM(C4:C8,H4:H8,M4:M8)</f>
        <v>566.45481143243694</v>
      </c>
      <c r="AC4" s="350"/>
    </row>
    <row r="5" spans="1:29" ht="12.75" thickBot="1" x14ac:dyDescent="0.2">
      <c r="A5" s="686"/>
      <c r="B5" s="630">
        <v>45170</v>
      </c>
      <c r="C5" s="354">
        <v>63.703703703703702</v>
      </c>
      <c r="D5" s="354">
        <f>C5*0.19</f>
        <v>12.103703703703703</v>
      </c>
      <c r="E5" s="355">
        <f>C5-D5</f>
        <v>51.6</v>
      </c>
      <c r="F5" s="424">
        <v>51.6</v>
      </c>
      <c r="G5" s="350"/>
      <c r="H5" s="356"/>
      <c r="I5" s="356"/>
      <c r="J5" s="350"/>
      <c r="K5" s="350"/>
      <c r="L5" s="350"/>
      <c r="M5" s="357"/>
      <c r="N5" s="357"/>
      <c r="O5" s="350"/>
      <c r="P5" s="350"/>
      <c r="Q5" s="350"/>
      <c r="R5" s="423">
        <f t="shared" ref="R5:R29" si="0">+C5+H5+M5</f>
        <v>63.703703703703702</v>
      </c>
      <c r="S5" s="604">
        <f>SUM(E5,J5,O5)</f>
        <v>51.6</v>
      </c>
      <c r="T5" s="350"/>
      <c r="U5" s="350">
        <f>F5+K5+P5</f>
        <v>51.6</v>
      </c>
      <c r="Z5" s="447" t="s">
        <v>82</v>
      </c>
      <c r="AA5" s="353">
        <f>SUM(D4:D8,I4:I8,N4:N8)</f>
        <v>107.62641417216304</v>
      </c>
      <c r="AB5" s="359">
        <f>+AA4-AA5</f>
        <v>458.8283972602739</v>
      </c>
    </row>
    <row r="6" spans="1:29" x14ac:dyDescent="0.15">
      <c r="A6" s="686"/>
      <c r="B6" s="630">
        <v>45200</v>
      </c>
      <c r="C6" s="354">
        <v>61.641975308641975</v>
      </c>
      <c r="D6" s="354">
        <f>C6*0.19</f>
        <v>11.711975308641975</v>
      </c>
      <c r="E6" s="355">
        <f>C6-D6</f>
        <v>49.93</v>
      </c>
      <c r="F6" s="416">
        <v>49.93</v>
      </c>
      <c r="G6" s="350"/>
      <c r="H6" s="356">
        <v>26.71</v>
      </c>
      <c r="I6" s="356">
        <f>H6*0.19</f>
        <v>5.0749000000000004</v>
      </c>
      <c r="J6" s="623">
        <f>H6-I6</f>
        <v>21.635100000000001</v>
      </c>
      <c r="K6" s="417">
        <v>21.64</v>
      </c>
      <c r="L6" s="350"/>
      <c r="M6" s="357">
        <v>26.01</v>
      </c>
      <c r="N6" s="357">
        <f>M6*0.19</f>
        <v>4.9419000000000004</v>
      </c>
      <c r="O6" s="351">
        <f>M6-N6</f>
        <v>21.068100000000001</v>
      </c>
      <c r="P6" s="365">
        <v>21.07</v>
      </c>
      <c r="Q6" s="350"/>
      <c r="R6" s="423">
        <f t="shared" si="0"/>
        <v>114.36197530864199</v>
      </c>
      <c r="S6" s="604">
        <f>SUM(E6,J6,O6)</f>
        <v>92.633200000000002</v>
      </c>
      <c r="T6" s="350"/>
      <c r="U6" s="350">
        <f>F6+K6+P6</f>
        <v>92.639999999999986</v>
      </c>
    </row>
    <row r="7" spans="1:29" ht="12.75" thickBot="1" x14ac:dyDescent="0.2">
      <c r="A7" s="686"/>
      <c r="B7" s="630">
        <v>45231</v>
      </c>
      <c r="C7" s="354">
        <v>61.643835616438366</v>
      </c>
      <c r="D7" s="354">
        <f>C7*0.19</f>
        <v>11.712328767123291</v>
      </c>
      <c r="E7" s="355">
        <f>C7-D7</f>
        <v>49.931506849315078</v>
      </c>
      <c r="F7" s="424">
        <v>49.93</v>
      </c>
      <c r="G7" s="350"/>
      <c r="H7" s="356">
        <v>63.7</v>
      </c>
      <c r="I7" s="356">
        <f>H7*0.19</f>
        <v>12.103000000000002</v>
      </c>
      <c r="J7" s="419">
        <f>H7-I7</f>
        <v>51.597000000000001</v>
      </c>
      <c r="K7" s="426">
        <v>51.6</v>
      </c>
      <c r="L7" s="350"/>
      <c r="M7" s="357">
        <f>29000*0.0226/12</f>
        <v>54.616666666666667</v>
      </c>
      <c r="N7" s="357">
        <f>M7*0.19</f>
        <v>10.377166666666668</v>
      </c>
      <c r="O7" s="358">
        <f>M7-N7</f>
        <v>44.2395</v>
      </c>
      <c r="P7" s="434">
        <v>45.08</v>
      </c>
      <c r="Q7" s="350"/>
      <c r="R7" s="423">
        <f t="shared" si="0"/>
        <v>179.96050228310503</v>
      </c>
      <c r="S7" s="604">
        <f>SUM(E7,J7,O7)</f>
        <v>145.76800684931507</v>
      </c>
      <c r="T7" s="350"/>
      <c r="U7" s="350">
        <f>F7+K7+P7</f>
        <v>146.61000000000001</v>
      </c>
    </row>
    <row r="8" spans="1:29" ht="12.75" thickBot="1" x14ac:dyDescent="0.2">
      <c r="A8" s="686"/>
      <c r="B8" s="630">
        <v>45261</v>
      </c>
      <c r="C8" s="354">
        <v>63.69863013698631</v>
      </c>
      <c r="D8" s="354">
        <f>C8*0.19</f>
        <v>12.1027397260274</v>
      </c>
      <c r="E8" s="626">
        <f>C8-D8</f>
        <v>51.595890410958908</v>
      </c>
      <c r="F8" s="416">
        <v>51.6</v>
      </c>
      <c r="G8" s="350"/>
      <c r="H8" s="356">
        <v>61.64</v>
      </c>
      <c r="I8" s="356">
        <f>H8*0.19</f>
        <v>11.711600000000001</v>
      </c>
      <c r="J8" s="420">
        <f>H8-I8</f>
        <v>49.928399999999996</v>
      </c>
      <c r="K8" s="426">
        <v>49.93</v>
      </c>
      <c r="L8" s="350"/>
      <c r="M8" s="357">
        <v>61.79</v>
      </c>
      <c r="N8" s="357">
        <f>M8*0.19</f>
        <v>11.7401</v>
      </c>
      <c r="O8" s="412">
        <f>M8-N8</f>
        <v>50.049900000000001</v>
      </c>
      <c r="P8" s="434">
        <v>50.05</v>
      </c>
      <c r="Q8" s="350"/>
      <c r="R8" s="423">
        <f t="shared" si="0"/>
        <v>187.12863013698632</v>
      </c>
      <c r="S8" s="605">
        <f>SUM(E8,J8,O8)</f>
        <v>151.57419041095892</v>
      </c>
      <c r="T8" s="606">
        <f>SUM(S4:S8)</f>
        <v>458.82839726027402</v>
      </c>
      <c r="U8" s="350">
        <f>F8+K8+P8</f>
        <v>151.57999999999998</v>
      </c>
      <c r="V8" s="350">
        <f>SUM(U4:U8)</f>
        <v>459.68</v>
      </c>
    </row>
    <row r="9" spans="1:29" x14ac:dyDescent="0.15">
      <c r="A9" s="609"/>
      <c r="B9" s="631"/>
      <c r="C9" s="610"/>
      <c r="D9" s="610"/>
      <c r="E9" s="350"/>
      <c r="F9" s="611"/>
      <c r="G9" s="350"/>
      <c r="H9" s="356"/>
      <c r="I9" s="356"/>
      <c r="J9" s="350"/>
      <c r="K9" s="611"/>
      <c r="L9" s="350"/>
      <c r="M9" s="357"/>
      <c r="N9" s="357"/>
      <c r="O9" s="350"/>
      <c r="P9" s="612"/>
      <c r="Q9" s="350"/>
      <c r="R9" s="423"/>
      <c r="S9" s="350"/>
      <c r="T9" s="613"/>
      <c r="U9" s="350"/>
      <c r="V9" s="350"/>
    </row>
    <row r="10" spans="1:29" ht="12.75" thickBot="1" x14ac:dyDescent="0.2">
      <c r="B10" s="631"/>
      <c r="C10" s="684" t="s">
        <v>79</v>
      </c>
      <c r="D10" s="684"/>
      <c r="E10" s="684"/>
      <c r="F10" s="684"/>
      <c r="G10" s="362"/>
      <c r="H10" s="685" t="s">
        <v>80</v>
      </c>
      <c r="I10" s="685"/>
      <c r="J10" s="685"/>
      <c r="K10" s="685"/>
      <c r="L10" s="362"/>
      <c r="M10" s="683" t="s">
        <v>89</v>
      </c>
      <c r="N10" s="683"/>
      <c r="O10" s="683"/>
      <c r="P10" s="683"/>
      <c r="Q10" s="350"/>
      <c r="R10" s="423"/>
      <c r="S10" s="350"/>
      <c r="T10" s="350"/>
      <c r="U10" s="350"/>
      <c r="Y10" s="446">
        <v>2024</v>
      </c>
      <c r="Z10" s="447" t="s">
        <v>81</v>
      </c>
      <c r="AA10" s="353">
        <f>SUM(C12:C19,H12:H19,M12:M23)</f>
        <v>3132.2744444444443</v>
      </c>
    </row>
    <row r="11" spans="1:29" ht="12.75" thickBot="1" x14ac:dyDescent="0.2">
      <c r="B11" s="631"/>
      <c r="C11" s="435" t="s">
        <v>81</v>
      </c>
      <c r="D11" s="435" t="s">
        <v>82</v>
      </c>
      <c r="E11" s="436" t="s">
        <v>83</v>
      </c>
      <c r="F11" s="437" t="s">
        <v>9</v>
      </c>
      <c r="G11" s="438"/>
      <c r="H11" s="439" t="s">
        <v>81</v>
      </c>
      <c r="I11" s="439" t="s">
        <v>82</v>
      </c>
      <c r="J11" s="440" t="s">
        <v>83</v>
      </c>
      <c r="K11" s="441" t="s">
        <v>9</v>
      </c>
      <c r="L11" s="442"/>
      <c r="M11" s="443" t="s">
        <v>81</v>
      </c>
      <c r="N11" s="443" t="s">
        <v>82</v>
      </c>
      <c r="O11" s="444" t="s">
        <v>83</v>
      </c>
      <c r="P11" s="445" t="s">
        <v>9</v>
      </c>
      <c r="Q11" s="350"/>
      <c r="R11" s="423"/>
      <c r="S11" s="350"/>
      <c r="T11" s="350"/>
      <c r="U11" s="350"/>
      <c r="Z11" s="447" t="s">
        <v>82</v>
      </c>
      <c r="AA11" s="353">
        <f>SUM(D12:D19,I12:I19,N12:N23)</f>
        <v>595.13214444444441</v>
      </c>
      <c r="AB11" s="359">
        <f>+AA10-AA11</f>
        <v>2537.1423</v>
      </c>
    </row>
    <row r="12" spans="1:29" ht="15" customHeight="1" x14ac:dyDescent="0.15">
      <c r="A12" s="686">
        <v>2024</v>
      </c>
      <c r="B12" s="630">
        <v>45292</v>
      </c>
      <c r="C12" s="354">
        <v>63.63</v>
      </c>
      <c r="D12" s="354">
        <f t="shared" ref="D12:D17" si="1">C12*0.19</f>
        <v>12.089700000000001</v>
      </c>
      <c r="E12" s="355">
        <f t="shared" ref="E12:E17" si="2">C12-D12</f>
        <v>51.540300000000002</v>
      </c>
      <c r="F12" s="425">
        <v>51.54</v>
      </c>
      <c r="G12" s="350"/>
      <c r="H12" s="356">
        <v>63.7</v>
      </c>
      <c r="I12" s="356">
        <f t="shared" ref="I12:I17" si="3">H12*0.19</f>
        <v>12.103000000000002</v>
      </c>
      <c r="J12" s="419">
        <f t="shared" ref="J12:J18" si="4">H12-I12</f>
        <v>51.597000000000001</v>
      </c>
      <c r="K12" s="426">
        <v>51.6</v>
      </c>
      <c r="L12" s="350"/>
      <c r="M12" s="357">
        <v>67.06</v>
      </c>
      <c r="N12" s="357">
        <f t="shared" ref="N12:N14" si="5">M12*0.19</f>
        <v>12.741400000000001</v>
      </c>
      <c r="O12" s="351">
        <f t="shared" ref="O12:O14" si="6">M12-N12</f>
        <v>54.318600000000004</v>
      </c>
      <c r="P12" s="431">
        <v>54.32</v>
      </c>
      <c r="Q12" s="350"/>
      <c r="R12" s="423">
        <f t="shared" si="0"/>
        <v>194.39000000000001</v>
      </c>
      <c r="S12" s="603">
        <f t="shared" ref="S12:S23" si="7">SUM(E12,J12,O12)</f>
        <v>157.45590000000001</v>
      </c>
      <c r="T12" s="350"/>
      <c r="U12" s="350">
        <f t="shared" ref="U12:U17" si="8">F12+K12+P12</f>
        <v>157.46</v>
      </c>
    </row>
    <row r="13" spans="1:29" x14ac:dyDescent="0.15">
      <c r="A13" s="686"/>
      <c r="B13" s="630">
        <v>45323</v>
      </c>
      <c r="C13" s="354">
        <v>59.432098765432094</v>
      </c>
      <c r="D13" s="354">
        <f t="shared" si="1"/>
        <v>11.292098765432097</v>
      </c>
      <c r="E13" s="355">
        <f t="shared" si="2"/>
        <v>48.14</v>
      </c>
      <c r="F13" s="416">
        <v>48.14</v>
      </c>
      <c r="G13" s="350"/>
      <c r="H13" s="356">
        <v>63.7</v>
      </c>
      <c r="I13" s="356">
        <f t="shared" si="3"/>
        <v>12.103000000000002</v>
      </c>
      <c r="J13" s="419">
        <f t="shared" si="4"/>
        <v>51.597000000000001</v>
      </c>
      <c r="K13" s="427">
        <v>51.6</v>
      </c>
      <c r="L13" s="350"/>
      <c r="M13" s="357">
        <v>66.14</v>
      </c>
      <c r="N13" s="357">
        <f t="shared" si="5"/>
        <v>12.566600000000001</v>
      </c>
      <c r="O13" s="358">
        <f t="shared" si="6"/>
        <v>53.573399999999999</v>
      </c>
      <c r="P13" s="431">
        <v>53.57</v>
      </c>
      <c r="Q13" s="350"/>
      <c r="R13" s="423">
        <f t="shared" si="0"/>
        <v>189.27209876543208</v>
      </c>
      <c r="S13" s="604">
        <f t="shared" si="7"/>
        <v>153.31039999999999</v>
      </c>
      <c r="T13" s="350"/>
      <c r="U13" s="350">
        <f t="shared" si="8"/>
        <v>153.31</v>
      </c>
    </row>
    <row r="14" spans="1:29" x14ac:dyDescent="0.15">
      <c r="A14" s="686"/>
      <c r="B14" s="630">
        <v>45352</v>
      </c>
      <c r="C14" s="354">
        <v>63.518518518518526</v>
      </c>
      <c r="D14" s="354">
        <f t="shared" si="1"/>
        <v>12.06851851851852</v>
      </c>
      <c r="E14" s="355">
        <f t="shared" si="2"/>
        <v>51.45</v>
      </c>
      <c r="F14" s="424">
        <v>51.45</v>
      </c>
      <c r="G14" s="350"/>
      <c r="H14" s="356">
        <v>59.59</v>
      </c>
      <c r="I14" s="356">
        <f t="shared" si="3"/>
        <v>11.322100000000001</v>
      </c>
      <c r="J14" s="419">
        <f t="shared" si="4"/>
        <v>48.267900000000004</v>
      </c>
      <c r="K14" s="427">
        <v>48.27</v>
      </c>
      <c r="L14" s="350"/>
      <c r="M14" s="357">
        <v>50.567901234567913</v>
      </c>
      <c r="N14" s="357">
        <f t="shared" si="5"/>
        <v>9.6079012345679029</v>
      </c>
      <c r="O14" s="358">
        <f t="shared" si="6"/>
        <v>40.960000000000008</v>
      </c>
      <c r="P14" s="431">
        <f>20.96+20</f>
        <v>40.96</v>
      </c>
      <c r="Q14" s="350"/>
      <c r="R14" s="423">
        <f t="shared" si="0"/>
        <v>173.67641975308646</v>
      </c>
      <c r="S14" s="604">
        <f t="shared" si="7"/>
        <v>140.67790000000002</v>
      </c>
      <c r="T14" s="350"/>
      <c r="U14" s="350">
        <f t="shared" si="8"/>
        <v>140.68</v>
      </c>
    </row>
    <row r="15" spans="1:29" x14ac:dyDescent="0.15">
      <c r="A15" s="686"/>
      <c r="B15" s="630">
        <v>45383</v>
      </c>
      <c r="C15" s="354">
        <v>61.481481481481474</v>
      </c>
      <c r="D15" s="354">
        <f t="shared" si="1"/>
        <v>11.68148148148148</v>
      </c>
      <c r="E15" s="355">
        <f t="shared" si="2"/>
        <v>49.8</v>
      </c>
      <c r="F15" s="416">
        <v>49.8</v>
      </c>
      <c r="G15" s="350"/>
      <c r="H15" s="356">
        <v>63.7</v>
      </c>
      <c r="I15" s="356">
        <f t="shared" si="3"/>
        <v>12.103000000000002</v>
      </c>
      <c r="J15" s="419">
        <f t="shared" si="4"/>
        <v>51.597000000000001</v>
      </c>
      <c r="K15" s="417">
        <v>51.6</v>
      </c>
      <c r="L15" s="350"/>
      <c r="M15" s="366">
        <v>78.36</v>
      </c>
      <c r="N15" s="367">
        <f>M15*0.19</f>
        <v>14.888400000000001</v>
      </c>
      <c r="O15" s="368">
        <f>M15-N15</f>
        <v>63.471599999999995</v>
      </c>
      <c r="P15" s="433">
        <v>63.47</v>
      </c>
      <c r="Q15" s="350"/>
      <c r="R15" s="423">
        <f t="shared" si="0"/>
        <v>203.54148148148147</v>
      </c>
      <c r="S15" s="604">
        <f t="shared" si="7"/>
        <v>164.86859999999999</v>
      </c>
      <c r="T15" s="350"/>
      <c r="U15" s="350">
        <f t="shared" si="8"/>
        <v>164.87</v>
      </c>
      <c r="Y15" s="446">
        <v>2025</v>
      </c>
      <c r="Z15" s="447" t="s">
        <v>81</v>
      </c>
      <c r="AA15" s="353">
        <f>SUM(M27:M29,H27:H30,C27:C38)+C42+40</f>
        <v>3348.6303052568701</v>
      </c>
    </row>
    <row r="16" spans="1:29" x14ac:dyDescent="0.15">
      <c r="A16" s="686"/>
      <c r="B16" s="630">
        <v>45413</v>
      </c>
      <c r="C16" s="354">
        <v>63.518518518518526</v>
      </c>
      <c r="D16" s="354">
        <f t="shared" si="1"/>
        <v>12.06851851851852</v>
      </c>
      <c r="E16" s="355">
        <f t="shared" si="2"/>
        <v>51.45</v>
      </c>
      <c r="F16" s="424">
        <v>51.45</v>
      </c>
      <c r="G16" s="350"/>
      <c r="H16" s="356">
        <v>61.64</v>
      </c>
      <c r="I16" s="356">
        <f t="shared" si="3"/>
        <v>11.711600000000001</v>
      </c>
      <c r="J16" s="419">
        <f t="shared" si="4"/>
        <v>49.928399999999996</v>
      </c>
      <c r="K16" s="426">
        <v>49.93</v>
      </c>
      <c r="L16" s="350"/>
      <c r="M16" s="366">
        <v>82.913580246913583</v>
      </c>
      <c r="N16" s="367">
        <f>M16*0.19</f>
        <v>15.753580246913581</v>
      </c>
      <c r="O16" s="368">
        <f>M16-N16</f>
        <v>67.16</v>
      </c>
      <c r="P16" s="433">
        <v>67.16</v>
      </c>
      <c r="Q16" s="350"/>
      <c r="R16" s="423">
        <f t="shared" si="0"/>
        <v>208.07209876543209</v>
      </c>
      <c r="S16" s="604">
        <f t="shared" si="7"/>
        <v>168.5384</v>
      </c>
      <c r="T16" s="350"/>
      <c r="U16" s="350">
        <f t="shared" si="8"/>
        <v>168.54</v>
      </c>
      <c r="Z16" s="447" t="s">
        <v>82</v>
      </c>
      <c r="AA16" s="353">
        <f>SUM(N27:N29,I27:I30,D27:D38)+D42+40*19%</f>
        <v>636.23425799880522</v>
      </c>
      <c r="AB16" s="359">
        <f>+AA15-AA16</f>
        <v>2712.3960472580648</v>
      </c>
    </row>
    <row r="17" spans="1:29" ht="12.75" thickBot="1" x14ac:dyDescent="0.2">
      <c r="A17" s="686"/>
      <c r="B17" s="630">
        <v>45444</v>
      </c>
      <c r="C17" s="354">
        <v>10.654320987654328</v>
      </c>
      <c r="D17" s="354">
        <f t="shared" si="1"/>
        <v>2.0243209876543222</v>
      </c>
      <c r="E17" s="355">
        <f t="shared" si="2"/>
        <v>8.6300000000000061</v>
      </c>
      <c r="F17" s="416">
        <v>8.6300000000000008</v>
      </c>
      <c r="G17" s="350"/>
      <c r="H17" s="356">
        <v>63.7</v>
      </c>
      <c r="I17" s="356">
        <f t="shared" si="3"/>
        <v>12.103000000000002</v>
      </c>
      <c r="J17" s="419">
        <f t="shared" si="4"/>
        <v>51.597000000000001</v>
      </c>
      <c r="K17" s="427">
        <v>51.6</v>
      </c>
      <c r="L17" s="350"/>
      <c r="M17" s="366">
        <v>72.925925925925924</v>
      </c>
      <c r="N17" s="366">
        <f>M17*0.19</f>
        <v>13.855925925925925</v>
      </c>
      <c r="O17" s="368">
        <f>M17-N17</f>
        <v>59.07</v>
      </c>
      <c r="P17" s="433">
        <v>59.07</v>
      </c>
      <c r="Q17" s="350"/>
      <c r="R17" s="423">
        <f t="shared" si="0"/>
        <v>147.28024691358024</v>
      </c>
      <c r="S17" s="604">
        <f t="shared" si="7"/>
        <v>119.297</v>
      </c>
      <c r="T17" s="350"/>
      <c r="U17" s="350">
        <f t="shared" si="8"/>
        <v>119.30000000000001</v>
      </c>
    </row>
    <row r="18" spans="1:29" ht="12.75" thickBot="1" x14ac:dyDescent="0.2">
      <c r="A18" s="686"/>
      <c r="B18" s="630">
        <v>45474</v>
      </c>
      <c r="C18" s="354"/>
      <c r="D18" s="348"/>
      <c r="E18" s="369"/>
      <c r="F18" s="350"/>
      <c r="G18" s="350"/>
      <c r="H18" s="356">
        <v>10.27</v>
      </c>
      <c r="I18" s="356">
        <f>H18*0.19</f>
        <v>1.9513</v>
      </c>
      <c r="J18" s="420">
        <f t="shared" si="4"/>
        <v>8.3186999999999998</v>
      </c>
      <c r="K18" s="417">
        <v>8.32</v>
      </c>
      <c r="L18" s="350"/>
      <c r="M18" s="357">
        <v>284.92592592592592</v>
      </c>
      <c r="N18" s="357">
        <f t="shared" ref="N18:N28" si="9">M18*0.19</f>
        <v>54.135925925925925</v>
      </c>
      <c r="O18" s="358">
        <f>M18-N18</f>
        <v>230.79</v>
      </c>
      <c r="P18" s="431">
        <v>230.79</v>
      </c>
      <c r="Q18" s="350"/>
      <c r="R18" s="423">
        <f t="shared" si="0"/>
        <v>295.19592592592591</v>
      </c>
      <c r="S18" s="604">
        <f t="shared" si="7"/>
        <v>239.1087</v>
      </c>
      <c r="T18" s="350"/>
      <c r="U18" s="350">
        <f>K18+P18</f>
        <v>239.10999999999999</v>
      </c>
    </row>
    <row r="19" spans="1:29" x14ac:dyDescent="0.15">
      <c r="A19" s="686"/>
      <c r="B19" s="630">
        <v>45505</v>
      </c>
      <c r="C19" s="354"/>
      <c r="D19" s="348"/>
      <c r="E19" s="350"/>
      <c r="F19" s="350"/>
      <c r="G19" s="350"/>
      <c r="H19" s="356"/>
      <c r="I19" s="356"/>
      <c r="J19" s="350"/>
      <c r="K19" s="350"/>
      <c r="L19" s="350"/>
      <c r="M19" s="357">
        <v>369.50617283950623</v>
      </c>
      <c r="N19" s="357">
        <f t="shared" si="9"/>
        <v>70.206172839506181</v>
      </c>
      <c r="O19" s="358">
        <f t="shared" ref="O19:O23" si="10">M19-N19</f>
        <v>299.30000000000007</v>
      </c>
      <c r="P19" s="431">
        <v>299.3</v>
      </c>
      <c r="Q19" s="350"/>
      <c r="R19" s="423">
        <f t="shared" si="0"/>
        <v>369.50617283950623</v>
      </c>
      <c r="S19" s="604">
        <f t="shared" si="7"/>
        <v>299.30000000000007</v>
      </c>
      <c r="U19" s="350">
        <f>P19</f>
        <v>299.3</v>
      </c>
    </row>
    <row r="20" spans="1:29" x14ac:dyDescent="0.15">
      <c r="A20" s="686"/>
      <c r="B20" s="630">
        <v>45536</v>
      </c>
      <c r="M20" s="357">
        <v>381.18</v>
      </c>
      <c r="N20" s="357">
        <f t="shared" si="9"/>
        <v>72.424199999999999</v>
      </c>
      <c r="O20" s="358">
        <f t="shared" si="10"/>
        <v>308.75580000000002</v>
      </c>
      <c r="P20" s="430">
        <v>308.76</v>
      </c>
      <c r="R20" s="423">
        <f t="shared" si="0"/>
        <v>381.18</v>
      </c>
      <c r="S20" s="604">
        <f t="shared" si="7"/>
        <v>308.75580000000002</v>
      </c>
      <c r="U20" s="350">
        <f>+P20</f>
        <v>308.76</v>
      </c>
      <c r="Y20" s="446">
        <v>2026</v>
      </c>
      <c r="Z20" s="447" t="s">
        <v>81</v>
      </c>
      <c r="AA20" s="353">
        <f>SUM(C43:C54)+20</f>
        <v>3560.1436666666668</v>
      </c>
    </row>
    <row r="21" spans="1:29" x14ac:dyDescent="0.15">
      <c r="A21" s="686"/>
      <c r="B21" s="630">
        <v>45566</v>
      </c>
      <c r="M21" s="357">
        <v>373.57</v>
      </c>
      <c r="N21" s="357">
        <f t="shared" si="9"/>
        <v>70.978300000000004</v>
      </c>
      <c r="O21" s="358">
        <f t="shared" si="10"/>
        <v>302.5917</v>
      </c>
      <c r="P21" s="432">
        <v>302.58999999999997</v>
      </c>
      <c r="R21" s="423">
        <f t="shared" si="0"/>
        <v>373.57</v>
      </c>
      <c r="S21" s="604">
        <f t="shared" si="7"/>
        <v>302.5917</v>
      </c>
      <c r="U21" s="350">
        <f>P21</f>
        <v>302.58999999999997</v>
      </c>
      <c r="Z21" s="447" t="s">
        <v>82</v>
      </c>
      <c r="AA21" s="353">
        <f>SUM(D43:D54)+20*0.19</f>
        <v>676.42729666666662</v>
      </c>
      <c r="AB21" s="359">
        <f>+AA20-AA21</f>
        <v>2883.7163700000001</v>
      </c>
    </row>
    <row r="22" spans="1:29" ht="12.75" thickBot="1" x14ac:dyDescent="0.2">
      <c r="A22" s="686"/>
      <c r="B22" s="630">
        <v>45597</v>
      </c>
      <c r="H22" s="632">
        <f>SUM(H4:H21)</f>
        <v>538.34999999999991</v>
      </c>
      <c r="I22" s="632">
        <f>SUM(I5:I21)</f>
        <v>102.28650000000002</v>
      </c>
      <c r="J22" s="632">
        <f>SUM(J5:J21)</f>
        <v>436.06349999999998</v>
      </c>
      <c r="K22" s="632">
        <f>SUM(K6:K21)</f>
        <v>436.09000000000003</v>
      </c>
      <c r="M22" s="357">
        <f>294.37</f>
        <v>294.37</v>
      </c>
      <c r="N22" s="357">
        <f t="shared" si="9"/>
        <v>55.930300000000003</v>
      </c>
      <c r="O22" s="358">
        <f t="shared" si="10"/>
        <v>238.43970000000002</v>
      </c>
      <c r="P22" s="432">
        <v>238.44</v>
      </c>
      <c r="R22" s="423">
        <f>+M22</f>
        <v>294.37</v>
      </c>
      <c r="S22" s="604">
        <f>SUM(,O22)</f>
        <v>238.43970000000002</v>
      </c>
      <c r="U22" s="350">
        <f>P22</f>
        <v>238.44</v>
      </c>
    </row>
    <row r="23" spans="1:29" ht="12.75" thickBot="1" x14ac:dyDescent="0.2">
      <c r="A23" s="686"/>
      <c r="B23" s="630">
        <v>45627</v>
      </c>
      <c r="M23" s="357">
        <v>302.22000000000003</v>
      </c>
      <c r="N23" s="357">
        <f t="shared" si="9"/>
        <v>57.421800000000005</v>
      </c>
      <c r="O23" s="412">
        <f t="shared" si="10"/>
        <v>244.79820000000001</v>
      </c>
      <c r="P23" s="624">
        <v>244.8</v>
      </c>
      <c r="R23" s="423">
        <f t="shared" si="0"/>
        <v>302.22000000000003</v>
      </c>
      <c r="S23" s="605">
        <f t="shared" si="7"/>
        <v>244.79820000000001</v>
      </c>
      <c r="T23" s="606">
        <f>SUM(S12:S23)</f>
        <v>2537.1423</v>
      </c>
      <c r="U23" s="350">
        <f>+P23</f>
        <v>244.8</v>
      </c>
      <c r="V23" s="350">
        <f>SUM(U12:U23)</f>
        <v>2537.16</v>
      </c>
    </row>
    <row r="24" spans="1:29" x14ac:dyDescent="0.15">
      <c r="A24" s="609"/>
      <c r="B24" s="631"/>
      <c r="M24" s="357"/>
      <c r="N24" s="357"/>
      <c r="O24" s="350"/>
      <c r="P24" s="612"/>
      <c r="R24" s="423"/>
      <c r="S24" s="350"/>
      <c r="T24" s="613"/>
      <c r="U24" s="350"/>
      <c r="V24" s="350"/>
    </row>
    <row r="25" spans="1:29" ht="12.75" thickBot="1" x14ac:dyDescent="0.2">
      <c r="B25" s="631"/>
      <c r="C25" s="687" t="s">
        <v>102</v>
      </c>
      <c r="D25" s="687"/>
      <c r="E25" s="687"/>
      <c r="F25" s="687"/>
      <c r="H25" s="688" t="s">
        <v>97</v>
      </c>
      <c r="I25" s="688"/>
      <c r="J25" s="688"/>
      <c r="K25" s="688"/>
      <c r="M25" s="683" t="s">
        <v>89</v>
      </c>
      <c r="N25" s="683"/>
      <c r="O25" s="683"/>
      <c r="P25" s="683"/>
      <c r="R25" s="423"/>
      <c r="S25" s="350"/>
      <c r="U25" s="350"/>
    </row>
    <row r="26" spans="1:29" ht="12.75" thickBot="1" x14ac:dyDescent="0.2">
      <c r="B26" s="631"/>
      <c r="C26" s="635" t="s">
        <v>81</v>
      </c>
      <c r="D26" s="635" t="s">
        <v>82</v>
      </c>
      <c r="E26" s="636" t="s">
        <v>83</v>
      </c>
      <c r="F26" s="637" t="s">
        <v>9</v>
      </c>
      <c r="H26" s="370" t="s">
        <v>81</v>
      </c>
      <c r="I26" s="370" t="s">
        <v>82</v>
      </c>
      <c r="J26" s="618" t="s">
        <v>83</v>
      </c>
      <c r="K26" s="418" t="s">
        <v>9</v>
      </c>
      <c r="M26" s="363" t="s">
        <v>81</v>
      </c>
      <c r="N26" s="363" t="s">
        <v>82</v>
      </c>
      <c r="O26" s="364" t="s">
        <v>83</v>
      </c>
      <c r="P26" s="365" t="s">
        <v>9</v>
      </c>
      <c r="R26" s="423"/>
      <c r="S26" s="607"/>
      <c r="U26" s="350"/>
    </row>
    <row r="27" spans="1:29" x14ac:dyDescent="0.15">
      <c r="A27" s="686">
        <v>2025</v>
      </c>
      <c r="B27" s="630">
        <v>45658</v>
      </c>
      <c r="F27" s="611"/>
      <c r="H27" s="411">
        <v>36.58</v>
      </c>
      <c r="I27" s="411">
        <f>+H27*0.19</f>
        <v>6.9501999999999997</v>
      </c>
      <c r="J27" s="619">
        <f t="shared" ref="J27:J28" si="11">H27-I27</f>
        <v>29.629799999999999</v>
      </c>
      <c r="K27" s="428">
        <v>29.63</v>
      </c>
      <c r="M27" s="357">
        <v>319.85000000000002</v>
      </c>
      <c r="N27" s="357">
        <f t="shared" si="9"/>
        <v>60.771500000000003</v>
      </c>
      <c r="O27" s="358">
        <f>+M27-N27</f>
        <v>259.07850000000002</v>
      </c>
      <c r="P27" s="431">
        <v>259.08</v>
      </c>
      <c r="R27" s="423">
        <f t="shared" si="0"/>
        <v>356.43</v>
      </c>
      <c r="S27" s="603">
        <f>SUM(E27,J27,O27)</f>
        <v>288.70830000000001</v>
      </c>
      <c r="U27" s="350">
        <f>P27+K27</f>
        <v>288.70999999999998</v>
      </c>
      <c r="AA27" s="372"/>
      <c r="AB27" s="352" t="s">
        <v>158</v>
      </c>
      <c r="AC27" s="352" t="s">
        <v>159</v>
      </c>
    </row>
    <row r="28" spans="1:29" ht="12.75" thickBot="1" x14ac:dyDescent="0.2">
      <c r="A28" s="686"/>
      <c r="B28" s="630">
        <v>45689</v>
      </c>
      <c r="C28" s="373"/>
      <c r="D28" s="373"/>
      <c r="E28" s="628"/>
      <c r="F28" s="611"/>
      <c r="H28" s="411">
        <v>102.41</v>
      </c>
      <c r="I28" s="411">
        <f t="shared" ref="I28:I30" si="12">+H28*0.19</f>
        <v>19.457899999999999</v>
      </c>
      <c r="J28" s="371">
        <f t="shared" si="11"/>
        <v>82.952100000000002</v>
      </c>
      <c r="K28" s="429">
        <v>82.95</v>
      </c>
      <c r="M28" s="357">
        <f>((128000-50000)*0.025/12/30*23)+(128000*0.028/12/30*7)</f>
        <v>194.27222222222224</v>
      </c>
      <c r="N28" s="357">
        <f t="shared" si="9"/>
        <v>36.911722222222224</v>
      </c>
      <c r="O28" s="358">
        <f t="shared" ref="O28:O29" si="13">+M28-N28</f>
        <v>157.3605</v>
      </c>
      <c r="P28" s="431">
        <v>160.19</v>
      </c>
      <c r="R28" s="423">
        <f t="shared" si="0"/>
        <v>296.68222222222221</v>
      </c>
      <c r="S28" s="604">
        <f t="shared" ref="S28:S29" si="14">SUM(E28,J28,O28)</f>
        <v>240.3126</v>
      </c>
      <c r="U28" s="350">
        <f>P28+K28</f>
        <v>243.14</v>
      </c>
      <c r="AA28" s="372" t="s">
        <v>154</v>
      </c>
      <c r="AB28" s="352">
        <v>541.57000000000005</v>
      </c>
      <c r="AC28" s="352">
        <v>102.89</v>
      </c>
    </row>
    <row r="29" spans="1:29" ht="12.75" thickBot="1" x14ac:dyDescent="0.2">
      <c r="A29" s="686"/>
      <c r="B29" s="630">
        <v>45717</v>
      </c>
      <c r="C29" s="374">
        <v>161.65432098765433</v>
      </c>
      <c r="D29" s="413">
        <f t="shared" ref="D29:D36" si="15">+C29*0.19</f>
        <v>30.714320987654322</v>
      </c>
      <c r="E29" s="627">
        <f t="shared" ref="E29:E36" si="16">+C29-D29</f>
        <v>130.94</v>
      </c>
      <c r="F29" s="638">
        <f>119.29+11.65</f>
        <v>130.94</v>
      </c>
      <c r="H29" s="411">
        <v>102.41</v>
      </c>
      <c r="I29" s="411">
        <f t="shared" si="12"/>
        <v>19.457899999999999</v>
      </c>
      <c r="J29" s="371">
        <f>H29-I29</f>
        <v>82.952100000000002</v>
      </c>
      <c r="K29" s="429">
        <v>82.95</v>
      </c>
      <c r="M29" s="357">
        <v>27.45</v>
      </c>
      <c r="N29" s="357">
        <v>5.21</v>
      </c>
      <c r="O29" s="412">
        <f t="shared" si="13"/>
        <v>22.24</v>
      </c>
      <c r="P29" s="430">
        <v>19.41</v>
      </c>
      <c r="R29" s="423">
        <f t="shared" si="0"/>
        <v>291.51432098765434</v>
      </c>
      <c r="S29" s="604">
        <f t="shared" si="14"/>
        <v>236.13210000000001</v>
      </c>
      <c r="U29" s="350">
        <f>P29+K29+F29</f>
        <v>233.3</v>
      </c>
      <c r="V29" s="350"/>
      <c r="AA29" s="352" t="s">
        <v>155</v>
      </c>
      <c r="AB29" s="352">
        <v>2164.5100000000002</v>
      </c>
      <c r="AC29" s="352">
        <v>411.19</v>
      </c>
    </row>
    <row r="30" spans="1:29" ht="12.75" thickBot="1" x14ac:dyDescent="0.2">
      <c r="A30" s="686"/>
      <c r="B30" s="630">
        <v>45748</v>
      </c>
      <c r="C30" s="374">
        <f>118840*0.0247/12</f>
        <v>244.61233333333334</v>
      </c>
      <c r="D30" s="413">
        <f t="shared" si="15"/>
        <v>46.476343333333332</v>
      </c>
      <c r="E30" s="414">
        <f t="shared" si="16"/>
        <v>198.13598999999999</v>
      </c>
      <c r="F30" s="639">
        <v>198.14</v>
      </c>
      <c r="H30" s="411">
        <v>14.28</v>
      </c>
      <c r="I30" s="411">
        <f t="shared" si="12"/>
        <v>2.7132000000000001</v>
      </c>
      <c r="J30" s="375">
        <f>H30-I30</f>
        <v>11.566799999999999</v>
      </c>
      <c r="K30" s="617">
        <v>11.57</v>
      </c>
      <c r="M30" s="357"/>
      <c r="N30" s="357"/>
      <c r="O30" s="350"/>
      <c r="P30" s="350"/>
      <c r="R30" s="423">
        <f>+C30+H30</f>
        <v>258.89233333333334</v>
      </c>
      <c r="S30" s="604">
        <f>SUM(E30,J30)</f>
        <v>209.70278999999999</v>
      </c>
      <c r="U30" s="350">
        <f>K30+F30</f>
        <v>209.70999999999998</v>
      </c>
      <c r="AA30" s="352" t="s">
        <v>156</v>
      </c>
      <c r="AB30" s="353">
        <f>+C42</f>
        <v>338.13</v>
      </c>
      <c r="AC30" s="373">
        <f>+D42</f>
        <v>64.244699999999995</v>
      </c>
    </row>
    <row r="31" spans="1:29" x14ac:dyDescent="0.15">
      <c r="A31" s="686"/>
      <c r="B31" s="630">
        <v>45778</v>
      </c>
      <c r="C31" s="374">
        <v>272.49</v>
      </c>
      <c r="D31" s="413">
        <f t="shared" si="15"/>
        <v>51.773099999999999</v>
      </c>
      <c r="E31" s="414">
        <f t="shared" si="16"/>
        <v>220.71690000000001</v>
      </c>
      <c r="F31" s="640">
        <v>220.72</v>
      </c>
      <c r="H31" s="411"/>
      <c r="I31" s="411"/>
      <c r="J31" s="421"/>
      <c r="K31" s="620"/>
      <c r="M31" s="357"/>
      <c r="N31" s="357"/>
      <c r="O31" s="350"/>
      <c r="P31" s="350"/>
      <c r="R31" s="423">
        <f>+C31+H31</f>
        <v>272.49</v>
      </c>
      <c r="S31" s="604">
        <f t="shared" ref="S31:S32" si="17">SUM(E31,J31)</f>
        <v>220.71690000000001</v>
      </c>
      <c r="U31" s="350">
        <f>F31</f>
        <v>220.72</v>
      </c>
      <c r="V31" s="350"/>
      <c r="AA31" s="352" t="s">
        <v>157</v>
      </c>
      <c r="AB31" s="353">
        <f>+H33</f>
        <v>255.68</v>
      </c>
      <c r="AC31" s="353">
        <f>+I33</f>
        <v>48.5792</v>
      </c>
    </row>
    <row r="32" spans="1:29" x14ac:dyDescent="0.15">
      <c r="A32" s="686"/>
      <c r="B32" s="630">
        <v>45809</v>
      </c>
      <c r="C32" s="374">
        <v>285.82</v>
      </c>
      <c r="D32" s="413">
        <f t="shared" si="15"/>
        <v>54.305799999999998</v>
      </c>
      <c r="E32" s="414">
        <f t="shared" si="16"/>
        <v>231.51419999999999</v>
      </c>
      <c r="F32" s="639">
        <v>231.51</v>
      </c>
      <c r="H32" s="411"/>
      <c r="I32" s="422"/>
      <c r="J32" s="348"/>
      <c r="K32" s="350"/>
      <c r="M32" s="357"/>
      <c r="N32" s="357"/>
      <c r="O32" s="350"/>
      <c r="P32" s="350"/>
      <c r="R32" s="423">
        <f>+C32</f>
        <v>285.82</v>
      </c>
      <c r="S32" s="604">
        <f t="shared" si="17"/>
        <v>231.51419999999999</v>
      </c>
      <c r="U32" s="350">
        <f>F32</f>
        <v>231.51</v>
      </c>
      <c r="AB32" s="352">
        <f>SUM(AB28:AB31)</f>
        <v>3299.8900000000003</v>
      </c>
      <c r="AC32" s="352">
        <f>SUM(AC28:AC31)</f>
        <v>626.90390000000002</v>
      </c>
    </row>
    <row r="33" spans="1:31" x14ac:dyDescent="0.15">
      <c r="A33" s="686"/>
      <c r="B33" s="630">
        <v>45839</v>
      </c>
      <c r="C33" s="374">
        <v>251.64197530864197</v>
      </c>
      <c r="D33" s="413">
        <f t="shared" si="15"/>
        <v>47.811975308641976</v>
      </c>
      <c r="E33" s="414">
        <f t="shared" si="16"/>
        <v>203.82999999999998</v>
      </c>
      <c r="F33" s="640">
        <v>203.83</v>
      </c>
      <c r="H33" s="633">
        <f>SUM(H27:H31)</f>
        <v>255.68</v>
      </c>
      <c r="I33" s="633">
        <f t="shared" ref="I33:K33" si="18">SUM(I27:I31)</f>
        <v>48.5792</v>
      </c>
      <c r="J33" s="633">
        <f t="shared" si="18"/>
        <v>207.10079999999999</v>
      </c>
      <c r="K33" s="633">
        <f t="shared" si="18"/>
        <v>207.1</v>
      </c>
      <c r="L33" s="350"/>
      <c r="M33" s="634">
        <f>+SUM(M4:M8,M12:M23,M27:M30)</f>
        <v>3107.7283950617284</v>
      </c>
      <c r="N33" s="634">
        <f t="shared" ref="N33:P33" si="19">+SUM(N4:N8,N12:N23,N27:N30)</f>
        <v>590.46289506172843</v>
      </c>
      <c r="O33" s="634">
        <f t="shared" si="19"/>
        <v>2517.2655000000004</v>
      </c>
      <c r="P33" s="634">
        <f t="shared" si="19"/>
        <v>2518.1099999999997</v>
      </c>
      <c r="R33" s="423">
        <f t="shared" ref="R33" si="20">+C33</f>
        <v>251.64197530864197</v>
      </c>
      <c r="S33" s="604">
        <f t="shared" ref="S33:S37" si="21">SUM(E33)</f>
        <v>203.82999999999998</v>
      </c>
      <c r="U33" s="350">
        <f>F33</f>
        <v>203.83</v>
      </c>
      <c r="V33" s="350"/>
      <c r="AC33" s="372"/>
      <c r="AD33" s="354"/>
      <c r="AE33" s="354"/>
    </row>
    <row r="34" spans="1:31" x14ac:dyDescent="0.15">
      <c r="A34" s="686"/>
      <c r="B34" s="630">
        <v>45870</v>
      </c>
      <c r="C34" s="374">
        <v>231.55555555555557</v>
      </c>
      <c r="D34" s="413">
        <f t="shared" si="15"/>
        <v>43.995555555555562</v>
      </c>
      <c r="E34" s="414">
        <f t="shared" si="16"/>
        <v>187.56</v>
      </c>
      <c r="F34" s="641">
        <v>187.56</v>
      </c>
      <c r="H34" s="411"/>
      <c r="I34" s="422"/>
      <c r="J34" s="348"/>
      <c r="K34" s="350"/>
      <c r="M34" s="357"/>
      <c r="N34" s="357"/>
      <c r="O34" s="350"/>
      <c r="P34" s="350"/>
      <c r="R34" s="423">
        <f>+C34</f>
        <v>231.55555555555557</v>
      </c>
      <c r="S34" s="604">
        <f t="shared" si="21"/>
        <v>187.56</v>
      </c>
      <c r="U34" s="350">
        <f>P34+K34+F34</f>
        <v>187.56</v>
      </c>
      <c r="AA34" s="350"/>
      <c r="AD34" s="353"/>
    </row>
    <row r="35" spans="1:31" x14ac:dyDescent="0.15">
      <c r="A35" s="686"/>
      <c r="B35" s="630">
        <v>45901</v>
      </c>
      <c r="C35" s="374">
        <v>231.55555555555557</v>
      </c>
      <c r="D35" s="413">
        <f t="shared" si="15"/>
        <v>43.995555555555562</v>
      </c>
      <c r="E35" s="414">
        <f t="shared" si="16"/>
        <v>187.56</v>
      </c>
      <c r="F35" s="641">
        <v>187.58</v>
      </c>
      <c r="H35" s="411"/>
      <c r="I35" s="422"/>
      <c r="J35" s="348"/>
      <c r="K35" s="350"/>
      <c r="M35" s="357"/>
      <c r="N35" s="357"/>
      <c r="O35" s="350"/>
      <c r="P35" s="350"/>
      <c r="R35" s="423">
        <f>+C35</f>
        <v>231.55555555555557</v>
      </c>
      <c r="S35" s="604">
        <f t="shared" si="21"/>
        <v>187.56</v>
      </c>
      <c r="U35" s="350">
        <f>P35+K35+F35</f>
        <v>187.58</v>
      </c>
      <c r="V35" s="350"/>
      <c r="AC35" s="350"/>
    </row>
    <row r="36" spans="1:31" x14ac:dyDescent="0.15">
      <c r="A36" s="686"/>
      <c r="B36" s="630">
        <v>45931</v>
      </c>
      <c r="C36" s="374">
        <f>(137000/30*23+138000/31*8)*0.0199/12</f>
        <v>233.23834229390684</v>
      </c>
      <c r="D36" s="413">
        <f t="shared" si="15"/>
        <v>44.315285035842301</v>
      </c>
      <c r="E36" s="414">
        <f t="shared" si="16"/>
        <v>188.92305725806455</v>
      </c>
      <c r="F36" s="641">
        <v>181.88</v>
      </c>
      <c r="H36" s="411"/>
      <c r="I36" s="422"/>
      <c r="J36" s="348"/>
      <c r="K36" s="350"/>
      <c r="M36" s="357"/>
      <c r="N36" s="357"/>
      <c r="O36" s="350"/>
      <c r="P36" s="350"/>
      <c r="R36" s="423">
        <f>+C36</f>
        <v>233.23834229390684</v>
      </c>
      <c r="S36" s="604">
        <f t="shared" si="21"/>
        <v>188.92305725806455</v>
      </c>
      <c r="U36" s="350">
        <f>P36+K36+F36</f>
        <v>181.88</v>
      </c>
    </row>
    <row r="37" spans="1:31" ht="12.75" thickBot="1" x14ac:dyDescent="0.2">
      <c r="A37" s="686"/>
      <c r="B37" s="630">
        <v>45962</v>
      </c>
      <c r="C37" s="374">
        <v>233.73</v>
      </c>
      <c r="D37" s="413">
        <f t="shared" ref="D37:D38" si="22">+C37*0.19</f>
        <v>44.408699999999996</v>
      </c>
      <c r="E37" s="414">
        <f t="shared" ref="E37:E38" si="23">+C37-D37</f>
        <v>189.32130000000001</v>
      </c>
      <c r="F37" s="639">
        <v>189.33</v>
      </c>
      <c r="H37" s="411"/>
      <c r="I37" s="422"/>
      <c r="J37" s="348"/>
      <c r="K37" s="350"/>
      <c r="M37" s="357"/>
      <c r="N37" s="357"/>
      <c r="O37" s="350"/>
      <c r="P37" s="350"/>
      <c r="R37" s="423">
        <f>+C37</f>
        <v>233.73</v>
      </c>
      <c r="S37" s="604">
        <f t="shared" si="21"/>
        <v>189.32130000000001</v>
      </c>
      <c r="U37" s="350">
        <f>F37</f>
        <v>189.33</v>
      </c>
    </row>
    <row r="38" spans="1:31" ht="12.75" thickBot="1" x14ac:dyDescent="0.2">
      <c r="A38" s="686"/>
      <c r="B38" s="630">
        <v>45992</v>
      </c>
      <c r="C38" s="374">
        <v>26.95</v>
      </c>
      <c r="D38" s="413">
        <f t="shared" si="22"/>
        <v>5.1204999999999998</v>
      </c>
      <c r="E38" s="415">
        <f t="shared" si="23"/>
        <v>21.829499999999999</v>
      </c>
      <c r="F38" s="642">
        <v>21.83</v>
      </c>
      <c r="H38" s="411"/>
      <c r="I38" s="422"/>
      <c r="J38" s="348"/>
      <c r="K38" s="350"/>
      <c r="M38" s="357"/>
      <c r="N38" s="357"/>
      <c r="O38" s="350"/>
      <c r="P38" s="350"/>
      <c r="R38" s="423">
        <f>+C42+C38</f>
        <v>365.08</v>
      </c>
      <c r="S38" s="605">
        <f>SUM(E38,E42)</f>
        <v>295.71480000000003</v>
      </c>
      <c r="T38" s="606">
        <f>SUM(S27:S38)</f>
        <v>2679.9960472580647</v>
      </c>
      <c r="U38" s="350">
        <f>F38+F42</f>
        <v>295.71999999999997</v>
      </c>
      <c r="V38" s="350">
        <f>SUM(U27:U38)</f>
        <v>2672.9899999999993</v>
      </c>
    </row>
    <row r="39" spans="1:31" x14ac:dyDescent="0.15">
      <c r="C39" s="353"/>
      <c r="D39" s="353"/>
      <c r="E39" s="353"/>
      <c r="F39" s="353"/>
      <c r="G39" s="353"/>
      <c r="R39" s="423"/>
      <c r="S39" s="350"/>
      <c r="T39" s="350"/>
      <c r="U39" s="350"/>
    </row>
    <row r="40" spans="1:31" ht="12" customHeight="1" x14ac:dyDescent="0.15">
      <c r="B40" s="631"/>
      <c r="C40" s="802" t="s">
        <v>164</v>
      </c>
      <c r="D40" s="802"/>
      <c r="E40" s="802"/>
      <c r="F40" s="802"/>
      <c r="I40" s="359"/>
      <c r="R40" s="423"/>
      <c r="S40" s="423"/>
      <c r="T40" s="423"/>
      <c r="U40" s="423"/>
    </row>
    <row r="41" spans="1:31" ht="12.75" thickBot="1" x14ac:dyDescent="0.2">
      <c r="B41" s="631"/>
      <c r="C41" s="435" t="s">
        <v>81</v>
      </c>
      <c r="D41" s="435" t="s">
        <v>82</v>
      </c>
      <c r="E41" s="435" t="s">
        <v>83</v>
      </c>
      <c r="F41" s="435" t="s">
        <v>9</v>
      </c>
      <c r="R41" s="423"/>
      <c r="S41" s="423"/>
      <c r="T41" s="423"/>
      <c r="U41" s="423"/>
    </row>
    <row r="42" spans="1:31" ht="15" customHeight="1" x14ac:dyDescent="0.15">
      <c r="A42" s="686">
        <v>2026</v>
      </c>
      <c r="B42" s="651">
        <v>45992</v>
      </c>
      <c r="C42" s="652">
        <v>338.13</v>
      </c>
      <c r="D42" s="653">
        <f t="shared" ref="D42:D53" si="24">+C42*0.19</f>
        <v>64.244699999999995</v>
      </c>
      <c r="E42" s="654">
        <f t="shared" ref="E42:E53" si="25">+C42-D42</f>
        <v>273.88530000000003</v>
      </c>
      <c r="F42" s="650">
        <v>273.89</v>
      </c>
      <c r="R42" s="423">
        <f>+C43</f>
        <v>362.40699999999998</v>
      </c>
      <c r="S42" s="603">
        <f>SUM(E43)</f>
        <v>293.54966999999999</v>
      </c>
      <c r="U42" s="350">
        <f>F42</f>
        <v>273.89</v>
      </c>
    </row>
    <row r="43" spans="1:31" x14ac:dyDescent="0.15">
      <c r="A43" s="686"/>
      <c r="B43" s="630">
        <v>46023</v>
      </c>
      <c r="C43" s="646">
        <f>362.407</f>
        <v>362.40699999999998</v>
      </c>
      <c r="D43" s="647">
        <f t="shared" si="24"/>
        <v>68.85732999999999</v>
      </c>
      <c r="E43" s="648">
        <f t="shared" si="25"/>
        <v>293.54966999999999</v>
      </c>
      <c r="F43" s="649">
        <v>293.55</v>
      </c>
      <c r="N43" s="350"/>
      <c r="R43" s="423">
        <f>+C44</f>
        <v>371.6</v>
      </c>
      <c r="S43" s="604">
        <f t="shared" ref="S43:S53" si="26">SUM(E44)</f>
        <v>300.99600000000004</v>
      </c>
      <c r="U43" s="350">
        <f t="shared" ref="U43:U53" si="27">F43</f>
        <v>293.55</v>
      </c>
    </row>
    <row r="44" spans="1:31" x14ac:dyDescent="0.15">
      <c r="A44" s="686"/>
      <c r="B44" s="630">
        <v>46054</v>
      </c>
      <c r="C44" s="646">
        <v>371.6</v>
      </c>
      <c r="D44" s="647">
        <f t="shared" si="24"/>
        <v>70.603999999999999</v>
      </c>
      <c r="E44" s="648">
        <f t="shared" si="25"/>
        <v>300.99600000000004</v>
      </c>
      <c r="F44" s="649">
        <v>301</v>
      </c>
      <c r="R44" s="423">
        <f t="shared" ref="R44:R53" si="28">+C45</f>
        <v>344.75</v>
      </c>
      <c r="S44" s="604">
        <f t="shared" si="26"/>
        <v>279.2475</v>
      </c>
      <c r="U44" s="350">
        <f t="shared" si="27"/>
        <v>301</v>
      </c>
    </row>
    <row r="45" spans="1:31" x14ac:dyDescent="0.15">
      <c r="A45" s="686"/>
      <c r="B45" s="630">
        <v>46082</v>
      </c>
      <c r="C45" s="646">
        <v>344.75</v>
      </c>
      <c r="D45" s="647">
        <f t="shared" si="24"/>
        <v>65.502499999999998</v>
      </c>
      <c r="E45" s="648">
        <f t="shared" si="25"/>
        <v>279.2475</v>
      </c>
      <c r="F45" s="649">
        <v>275.33999999999997</v>
      </c>
      <c r="R45" s="423">
        <f t="shared" si="28"/>
        <v>161.51</v>
      </c>
      <c r="S45" s="604">
        <f t="shared" si="26"/>
        <v>130.82309999999998</v>
      </c>
      <c r="U45" s="350">
        <f t="shared" si="27"/>
        <v>275.33999999999997</v>
      </c>
    </row>
    <row r="46" spans="1:31" x14ac:dyDescent="0.15">
      <c r="A46" s="686"/>
      <c r="B46" s="630">
        <v>46113</v>
      </c>
      <c r="C46" s="673">
        <f>49.12+87.73+24.66</f>
        <v>161.51</v>
      </c>
      <c r="D46" s="676">
        <f t="shared" si="24"/>
        <v>30.686899999999998</v>
      </c>
      <c r="E46" s="674">
        <f t="shared" si="25"/>
        <v>130.82309999999998</v>
      </c>
      <c r="F46" s="672">
        <v>130.82</v>
      </c>
      <c r="R46" s="423">
        <f t="shared" si="28"/>
        <v>308.21000000000004</v>
      </c>
      <c r="S46" s="604">
        <f t="shared" si="26"/>
        <v>249.65010000000004</v>
      </c>
      <c r="U46" s="350">
        <f t="shared" si="27"/>
        <v>130.82</v>
      </c>
    </row>
    <row r="47" spans="1:31" x14ac:dyDescent="0.15">
      <c r="A47" s="686"/>
      <c r="B47" s="630">
        <v>46143</v>
      </c>
      <c r="C47" s="673">
        <f>184.93+123.28</f>
        <v>308.21000000000004</v>
      </c>
      <c r="D47" s="676">
        <f t="shared" si="24"/>
        <v>58.559900000000006</v>
      </c>
      <c r="E47" s="674">
        <f t="shared" si="25"/>
        <v>249.65010000000004</v>
      </c>
      <c r="F47" s="801">
        <f>99.86+149.79</f>
        <v>249.64999999999998</v>
      </c>
      <c r="R47" s="423">
        <f t="shared" si="28"/>
        <v>279.16666666666663</v>
      </c>
      <c r="S47" s="604">
        <f t="shared" si="26"/>
        <v>226.12499999999997</v>
      </c>
      <c r="U47" s="350">
        <f t="shared" si="27"/>
        <v>249.64999999999998</v>
      </c>
    </row>
    <row r="48" spans="1:31" x14ac:dyDescent="0.15">
      <c r="A48" s="686"/>
      <c r="B48" s="630">
        <v>46174</v>
      </c>
      <c r="C48" s="673">
        <f t="shared" ref="C48:C54" si="29">+C63+D63</f>
        <v>279.16666666666663</v>
      </c>
      <c r="D48" s="676">
        <f t="shared" si="24"/>
        <v>53.041666666666657</v>
      </c>
      <c r="E48" s="674">
        <f t="shared" si="25"/>
        <v>226.12499999999997</v>
      </c>
      <c r="F48" s="801">
        <v>101.1</v>
      </c>
      <c r="R48" s="423">
        <f t="shared" si="28"/>
        <v>282.29166666666663</v>
      </c>
      <c r="S48" s="604">
        <f t="shared" si="26"/>
        <v>228.65624999999997</v>
      </c>
      <c r="U48" s="350">
        <f t="shared" si="27"/>
        <v>101.1</v>
      </c>
    </row>
    <row r="49" spans="1:22" x14ac:dyDescent="0.15">
      <c r="A49" s="686"/>
      <c r="B49" s="630">
        <v>46204</v>
      </c>
      <c r="C49" s="646">
        <f t="shared" si="29"/>
        <v>282.29166666666663</v>
      </c>
      <c r="D49" s="799">
        <f t="shared" si="24"/>
        <v>53.635416666666657</v>
      </c>
      <c r="E49" s="674">
        <f t="shared" si="25"/>
        <v>228.65624999999997</v>
      </c>
      <c r="F49" s="800"/>
      <c r="R49" s="423">
        <f t="shared" si="28"/>
        <v>286.45833333333337</v>
      </c>
      <c r="S49" s="604">
        <f t="shared" si="26"/>
        <v>232.03125000000003</v>
      </c>
      <c r="U49" s="350">
        <f t="shared" si="27"/>
        <v>0</v>
      </c>
    </row>
    <row r="50" spans="1:22" x14ac:dyDescent="0.15">
      <c r="A50" s="686"/>
      <c r="B50" s="630">
        <v>46235</v>
      </c>
      <c r="C50" s="646">
        <f t="shared" si="29"/>
        <v>286.45833333333337</v>
      </c>
      <c r="D50" s="799">
        <f t="shared" si="24"/>
        <v>54.427083333333343</v>
      </c>
      <c r="E50" s="674">
        <f t="shared" si="25"/>
        <v>232.03125000000003</v>
      </c>
      <c r="F50" s="800"/>
      <c r="R50" s="423">
        <f t="shared" si="28"/>
        <v>290.625</v>
      </c>
      <c r="S50" s="604">
        <f t="shared" si="26"/>
        <v>235.40625</v>
      </c>
      <c r="U50" s="350">
        <f t="shared" si="27"/>
        <v>0</v>
      </c>
    </row>
    <row r="51" spans="1:22" x14ac:dyDescent="0.15">
      <c r="A51" s="686"/>
      <c r="B51" s="630">
        <v>46266</v>
      </c>
      <c r="C51" s="646">
        <f t="shared" si="29"/>
        <v>290.625</v>
      </c>
      <c r="D51" s="799">
        <f t="shared" si="24"/>
        <v>55.21875</v>
      </c>
      <c r="E51" s="674">
        <f t="shared" si="25"/>
        <v>235.40625</v>
      </c>
      <c r="F51" s="800"/>
      <c r="R51" s="423">
        <f t="shared" si="28"/>
        <v>294.79166666666663</v>
      </c>
      <c r="S51" s="604">
        <f t="shared" si="26"/>
        <v>238.78124999999997</v>
      </c>
      <c r="U51" s="350">
        <f t="shared" si="27"/>
        <v>0</v>
      </c>
    </row>
    <row r="52" spans="1:22" ht="12.75" thickBot="1" x14ac:dyDescent="0.2">
      <c r="A52" s="686"/>
      <c r="B52" s="630">
        <v>46296</v>
      </c>
      <c r="C52" s="646">
        <f t="shared" si="29"/>
        <v>294.79166666666663</v>
      </c>
      <c r="D52" s="799">
        <f t="shared" si="24"/>
        <v>56.010416666666657</v>
      </c>
      <c r="E52" s="674">
        <f t="shared" si="25"/>
        <v>238.78124999999997</v>
      </c>
      <c r="F52" s="800"/>
      <c r="R52" s="423">
        <f t="shared" si="28"/>
        <v>277.08333333333331</v>
      </c>
      <c r="S52" s="604">
        <f t="shared" si="26"/>
        <v>224.4375</v>
      </c>
      <c r="U52" s="350">
        <f t="shared" si="27"/>
        <v>0</v>
      </c>
    </row>
    <row r="53" spans="1:22" ht="12.75" thickBot="1" x14ac:dyDescent="0.2">
      <c r="A53" s="686"/>
      <c r="B53" s="630">
        <v>46327</v>
      </c>
      <c r="C53" s="646">
        <f t="shared" si="29"/>
        <v>277.08333333333331</v>
      </c>
      <c r="D53" s="799">
        <f t="shared" si="24"/>
        <v>52.645833333333329</v>
      </c>
      <c r="E53" s="674">
        <f t="shared" si="25"/>
        <v>224.4375</v>
      </c>
      <c r="F53" s="800"/>
      <c r="R53" s="423">
        <f t="shared" si="28"/>
        <v>281.25</v>
      </c>
      <c r="S53" s="605">
        <f t="shared" si="26"/>
        <v>227.8125</v>
      </c>
      <c r="T53" s="606">
        <f>SUM(S42:S53)</f>
        <v>2867.5163699999998</v>
      </c>
      <c r="U53" s="350">
        <f t="shared" si="27"/>
        <v>0</v>
      </c>
    </row>
    <row r="54" spans="1:22" ht="12.75" thickBot="1" x14ac:dyDescent="0.2">
      <c r="A54" s="686"/>
      <c r="B54" s="630">
        <v>46357</v>
      </c>
      <c r="C54" s="646">
        <f t="shared" si="29"/>
        <v>281.25</v>
      </c>
      <c r="D54" s="799">
        <f t="shared" ref="D54" si="30">+C54*0.19</f>
        <v>53.4375</v>
      </c>
      <c r="E54" s="675">
        <f t="shared" ref="E54" si="31">+C54-D54</f>
        <v>227.8125</v>
      </c>
      <c r="F54" s="800"/>
      <c r="R54" s="423"/>
      <c r="S54" s="350"/>
      <c r="T54" s="613"/>
      <c r="U54" s="350"/>
    </row>
    <row r="55" spans="1:22" x14ac:dyDescent="0.15">
      <c r="A55" s="609"/>
      <c r="B55" s="631"/>
      <c r="C55" s="614"/>
      <c r="D55" s="413"/>
      <c r="E55" s="350"/>
      <c r="F55" s="611"/>
      <c r="R55" s="423"/>
      <c r="S55" s="350"/>
      <c r="T55" s="613"/>
      <c r="U55" s="350"/>
    </row>
    <row r="56" spans="1:22" x14ac:dyDescent="0.15">
      <c r="A56" s="689" t="s">
        <v>3</v>
      </c>
      <c r="B56" s="689"/>
      <c r="C56" s="615">
        <f>SUM(C4:C53)</f>
        <v>6364.4948327386901</v>
      </c>
      <c r="D56" s="615">
        <f>SUM(D4:D53)</f>
        <v>1209.2540182203509</v>
      </c>
      <c r="E56" s="615">
        <f>SUM(E4:E53)</f>
        <v>5155.2408145183381</v>
      </c>
      <c r="F56" s="615">
        <f>SUM(F4:F53)</f>
        <v>3859.99</v>
      </c>
      <c r="G56" s="615"/>
      <c r="H56" s="615">
        <f>+H33+H22</f>
        <v>794.03</v>
      </c>
      <c r="I56" s="615">
        <f t="shared" ref="I56:K56" si="32">+I33+I22</f>
        <v>150.8657</v>
      </c>
      <c r="J56" s="615">
        <f t="shared" si="32"/>
        <v>643.16429999999991</v>
      </c>
      <c r="K56" s="615">
        <f t="shared" si="32"/>
        <v>643.19000000000005</v>
      </c>
      <c r="L56" s="615"/>
      <c r="M56" s="615">
        <f>SUM(M4:M31)</f>
        <v>3107.7283950617284</v>
      </c>
      <c r="N56" s="615">
        <f t="shared" ref="N56:P56" si="33">SUM(N4:N31)</f>
        <v>590.46289506172843</v>
      </c>
      <c r="O56" s="615">
        <f t="shared" si="33"/>
        <v>2517.2655000000004</v>
      </c>
      <c r="P56" s="615">
        <f t="shared" si="33"/>
        <v>2518.1099999999997</v>
      </c>
      <c r="Q56" s="615"/>
      <c r="R56" s="616">
        <f>SUM(R4:R53)</f>
        <v>10547.503227800416</v>
      </c>
      <c r="S56" s="615">
        <f>SUM(S4:S53)</f>
        <v>8543.483114518338</v>
      </c>
      <c r="T56" s="615"/>
      <c r="U56" s="615">
        <f>SUM(U4:U53)</f>
        <v>7295.1800000000012</v>
      </c>
      <c r="V56" s="615">
        <f>SUM(V4:V53)</f>
        <v>5669.829999999999</v>
      </c>
    </row>
    <row r="57" spans="1:22" x14ac:dyDescent="0.15">
      <c r="R57" s="359"/>
    </row>
    <row r="58" spans="1:22" s="629" customFormat="1" ht="11.25" x14ac:dyDescent="0.15"/>
    <row r="59" spans="1:22" s="629" customFormat="1" x14ac:dyDescent="0.15">
      <c r="B59" s="679"/>
      <c r="C59" s="679"/>
      <c r="I59" s="681"/>
    </row>
    <row r="60" spans="1:22" s="629" customFormat="1" ht="11.25" x14ac:dyDescent="0.15">
      <c r="B60" s="645">
        <v>0.19</v>
      </c>
      <c r="C60" s="645">
        <v>2.5000000000000001E-2</v>
      </c>
    </row>
    <row r="61" spans="1:22" s="629" customFormat="1" ht="11.25" x14ac:dyDescent="0.15"/>
    <row r="62" spans="1:22" s="629" customFormat="1" ht="11.25" x14ac:dyDescent="0.15"/>
    <row r="63" spans="1:22" s="629" customFormat="1" ht="11.25" x14ac:dyDescent="0.15">
      <c r="B63" s="629">
        <v>74000</v>
      </c>
      <c r="C63" s="680">
        <f>+B63*$C$60/12</f>
        <v>154.16666666666666</v>
      </c>
      <c r="D63" s="629">
        <f>50000*0.03/12</f>
        <v>125</v>
      </c>
      <c r="E63" s="680">
        <f t="shared" ref="E63:E69" si="34">+$C63*$B$60+$D63*$B$60</f>
        <v>53.041666666666664</v>
      </c>
      <c r="F63" s="682">
        <f t="shared" ref="F63:F69" si="35">+C63+D63-E63</f>
        <v>226.12499999999997</v>
      </c>
    </row>
    <row r="64" spans="1:22" s="629" customFormat="1" ht="11.25" x14ac:dyDescent="0.15">
      <c r="B64" s="629">
        <f>+B63+1500</f>
        <v>75500</v>
      </c>
      <c r="C64" s="680">
        <f t="shared" ref="C64:C69" si="36">+B64*$C$60/12</f>
        <v>157.29166666666666</v>
      </c>
      <c r="D64" s="629">
        <f>50000*0.03/12</f>
        <v>125</v>
      </c>
      <c r="E64" s="680">
        <f t="shared" si="34"/>
        <v>53.635416666666664</v>
      </c>
      <c r="F64" s="682">
        <f t="shared" si="35"/>
        <v>228.65624999999997</v>
      </c>
    </row>
    <row r="65" spans="2:6" s="629" customFormat="1" ht="11.25" x14ac:dyDescent="0.15">
      <c r="B65" s="629">
        <f>+B64+2000</f>
        <v>77500</v>
      </c>
      <c r="C65" s="680">
        <f t="shared" si="36"/>
        <v>161.45833333333334</v>
      </c>
      <c r="D65" s="629">
        <f>50000*0.03/12</f>
        <v>125</v>
      </c>
      <c r="E65" s="680">
        <f t="shared" si="34"/>
        <v>54.427083333333336</v>
      </c>
      <c r="F65" s="682">
        <f t="shared" si="35"/>
        <v>232.03125000000003</v>
      </c>
    </row>
    <row r="66" spans="2:6" s="629" customFormat="1" ht="11.25" x14ac:dyDescent="0.15">
      <c r="B66" s="629">
        <f>+B65+2000</f>
        <v>79500</v>
      </c>
      <c r="C66" s="680">
        <f t="shared" si="36"/>
        <v>165.625</v>
      </c>
      <c r="D66" s="629">
        <f>50000*0.03/12</f>
        <v>125</v>
      </c>
      <c r="E66" s="680">
        <f t="shared" si="34"/>
        <v>55.21875</v>
      </c>
      <c r="F66" s="682">
        <f t="shared" si="35"/>
        <v>235.40625</v>
      </c>
    </row>
    <row r="67" spans="2:6" s="629" customFormat="1" ht="11.25" x14ac:dyDescent="0.15">
      <c r="B67" s="629">
        <f>+B66+2000</f>
        <v>81500</v>
      </c>
      <c r="C67" s="680">
        <f t="shared" si="36"/>
        <v>169.79166666666666</v>
      </c>
      <c r="D67" s="629">
        <f>50000*0.03/12</f>
        <v>125</v>
      </c>
      <c r="E67" s="680">
        <f t="shared" si="34"/>
        <v>56.010416666666664</v>
      </c>
      <c r="F67" s="682">
        <f t="shared" si="35"/>
        <v>238.78124999999997</v>
      </c>
    </row>
    <row r="68" spans="2:6" s="629" customFormat="1" ht="11.25" x14ac:dyDescent="0.15">
      <c r="B68" s="629">
        <f>+B67+1500+50000</f>
        <v>133000</v>
      </c>
      <c r="C68" s="680">
        <f t="shared" si="36"/>
        <v>277.08333333333331</v>
      </c>
      <c r="E68" s="680">
        <f t="shared" si="34"/>
        <v>52.645833333333329</v>
      </c>
      <c r="F68" s="682">
        <f t="shared" si="35"/>
        <v>224.4375</v>
      </c>
    </row>
    <row r="69" spans="2:6" s="629" customFormat="1" ht="11.25" x14ac:dyDescent="0.15">
      <c r="B69" s="629">
        <f>+B68+2000</f>
        <v>135000</v>
      </c>
      <c r="C69" s="680">
        <f t="shared" si="36"/>
        <v>281.25</v>
      </c>
      <c r="E69" s="680">
        <f t="shared" si="34"/>
        <v>53.4375</v>
      </c>
      <c r="F69" s="682">
        <f t="shared" si="35"/>
        <v>227.8125</v>
      </c>
    </row>
    <row r="70" spans="2:6" s="629" customFormat="1" ht="11.25" x14ac:dyDescent="0.15"/>
    <row r="71" spans="2:6" s="629" customFormat="1" ht="11.25" x14ac:dyDescent="0.15"/>
    <row r="72" spans="2:6" s="629" customFormat="1" ht="11.25" x14ac:dyDescent="0.15"/>
    <row r="73" spans="2:6" s="643" customFormat="1" ht="11.25" x14ac:dyDescent="0.15">
      <c r="B73" s="644"/>
    </row>
  </sheetData>
  <mergeCells count="15">
    <mergeCell ref="A56:B56"/>
    <mergeCell ref="C40:F40"/>
    <mergeCell ref="A27:A38"/>
    <mergeCell ref="A12:A23"/>
    <mergeCell ref="A42:A54"/>
    <mergeCell ref="A4:A8"/>
    <mergeCell ref="C2:F2"/>
    <mergeCell ref="C25:F25"/>
    <mergeCell ref="H2:K2"/>
    <mergeCell ref="H25:K25"/>
    <mergeCell ref="M2:P2"/>
    <mergeCell ref="M25:P25"/>
    <mergeCell ref="C10:F10"/>
    <mergeCell ref="H10:K10"/>
    <mergeCell ref="M10:P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B576-2CF3-48D6-AABC-C6F44926230D}">
  <sheetPr>
    <tabColor rgb="FFCC0066"/>
  </sheetPr>
  <dimension ref="B1:V123"/>
  <sheetViews>
    <sheetView topLeftCell="G22" workbookViewId="0">
      <selection activeCell="E38" sqref="E38"/>
    </sheetView>
  </sheetViews>
  <sheetFormatPr defaultColWidth="10.76171875" defaultRowHeight="15" x14ac:dyDescent="0.2"/>
  <cols>
    <col min="1" max="2" width="10.76171875" style="206"/>
    <col min="3" max="3" width="13.98828125" style="206" bestFit="1" customWidth="1"/>
    <col min="4" max="4" width="10.76171875" style="206"/>
    <col min="5" max="5" width="12.9140625" style="206" customWidth="1"/>
    <col min="6" max="10" width="10.76171875" style="206"/>
    <col min="11" max="11" width="8.7421875" style="206" customWidth="1"/>
    <col min="12" max="13" width="10.76171875" style="206"/>
    <col min="14" max="14" width="12.5078125" style="206" customWidth="1"/>
    <col min="15" max="16384" width="10.76171875" style="206"/>
  </cols>
  <sheetData>
    <row r="1" spans="2:22" ht="15" customHeight="1" x14ac:dyDescent="0.2">
      <c r="B1" s="742" t="s">
        <v>87</v>
      </c>
      <c r="C1" s="743"/>
      <c r="D1" s="743"/>
      <c r="E1" s="744"/>
      <c r="F1" s="748" t="s">
        <v>105</v>
      </c>
      <c r="G1" s="749"/>
      <c r="H1" s="749"/>
      <c r="I1" s="749"/>
      <c r="J1" s="750"/>
      <c r="M1" s="742" t="s">
        <v>87</v>
      </c>
      <c r="N1" s="743"/>
      <c r="O1" s="743"/>
      <c r="P1" s="744"/>
      <c r="Q1" s="748" t="s">
        <v>105</v>
      </c>
      <c r="R1" s="749"/>
      <c r="S1" s="749"/>
      <c r="T1" s="749"/>
      <c r="U1" s="750"/>
    </row>
    <row r="2" spans="2:22" ht="15" customHeight="1" x14ac:dyDescent="0.2">
      <c r="B2" s="745"/>
      <c r="C2" s="746"/>
      <c r="D2" s="746"/>
      <c r="E2" s="747"/>
      <c r="F2" s="732" t="s">
        <v>106</v>
      </c>
      <c r="G2" s="733"/>
      <c r="H2" s="733"/>
      <c r="I2" s="734"/>
      <c r="J2" s="376">
        <f>4158+(E14-18080)*0.28</f>
        <v>-5671.4112000000005</v>
      </c>
      <c r="M2" s="745"/>
      <c r="N2" s="746"/>
      <c r="O2" s="746"/>
      <c r="P2" s="747"/>
      <c r="Q2" s="732" t="s">
        <v>106</v>
      </c>
      <c r="R2" s="733"/>
      <c r="S2" s="733"/>
      <c r="T2" s="734"/>
      <c r="U2" s="376">
        <f>4158+(P14-18080)*0.28</f>
        <v>-5671.4112000000005</v>
      </c>
    </row>
    <row r="3" spans="2:22" ht="15.75" customHeight="1" x14ac:dyDescent="0.2">
      <c r="B3" s="751"/>
      <c r="C3" s="752"/>
      <c r="D3" s="752"/>
      <c r="E3" s="378"/>
      <c r="F3" s="738" t="s">
        <v>107</v>
      </c>
      <c r="G3" s="739"/>
      <c r="H3" s="739"/>
      <c r="I3" s="740"/>
      <c r="J3" s="379">
        <f>1615</f>
        <v>1615</v>
      </c>
      <c r="M3" s="751"/>
      <c r="N3" s="752"/>
      <c r="O3" s="752"/>
      <c r="P3" s="378"/>
      <c r="Q3" s="738" t="s">
        <v>107</v>
      </c>
      <c r="R3" s="739"/>
      <c r="S3" s="739"/>
      <c r="T3" s="740"/>
      <c r="U3" s="379">
        <f>1615</f>
        <v>1615</v>
      </c>
    </row>
    <row r="4" spans="2:22" ht="15" customHeight="1" x14ac:dyDescent="0.2">
      <c r="B4" s="729" t="s">
        <v>108</v>
      </c>
      <c r="C4" s="730"/>
      <c r="D4" s="730"/>
      <c r="E4" s="731"/>
      <c r="F4" s="732" t="s">
        <v>109</v>
      </c>
      <c r="G4" s="733"/>
      <c r="H4" s="733"/>
      <c r="I4" s="734"/>
      <c r="J4" s="376">
        <f>J2-J3</f>
        <v>-7286.4112000000005</v>
      </c>
      <c r="M4" s="729" t="s">
        <v>108</v>
      </c>
      <c r="N4" s="730"/>
      <c r="O4" s="730"/>
      <c r="P4" s="731"/>
      <c r="Q4" s="732" t="s">
        <v>109</v>
      </c>
      <c r="R4" s="733"/>
      <c r="S4" s="733"/>
      <c r="T4" s="734"/>
      <c r="U4" s="376">
        <f>U2-U3</f>
        <v>-7286.4112000000005</v>
      </c>
    </row>
    <row r="5" spans="2:22" ht="15" customHeight="1" x14ac:dyDescent="0.2">
      <c r="B5" s="735" t="s">
        <v>110</v>
      </c>
      <c r="C5" s="736"/>
      <c r="D5" s="736"/>
      <c r="E5" s="737"/>
      <c r="F5" s="738" t="s">
        <v>111</v>
      </c>
      <c r="G5" s="739"/>
      <c r="H5" s="739"/>
      <c r="I5" s="740"/>
      <c r="J5" s="381">
        <f>0.19*E21</f>
        <v>0</v>
      </c>
      <c r="M5" s="735" t="s">
        <v>110</v>
      </c>
      <c r="N5" s="736"/>
      <c r="O5" s="736"/>
      <c r="P5" s="737"/>
      <c r="Q5" s="738" t="s">
        <v>111</v>
      </c>
      <c r="R5" s="739"/>
      <c r="S5" s="739"/>
      <c r="T5" s="740"/>
      <c r="U5" s="381">
        <f>0.2*P22</f>
        <v>0</v>
      </c>
    </row>
    <row r="6" spans="2:22" ht="15" customHeight="1" x14ac:dyDescent="0.2">
      <c r="B6" s="703" t="s">
        <v>112</v>
      </c>
      <c r="C6" s="704"/>
      <c r="D6" s="708"/>
      <c r="E6" s="376"/>
      <c r="F6" s="741"/>
      <c r="G6" s="704"/>
      <c r="H6" s="704"/>
      <c r="I6" s="708"/>
      <c r="J6" s="382"/>
      <c r="M6" s="703" t="s">
        <v>112</v>
      </c>
      <c r="N6" s="704"/>
      <c r="O6" s="708"/>
      <c r="P6" s="382"/>
      <c r="Q6" s="741"/>
      <c r="R6" s="704"/>
      <c r="S6" s="704"/>
      <c r="T6" s="708"/>
      <c r="U6" s="382"/>
    </row>
    <row r="7" spans="2:22" ht="15" customHeight="1" x14ac:dyDescent="0.2">
      <c r="B7" s="728" t="s">
        <v>18</v>
      </c>
      <c r="C7" s="727"/>
      <c r="D7" s="715"/>
      <c r="E7" s="383"/>
      <c r="F7" s="721" t="s">
        <v>113</v>
      </c>
      <c r="G7" s="722"/>
      <c r="H7" s="722"/>
      <c r="I7" s="722"/>
      <c r="J7" s="384">
        <f>J4+J5</f>
        <v>-7286.4112000000005</v>
      </c>
      <c r="M7" s="728" t="s">
        <v>18</v>
      </c>
      <c r="N7" s="727"/>
      <c r="O7" s="715"/>
      <c r="P7" s="383"/>
      <c r="Q7" s="721" t="s">
        <v>113</v>
      </c>
      <c r="R7" s="722"/>
      <c r="S7" s="722"/>
      <c r="T7" s="722"/>
      <c r="U7" s="384">
        <f>U4</f>
        <v>-7286.4112000000005</v>
      </c>
    </row>
    <row r="8" spans="2:22" ht="15" customHeight="1" x14ac:dyDescent="0.2">
      <c r="B8" s="726" t="s">
        <v>114</v>
      </c>
      <c r="C8" s="727"/>
      <c r="D8" s="715"/>
      <c r="E8" s="383">
        <f>8000-(E6-E7-14800)*0.6098</f>
        <v>17025.04</v>
      </c>
      <c r="F8" s="724" t="s">
        <v>150</v>
      </c>
      <c r="G8" s="724"/>
      <c r="H8" s="724"/>
      <c r="I8" s="724"/>
      <c r="J8" s="725"/>
      <c r="M8" s="726" t="s">
        <v>114</v>
      </c>
      <c r="N8" s="727"/>
      <c r="O8" s="715"/>
      <c r="P8" s="383">
        <f>8000-(P6-P7-14800)*0.6098</f>
        <v>17025.04</v>
      </c>
      <c r="Q8" s="724" t="s">
        <v>150</v>
      </c>
      <c r="R8" s="724"/>
      <c r="S8" s="724"/>
      <c r="T8" s="724"/>
      <c r="U8" s="725"/>
    </row>
    <row r="9" spans="2:22" ht="15" customHeight="1" x14ac:dyDescent="0.2">
      <c r="B9" s="721" t="s">
        <v>115</v>
      </c>
      <c r="C9" s="722"/>
      <c r="D9" s="722"/>
      <c r="E9" s="385">
        <f>E6-E7-E8</f>
        <v>-17025.04</v>
      </c>
      <c r="F9" s="703" t="s">
        <v>116</v>
      </c>
      <c r="G9" s="704"/>
      <c r="H9" s="704"/>
      <c r="I9" s="708"/>
      <c r="J9" s="382"/>
      <c r="M9" s="721" t="s">
        <v>115</v>
      </c>
      <c r="N9" s="722"/>
      <c r="O9" s="722"/>
      <c r="P9" s="385">
        <f>P6-P7-P8</f>
        <v>-17025.04</v>
      </c>
      <c r="Q9" s="703" t="s">
        <v>116</v>
      </c>
      <c r="R9" s="704"/>
      <c r="S9" s="704"/>
      <c r="T9" s="708"/>
      <c r="U9" s="382"/>
    </row>
    <row r="10" spans="2:22" ht="15" customHeight="1" x14ac:dyDescent="0.2">
      <c r="B10" s="705" t="s">
        <v>152</v>
      </c>
      <c r="C10" s="706"/>
      <c r="D10" s="706"/>
      <c r="E10" s="707"/>
      <c r="F10" s="726" t="s">
        <v>117</v>
      </c>
      <c r="G10" s="727"/>
      <c r="H10" s="727"/>
      <c r="I10" s="715"/>
      <c r="J10" s="386">
        <v>0</v>
      </c>
      <c r="M10" s="705" t="s">
        <v>152</v>
      </c>
      <c r="N10" s="706"/>
      <c r="O10" s="706"/>
      <c r="P10" s="707"/>
      <c r="Q10" s="726" t="s">
        <v>117</v>
      </c>
      <c r="R10" s="727"/>
      <c r="S10" s="727"/>
      <c r="T10" s="715"/>
      <c r="U10" s="386">
        <v>0</v>
      </c>
    </row>
    <row r="11" spans="2:22" x14ac:dyDescent="0.2">
      <c r="B11" s="703"/>
      <c r="C11" s="704"/>
      <c r="D11" s="708"/>
      <c r="E11" s="387"/>
      <c r="F11" s="703"/>
      <c r="G11" s="704"/>
      <c r="H11" s="704"/>
      <c r="I11" s="708"/>
      <c r="J11" s="387"/>
      <c r="M11" s="703"/>
      <c r="N11" s="704"/>
      <c r="O11" s="708"/>
      <c r="P11" s="387"/>
      <c r="Q11" s="703"/>
      <c r="R11" s="704"/>
      <c r="S11" s="704"/>
      <c r="T11" s="708"/>
      <c r="U11" s="387"/>
    </row>
    <row r="12" spans="2:22" ht="15" customHeight="1" x14ac:dyDescent="0.2">
      <c r="B12" s="726" t="s">
        <v>118</v>
      </c>
      <c r="C12" s="727"/>
      <c r="D12" s="715"/>
      <c r="E12" s="383">
        <f>E9</f>
        <v>-17025.04</v>
      </c>
      <c r="F12" s="721" t="s">
        <v>119</v>
      </c>
      <c r="G12" s="722"/>
      <c r="H12" s="722"/>
      <c r="I12" s="722"/>
      <c r="J12" s="388">
        <f>J9+J10</f>
        <v>0</v>
      </c>
      <c r="M12" s="726" t="s">
        <v>118</v>
      </c>
      <c r="N12" s="727"/>
      <c r="O12" s="715"/>
      <c r="P12" s="383">
        <f>P9</f>
        <v>-17025.04</v>
      </c>
      <c r="Q12" s="721" t="s">
        <v>119</v>
      </c>
      <c r="R12" s="722"/>
      <c r="S12" s="722"/>
      <c r="T12" s="722"/>
      <c r="U12" s="388">
        <f>U9+U10</f>
        <v>0</v>
      </c>
    </row>
    <row r="13" spans="2:22" ht="15" customHeight="1" x14ac:dyDescent="0.2">
      <c r="B13" s="703"/>
      <c r="C13" s="704"/>
      <c r="D13" s="708"/>
      <c r="E13" s="387"/>
      <c r="F13" s="721" t="s">
        <v>120</v>
      </c>
      <c r="G13" s="722"/>
      <c r="H13" s="722"/>
      <c r="I13" s="722"/>
      <c r="J13" s="388">
        <f>IF(J7&gt;0,J7-J12,0)</f>
        <v>0</v>
      </c>
      <c r="M13" s="703"/>
      <c r="N13" s="704"/>
      <c r="O13" s="708"/>
      <c r="P13" s="387"/>
      <c r="Q13" s="721" t="s">
        <v>120</v>
      </c>
      <c r="R13" s="722"/>
      <c r="S13" s="722"/>
      <c r="T13" s="722"/>
      <c r="U13" s="388">
        <f>IF(U7&gt;0,U7-U12,0)</f>
        <v>0</v>
      </c>
    </row>
    <row r="14" spans="2:22" ht="15" customHeight="1" x14ac:dyDescent="0.2">
      <c r="B14" s="721" t="s">
        <v>121</v>
      </c>
      <c r="C14" s="722"/>
      <c r="D14" s="722"/>
      <c r="E14" s="389">
        <f>E12</f>
        <v>-17025.04</v>
      </c>
      <c r="F14" s="704" t="s">
        <v>122</v>
      </c>
      <c r="G14" s="704"/>
      <c r="H14" s="704"/>
      <c r="I14" s="708"/>
      <c r="J14" s="390"/>
      <c r="M14" s="721" t="s">
        <v>121</v>
      </c>
      <c r="N14" s="722"/>
      <c r="O14" s="722"/>
      <c r="P14" s="389">
        <f>P12</f>
        <v>-17025.04</v>
      </c>
      <c r="Q14" s="704" t="s">
        <v>122</v>
      </c>
      <c r="R14" s="704"/>
      <c r="S14" s="704"/>
      <c r="T14" s="708"/>
      <c r="U14" s="390"/>
    </row>
    <row r="15" spans="2:22" ht="15" customHeight="1" x14ac:dyDescent="0.2">
      <c r="B15" s="719"/>
      <c r="C15" s="720"/>
      <c r="D15" s="720"/>
      <c r="E15" s="391"/>
      <c r="F15" s="723" t="s">
        <v>151</v>
      </c>
      <c r="G15" s="724"/>
      <c r="H15" s="724"/>
      <c r="I15" s="724"/>
      <c r="J15" s="725"/>
      <c r="M15" s="719"/>
      <c r="N15" s="720"/>
      <c r="O15" s="720"/>
      <c r="P15" s="391"/>
      <c r="Q15" s="723" t="s">
        <v>151</v>
      </c>
      <c r="R15" s="724"/>
      <c r="S15" s="724"/>
      <c r="T15" s="724"/>
      <c r="U15" s="725"/>
    </row>
    <row r="16" spans="2:22" ht="15" customHeight="1" x14ac:dyDescent="0.2">
      <c r="B16" s="705" t="s">
        <v>153</v>
      </c>
      <c r="C16" s="706"/>
      <c r="D16" s="706"/>
      <c r="E16" s="707"/>
      <c r="F16" s="703" t="s">
        <v>123</v>
      </c>
      <c r="G16" s="704"/>
      <c r="H16" s="704"/>
      <c r="I16" s="708"/>
      <c r="J16" s="382"/>
      <c r="K16" s="392"/>
      <c r="L16" s="393"/>
      <c r="M16" s="705" t="s">
        <v>153</v>
      </c>
      <c r="N16" s="706"/>
      <c r="O16" s="706"/>
      <c r="P16" s="707"/>
      <c r="Q16" s="703" t="s">
        <v>123</v>
      </c>
      <c r="R16" s="704"/>
      <c r="S16" s="704"/>
      <c r="T16" s="708"/>
      <c r="U16" s="382"/>
      <c r="V16" s="392"/>
    </row>
    <row r="17" spans="2:21" ht="15" customHeight="1" x14ac:dyDescent="0.2">
      <c r="B17" s="703" t="s">
        <v>124</v>
      </c>
      <c r="C17" s="704"/>
      <c r="D17" s="708"/>
      <c r="E17" s="387"/>
      <c r="F17" s="714" t="s">
        <v>125</v>
      </c>
      <c r="G17" s="715"/>
      <c r="H17" s="715"/>
      <c r="I17" s="715"/>
      <c r="J17" s="394"/>
      <c r="L17" s="393"/>
      <c r="M17" s="703" t="s">
        <v>124</v>
      </c>
      <c r="N17" s="704"/>
      <c r="O17" s="708"/>
      <c r="P17" s="387">
        <v>0</v>
      </c>
      <c r="Q17" s="714" t="s">
        <v>125</v>
      </c>
      <c r="R17" s="715"/>
      <c r="S17" s="715"/>
      <c r="T17" s="715"/>
      <c r="U17" s="394">
        <v>0</v>
      </c>
    </row>
    <row r="18" spans="2:21" ht="15" customHeight="1" x14ac:dyDescent="0.2">
      <c r="B18" s="716"/>
      <c r="C18" s="717"/>
      <c r="D18" s="718"/>
      <c r="E18" s="386"/>
      <c r="F18" s="719"/>
      <c r="G18" s="720"/>
      <c r="H18" s="720"/>
      <c r="I18" s="720"/>
      <c r="J18" s="391"/>
      <c r="L18" s="393"/>
      <c r="M18" s="716"/>
      <c r="N18" s="717"/>
      <c r="O18" s="718"/>
      <c r="P18" s="386"/>
      <c r="Q18" s="719"/>
      <c r="R18" s="720"/>
      <c r="S18" s="720"/>
      <c r="T18" s="720"/>
      <c r="U18" s="391"/>
    </row>
    <row r="19" spans="2:21" ht="15" customHeight="1" x14ac:dyDescent="0.2">
      <c r="B19" s="701"/>
      <c r="C19" s="702"/>
      <c r="D19" s="702"/>
      <c r="E19" s="391"/>
      <c r="F19" s="703" t="s">
        <v>126</v>
      </c>
      <c r="G19" s="704"/>
      <c r="H19" s="704"/>
      <c r="I19" s="704"/>
      <c r="J19" s="395">
        <f>J16+J17</f>
        <v>0</v>
      </c>
      <c r="L19" s="393"/>
      <c r="M19" s="701"/>
      <c r="N19" s="702"/>
      <c r="O19" s="702"/>
      <c r="P19" s="391"/>
      <c r="Q19" s="703" t="s">
        <v>126</v>
      </c>
      <c r="R19" s="704"/>
      <c r="S19" s="704"/>
      <c r="T19" s="704"/>
      <c r="U19" s="395">
        <f>U16+U17</f>
        <v>0</v>
      </c>
    </row>
    <row r="20" spans="2:21" ht="15" customHeight="1" x14ac:dyDescent="0.2">
      <c r="B20" s="705" t="s">
        <v>152</v>
      </c>
      <c r="C20" s="706"/>
      <c r="D20" s="706"/>
      <c r="E20" s="707"/>
      <c r="F20" s="703" t="s">
        <v>127</v>
      </c>
      <c r="G20" s="704"/>
      <c r="H20" s="704"/>
      <c r="I20" s="708"/>
      <c r="J20" s="387"/>
      <c r="L20" s="393"/>
      <c r="M20" s="705" t="s">
        <v>152</v>
      </c>
      <c r="N20" s="706"/>
      <c r="O20" s="706"/>
      <c r="P20" s="707"/>
      <c r="Q20" s="703" t="s">
        <v>127</v>
      </c>
      <c r="R20" s="704"/>
      <c r="S20" s="704"/>
      <c r="T20" s="708"/>
      <c r="U20" s="387"/>
    </row>
    <row r="21" spans="2:21" ht="15" customHeight="1" x14ac:dyDescent="0.2">
      <c r="B21" s="709" t="s">
        <v>128</v>
      </c>
      <c r="C21" s="710"/>
      <c r="D21" s="711"/>
      <c r="E21" s="382">
        <v>0</v>
      </c>
      <c r="F21" s="712" t="s">
        <v>129</v>
      </c>
      <c r="G21" s="713"/>
      <c r="H21" s="713"/>
      <c r="I21" s="713"/>
      <c r="J21" s="396">
        <f>J13-J19</f>
        <v>0</v>
      </c>
      <c r="L21" s="393"/>
      <c r="M21" s="709" t="s">
        <v>128</v>
      </c>
      <c r="N21" s="710"/>
      <c r="O21" s="711"/>
      <c r="P21" s="382">
        <v>0</v>
      </c>
      <c r="Q21" s="712" t="s">
        <v>129</v>
      </c>
      <c r="R21" s="713"/>
      <c r="S21" s="713"/>
      <c r="T21" s="713"/>
      <c r="U21" s="396">
        <f>U13-U19</f>
        <v>0</v>
      </c>
    </row>
    <row r="22" spans="2:21" ht="15.75" customHeight="1" thickBot="1" x14ac:dyDescent="0.25">
      <c r="B22" s="693" t="s">
        <v>130</v>
      </c>
      <c r="C22" s="694"/>
      <c r="D22" s="695"/>
      <c r="E22" s="397">
        <f>E17</f>
        <v>0</v>
      </c>
      <c r="F22" s="696" t="str">
        <f>IF(J21&lt;0,"A DEVOLVER","A INGRESAR")</f>
        <v>A INGRESAR</v>
      </c>
      <c r="G22" s="697"/>
      <c r="H22" s="697"/>
      <c r="I22" s="697"/>
      <c r="J22" s="398">
        <f>ABS(J21)</f>
        <v>0</v>
      </c>
      <c r="L22" s="393"/>
      <c r="M22" s="693" t="s">
        <v>130</v>
      </c>
      <c r="N22" s="694"/>
      <c r="O22" s="695"/>
      <c r="P22" s="397">
        <v>0</v>
      </c>
      <c r="Q22" s="696" t="str">
        <f>IF(U21&lt;0,"A DEVOLVER","A INGRESAR")</f>
        <v>A INGRESAR</v>
      </c>
      <c r="R22" s="697"/>
      <c r="S22" s="697"/>
      <c r="T22" s="697"/>
      <c r="U22" s="398">
        <f>ABS(U21)</f>
        <v>0</v>
      </c>
    </row>
    <row r="23" spans="2:21" ht="15.75" thickBot="1" x14ac:dyDescent="0.25"/>
    <row r="24" spans="2:21" ht="15.95" customHeight="1" x14ac:dyDescent="0.2">
      <c r="G24" s="698" t="s">
        <v>19</v>
      </c>
      <c r="H24" s="699"/>
      <c r="I24" s="700"/>
      <c r="R24" s="698" t="s">
        <v>19</v>
      </c>
      <c r="S24" s="699"/>
      <c r="T24" s="700"/>
    </row>
    <row r="25" spans="2:21" ht="15.95" customHeight="1" x14ac:dyDescent="0.2">
      <c r="G25" s="399">
        <v>17720</v>
      </c>
      <c r="H25" s="400">
        <v>4075.6</v>
      </c>
      <c r="I25" s="401"/>
      <c r="R25" s="399">
        <v>17720</v>
      </c>
      <c r="S25" s="400">
        <v>4075.6</v>
      </c>
      <c r="T25" s="401"/>
    </row>
    <row r="26" spans="2:21" ht="15.95" customHeight="1" x14ac:dyDescent="0.2">
      <c r="G26" s="402">
        <f>E14-G25</f>
        <v>-34745.040000000001</v>
      </c>
      <c r="H26" s="403">
        <f>0.28*G26</f>
        <v>-9728.6112000000012</v>
      </c>
      <c r="I26" s="404"/>
      <c r="R26" s="402">
        <f>P14-R25</f>
        <v>-34745.040000000001</v>
      </c>
      <c r="S26" s="403">
        <f>0.28*R26</f>
        <v>-9728.6112000000012</v>
      </c>
      <c r="T26" s="404"/>
    </row>
    <row r="27" spans="2:21" ht="15.95" customHeight="1" x14ac:dyDescent="0.2">
      <c r="G27" s="402">
        <v>2500</v>
      </c>
      <c r="H27" s="403">
        <f>0.2*G27</f>
        <v>500</v>
      </c>
      <c r="I27" s="404"/>
      <c r="O27" s="360"/>
      <c r="R27" s="402">
        <v>2500</v>
      </c>
      <c r="S27" s="403">
        <f>0.2*R27</f>
        <v>500</v>
      </c>
      <c r="T27" s="404"/>
    </row>
    <row r="28" spans="2:21" ht="15.95" customHeight="1" x14ac:dyDescent="0.2">
      <c r="E28" s="360"/>
      <c r="G28" s="402">
        <f>+E22-G27</f>
        <v>-2500</v>
      </c>
      <c r="H28" s="403">
        <f>+G28*0.21</f>
        <v>-525</v>
      </c>
      <c r="I28" s="404"/>
      <c r="R28" s="402">
        <f>+P22-R27</f>
        <v>-2500</v>
      </c>
      <c r="S28" s="403">
        <f>+R28*0.21</f>
        <v>-525</v>
      </c>
      <c r="T28" s="404"/>
    </row>
    <row r="29" spans="2:21" ht="15.95" customHeight="1" thickBot="1" x14ac:dyDescent="0.25">
      <c r="G29" s="405"/>
      <c r="H29" s="406">
        <f>SUM(H25:H28)</f>
        <v>-5678.0112000000008</v>
      </c>
      <c r="I29" s="407" t="e">
        <f>H29/(E6+E22)</f>
        <v>#DIV/0!</v>
      </c>
      <c r="K29" s="392"/>
      <c r="R29" s="405"/>
      <c r="S29" s="406">
        <f>SUM(S25:S28)</f>
        <v>-5678.0112000000008</v>
      </c>
      <c r="T29" s="407" t="e">
        <f>S29/(P6+P22)</f>
        <v>#DIV/0!</v>
      </c>
    </row>
    <row r="30" spans="2:21" ht="15.75" thickBot="1" x14ac:dyDescent="0.25">
      <c r="E30" s="361"/>
    </row>
    <row r="31" spans="2:21" ht="15" customHeight="1" x14ac:dyDescent="0.2">
      <c r="B31" s="742" t="s">
        <v>90</v>
      </c>
      <c r="C31" s="743"/>
      <c r="D31" s="743"/>
      <c r="E31" s="744"/>
      <c r="F31" s="748" t="s">
        <v>105</v>
      </c>
      <c r="G31" s="749"/>
      <c r="H31" s="749"/>
      <c r="I31" s="749"/>
      <c r="J31" s="750"/>
      <c r="M31" s="742" t="s">
        <v>149</v>
      </c>
      <c r="N31" s="743"/>
      <c r="O31" s="743"/>
      <c r="P31" s="744"/>
      <c r="Q31" s="748" t="s">
        <v>105</v>
      </c>
      <c r="R31" s="749"/>
      <c r="S31" s="749"/>
      <c r="T31" s="749"/>
      <c r="U31" s="750"/>
    </row>
    <row r="32" spans="2:21" ht="15" customHeight="1" x14ac:dyDescent="0.2">
      <c r="B32" s="745"/>
      <c r="C32" s="746"/>
      <c r="D32" s="746"/>
      <c r="E32" s="747"/>
      <c r="F32" s="732" t="s">
        <v>106</v>
      </c>
      <c r="G32" s="733"/>
      <c r="H32" s="733"/>
      <c r="I32" s="734"/>
      <c r="J32" s="376">
        <f>+E44*0.23</f>
        <v>2956.1121408600002</v>
      </c>
      <c r="M32" s="745"/>
      <c r="N32" s="746"/>
      <c r="O32" s="746"/>
      <c r="P32" s="747"/>
      <c r="Q32" s="732" t="s">
        <v>106</v>
      </c>
      <c r="R32" s="733"/>
      <c r="S32" s="733"/>
      <c r="T32" s="734"/>
      <c r="U32" s="376">
        <f>4158+(P44-18080)*0.28</f>
        <v>5062.3990026666688</v>
      </c>
    </row>
    <row r="33" spans="2:22" ht="15.75" customHeight="1" x14ac:dyDescent="0.2">
      <c r="B33" s="751"/>
      <c r="C33" s="752"/>
      <c r="D33" s="752"/>
      <c r="E33" s="378"/>
      <c r="F33" s="738" t="s">
        <v>107</v>
      </c>
      <c r="G33" s="739"/>
      <c r="H33" s="739"/>
      <c r="I33" s="740"/>
      <c r="J33" s="379">
        <v>1583</v>
      </c>
      <c r="M33" s="751"/>
      <c r="N33" s="752"/>
      <c r="O33" s="752"/>
      <c r="P33" s="378"/>
      <c r="Q33" s="738" t="s">
        <v>107</v>
      </c>
      <c r="R33" s="739"/>
      <c r="S33" s="739"/>
      <c r="T33" s="740"/>
      <c r="U33" s="381">
        <v>1583</v>
      </c>
    </row>
    <row r="34" spans="2:22" ht="15" customHeight="1" x14ac:dyDescent="0.2">
      <c r="B34" s="729" t="s">
        <v>108</v>
      </c>
      <c r="C34" s="730"/>
      <c r="D34" s="730"/>
      <c r="E34" s="731"/>
      <c r="F34" s="732" t="s">
        <v>109</v>
      </c>
      <c r="G34" s="733"/>
      <c r="H34" s="733"/>
      <c r="I34" s="734"/>
      <c r="J34" s="376">
        <f>J32-J33</f>
        <v>1373.1121408600002</v>
      </c>
      <c r="M34" s="729" t="s">
        <v>108</v>
      </c>
      <c r="N34" s="730"/>
      <c r="O34" s="730"/>
      <c r="P34" s="731"/>
      <c r="Q34" s="732" t="s">
        <v>109</v>
      </c>
      <c r="R34" s="733"/>
      <c r="S34" s="733"/>
      <c r="T34" s="734"/>
      <c r="U34" s="376">
        <f>U32-U33</f>
        <v>3479.3990026666688</v>
      </c>
    </row>
    <row r="35" spans="2:22" ht="15" customHeight="1" x14ac:dyDescent="0.2">
      <c r="B35" s="735" t="s">
        <v>110</v>
      </c>
      <c r="C35" s="736"/>
      <c r="D35" s="736"/>
      <c r="E35" s="737"/>
      <c r="F35" s="738" t="s">
        <v>111</v>
      </c>
      <c r="G35" s="739"/>
      <c r="H35" s="739"/>
      <c r="I35" s="740"/>
      <c r="J35" s="408">
        <f>0.2*2500+0.21*(E47-2500)</f>
        <v>679.40089999999998</v>
      </c>
      <c r="M35" s="735" t="s">
        <v>110</v>
      </c>
      <c r="N35" s="736"/>
      <c r="O35" s="736"/>
      <c r="P35" s="737"/>
      <c r="Q35" s="738" t="s">
        <v>111</v>
      </c>
      <c r="R35" s="739"/>
      <c r="S35" s="739"/>
      <c r="T35" s="740"/>
      <c r="U35" s="381">
        <f>0.19*P52</f>
        <v>672.62729666666667</v>
      </c>
    </row>
    <row r="36" spans="2:22" ht="15" customHeight="1" x14ac:dyDescent="0.2">
      <c r="B36" s="703" t="s">
        <v>112</v>
      </c>
      <c r="C36" s="704"/>
      <c r="D36" s="708"/>
      <c r="E36" s="376">
        <v>19983.599999999999</v>
      </c>
      <c r="F36" s="741"/>
      <c r="G36" s="704"/>
      <c r="H36" s="704"/>
      <c r="I36" s="708"/>
      <c r="J36" s="382"/>
      <c r="M36" s="703" t="s">
        <v>112</v>
      </c>
      <c r="N36" s="704"/>
      <c r="O36" s="708"/>
      <c r="P36" s="382">
        <f>+'25 26 Vadillo'!O11</f>
        <v>25999.996190476195</v>
      </c>
      <c r="Q36" s="741"/>
      <c r="R36" s="704"/>
      <c r="S36" s="704"/>
      <c r="T36" s="708"/>
      <c r="U36" s="382"/>
    </row>
    <row r="37" spans="2:22" ht="15" customHeight="1" x14ac:dyDescent="0.2">
      <c r="B37" s="728" t="s">
        <v>18</v>
      </c>
      <c r="C37" s="727"/>
      <c r="D37" s="715"/>
      <c r="E37" s="383">
        <v>1416.51</v>
      </c>
      <c r="F37" s="721" t="s">
        <v>113</v>
      </c>
      <c r="G37" s="722"/>
      <c r="H37" s="722"/>
      <c r="I37" s="722"/>
      <c r="J37" s="384">
        <f>J34+J35</f>
        <v>2052.5130408600003</v>
      </c>
      <c r="M37" s="728" t="s">
        <v>18</v>
      </c>
      <c r="N37" s="727"/>
      <c r="O37" s="715"/>
      <c r="P37" s="383">
        <f>+'25 26 Vadillo'!O12</f>
        <v>1689.9997523809518</v>
      </c>
      <c r="Q37" s="721" t="s">
        <v>113</v>
      </c>
      <c r="R37" s="722"/>
      <c r="S37" s="722"/>
      <c r="T37" s="722"/>
      <c r="U37" s="384">
        <f>U34+U35</f>
        <v>4152.0262993333354</v>
      </c>
    </row>
    <row r="38" spans="2:22" ht="15" customHeight="1" x14ac:dyDescent="0.2">
      <c r="B38" s="726" t="s">
        <v>114</v>
      </c>
      <c r="C38" s="727"/>
      <c r="D38" s="715"/>
      <c r="E38" s="383">
        <f>8000-(E36-E37-14800)*0.6098</f>
        <v>5702.8285180000003</v>
      </c>
      <c r="F38" s="724" t="s">
        <v>150</v>
      </c>
      <c r="G38" s="724"/>
      <c r="H38" s="724"/>
      <c r="I38" s="724"/>
      <c r="J38" s="725"/>
      <c r="M38" s="726" t="s">
        <v>114</v>
      </c>
      <c r="N38" s="727"/>
      <c r="O38" s="715"/>
      <c r="P38" s="383">
        <v>3000</v>
      </c>
      <c r="Q38" s="724" t="s">
        <v>150</v>
      </c>
      <c r="R38" s="724"/>
      <c r="S38" s="724"/>
      <c r="T38" s="724"/>
      <c r="U38" s="725"/>
    </row>
    <row r="39" spans="2:22" ht="15" customHeight="1" x14ac:dyDescent="0.2">
      <c r="B39" s="721" t="s">
        <v>115</v>
      </c>
      <c r="C39" s="722"/>
      <c r="D39" s="722"/>
      <c r="E39" s="385">
        <f>E36-E37-E38</f>
        <v>12864.261482</v>
      </c>
      <c r="F39" s="703" t="s">
        <v>116</v>
      </c>
      <c r="G39" s="704"/>
      <c r="H39" s="704"/>
      <c r="I39" s="708"/>
      <c r="J39" s="382"/>
      <c r="M39" s="721" t="s">
        <v>115</v>
      </c>
      <c r="N39" s="722"/>
      <c r="O39" s="722"/>
      <c r="P39" s="385">
        <f>P36-P37-P38</f>
        <v>21309.996438095244</v>
      </c>
      <c r="Q39" s="703" t="s">
        <v>116</v>
      </c>
      <c r="R39" s="704"/>
      <c r="S39" s="704"/>
      <c r="T39" s="708"/>
      <c r="U39" s="382"/>
    </row>
    <row r="40" spans="2:22" ht="15" customHeight="1" x14ac:dyDescent="0.2">
      <c r="B40" s="705" t="s">
        <v>152</v>
      </c>
      <c r="C40" s="706"/>
      <c r="D40" s="706"/>
      <c r="E40" s="707"/>
      <c r="F40" s="726" t="s">
        <v>117</v>
      </c>
      <c r="G40" s="727"/>
      <c r="H40" s="727"/>
      <c r="I40" s="715"/>
      <c r="J40" s="386">
        <v>0</v>
      </c>
      <c r="M40" s="705" t="s">
        <v>152</v>
      </c>
      <c r="N40" s="706"/>
      <c r="O40" s="706"/>
      <c r="P40" s="707"/>
      <c r="Q40" s="726" t="s">
        <v>117</v>
      </c>
      <c r="R40" s="727"/>
      <c r="S40" s="727"/>
      <c r="T40" s="715"/>
      <c r="U40" s="386">
        <v>0</v>
      </c>
    </row>
    <row r="41" spans="2:22" x14ac:dyDescent="0.2">
      <c r="B41" s="703"/>
      <c r="C41" s="704"/>
      <c r="D41" s="708"/>
      <c r="E41" s="387"/>
      <c r="F41" s="703"/>
      <c r="G41" s="704"/>
      <c r="H41" s="704"/>
      <c r="I41" s="708"/>
      <c r="J41" s="387"/>
      <c r="M41" s="703"/>
      <c r="N41" s="704"/>
      <c r="O41" s="708"/>
      <c r="P41" s="387"/>
      <c r="Q41" s="703"/>
      <c r="R41" s="704"/>
      <c r="S41" s="704"/>
      <c r="T41" s="708"/>
      <c r="U41" s="387"/>
    </row>
    <row r="42" spans="2:22" ht="15" customHeight="1" x14ac:dyDescent="0.2">
      <c r="B42" s="726" t="s">
        <v>118</v>
      </c>
      <c r="C42" s="727"/>
      <c r="D42" s="715"/>
      <c r="E42" s="383">
        <f>E39-11.6</f>
        <v>12852.661482</v>
      </c>
      <c r="F42" s="721" t="s">
        <v>119</v>
      </c>
      <c r="G42" s="722"/>
      <c r="H42" s="722"/>
      <c r="I42" s="722"/>
      <c r="J42" s="388">
        <v>0.57999999999999996</v>
      </c>
      <c r="M42" s="726" t="s">
        <v>118</v>
      </c>
      <c r="N42" s="727"/>
      <c r="O42" s="715"/>
      <c r="P42" s="383">
        <f>P39</f>
        <v>21309.996438095244</v>
      </c>
      <c r="Q42" s="721" t="s">
        <v>119</v>
      </c>
      <c r="R42" s="722"/>
      <c r="S42" s="722"/>
      <c r="T42" s="722"/>
      <c r="U42" s="388">
        <f>U39+U40</f>
        <v>0</v>
      </c>
    </row>
    <row r="43" spans="2:22" ht="15" customHeight="1" x14ac:dyDescent="0.2">
      <c r="B43" s="703"/>
      <c r="C43" s="704"/>
      <c r="D43" s="708"/>
      <c r="E43" s="387"/>
      <c r="F43" s="721" t="s">
        <v>120</v>
      </c>
      <c r="G43" s="722"/>
      <c r="H43" s="722"/>
      <c r="I43" s="722"/>
      <c r="J43" s="388">
        <f>IF(J37&gt;0,J37-J42,0)</f>
        <v>2051.9330408600003</v>
      </c>
      <c r="M43" s="703"/>
      <c r="N43" s="704"/>
      <c r="O43" s="708"/>
      <c r="P43" s="387"/>
      <c r="Q43" s="721" t="s">
        <v>120</v>
      </c>
      <c r="R43" s="722"/>
      <c r="S43" s="722"/>
      <c r="T43" s="722"/>
      <c r="U43" s="388">
        <f>IF(U37&gt;0,U37-U42,0)</f>
        <v>4152.0262993333354</v>
      </c>
    </row>
    <row r="44" spans="2:22" ht="15" customHeight="1" x14ac:dyDescent="0.2">
      <c r="B44" s="721" t="s">
        <v>121</v>
      </c>
      <c r="C44" s="722"/>
      <c r="D44" s="722"/>
      <c r="E44" s="389">
        <f>E42</f>
        <v>12852.661482</v>
      </c>
      <c r="F44" s="704" t="s">
        <v>122</v>
      </c>
      <c r="G44" s="704"/>
      <c r="H44" s="704"/>
      <c r="I44" s="708"/>
      <c r="J44" s="390"/>
      <c r="M44" s="721" t="s">
        <v>121</v>
      </c>
      <c r="N44" s="722"/>
      <c r="O44" s="722"/>
      <c r="P44" s="389">
        <f>P42</f>
        <v>21309.996438095244</v>
      </c>
      <c r="Q44" s="704" t="s">
        <v>122</v>
      </c>
      <c r="R44" s="704"/>
      <c r="S44" s="704"/>
      <c r="T44" s="708"/>
      <c r="U44" s="390"/>
    </row>
    <row r="45" spans="2:22" ht="15" customHeight="1" x14ac:dyDescent="0.2">
      <c r="B45" s="719"/>
      <c r="C45" s="720"/>
      <c r="D45" s="720"/>
      <c r="E45" s="391"/>
      <c r="F45" s="723" t="s">
        <v>151</v>
      </c>
      <c r="G45" s="724"/>
      <c r="H45" s="724"/>
      <c r="I45" s="724"/>
      <c r="J45" s="725"/>
      <c r="M45" s="719"/>
      <c r="N45" s="720"/>
      <c r="O45" s="720"/>
      <c r="P45" s="391"/>
      <c r="Q45" s="723" t="s">
        <v>151</v>
      </c>
      <c r="R45" s="724"/>
      <c r="S45" s="724"/>
      <c r="T45" s="724"/>
      <c r="U45" s="725"/>
    </row>
    <row r="46" spans="2:22" ht="15" customHeight="1" x14ac:dyDescent="0.2">
      <c r="B46" s="705" t="s">
        <v>153</v>
      </c>
      <c r="C46" s="706"/>
      <c r="D46" s="706"/>
      <c r="E46" s="707"/>
      <c r="F46" s="703" t="s">
        <v>123</v>
      </c>
      <c r="G46" s="704"/>
      <c r="H46" s="704"/>
      <c r="I46" s="708"/>
      <c r="J46" s="382">
        <v>2650.39</v>
      </c>
      <c r="K46" s="671">
        <v>0.13</v>
      </c>
      <c r="L46" s="393"/>
      <c r="M46" s="705" t="s">
        <v>153</v>
      </c>
      <c r="N46" s="706"/>
      <c r="O46" s="706"/>
      <c r="P46" s="707"/>
      <c r="Q46" s="703" t="s">
        <v>123</v>
      </c>
      <c r="R46" s="704"/>
      <c r="S46" s="704"/>
      <c r="T46" s="708"/>
      <c r="U46" s="382">
        <f>+'25 26 Vadillo'!O13</f>
        <v>3379.9995047619041</v>
      </c>
      <c r="V46" s="671">
        <v>0.13</v>
      </c>
    </row>
    <row r="47" spans="2:22" ht="15" customHeight="1" x14ac:dyDescent="0.2">
      <c r="B47" s="703" t="s">
        <v>124</v>
      </c>
      <c r="C47" s="704"/>
      <c r="D47" s="708"/>
      <c r="E47" s="387">
        <v>3354.29</v>
      </c>
      <c r="F47" s="714" t="s">
        <v>125</v>
      </c>
      <c r="G47" s="715"/>
      <c r="H47" s="715"/>
      <c r="I47" s="715"/>
      <c r="J47" s="394">
        <v>637.25</v>
      </c>
      <c r="L47" s="393"/>
      <c r="M47" s="703" t="s">
        <v>124</v>
      </c>
      <c r="N47" s="704"/>
      <c r="O47" s="708"/>
      <c r="P47" s="387">
        <f>+SUM('Intereses cuentas'!C43:C54)</f>
        <v>3540.1436666666668</v>
      </c>
      <c r="Q47" s="714" t="s">
        <v>125</v>
      </c>
      <c r="R47" s="715"/>
      <c r="S47" s="715"/>
      <c r="T47" s="715"/>
      <c r="U47" s="394">
        <f>+SUM('Intereses cuentas'!D43:D54)</f>
        <v>672.62729666666667</v>
      </c>
    </row>
    <row r="48" spans="2:22" ht="15" customHeight="1" x14ac:dyDescent="0.2">
      <c r="B48" s="716"/>
      <c r="C48" s="717"/>
      <c r="D48" s="718"/>
      <c r="E48" s="386"/>
      <c r="F48" s="719"/>
      <c r="G48" s="720"/>
      <c r="H48" s="720"/>
      <c r="I48" s="720"/>
      <c r="J48" s="391"/>
      <c r="L48" s="393"/>
      <c r="M48" s="716"/>
      <c r="N48" s="717"/>
      <c r="O48" s="718"/>
      <c r="P48" s="386"/>
      <c r="Q48" s="719"/>
      <c r="R48" s="720"/>
      <c r="S48" s="720"/>
      <c r="T48" s="720"/>
      <c r="U48" s="391"/>
    </row>
    <row r="49" spans="2:21" ht="15" customHeight="1" x14ac:dyDescent="0.2">
      <c r="B49" s="701"/>
      <c r="C49" s="702"/>
      <c r="D49" s="702"/>
      <c r="E49" s="391"/>
      <c r="F49" s="703" t="s">
        <v>126</v>
      </c>
      <c r="G49" s="704"/>
      <c r="H49" s="704"/>
      <c r="I49" s="704"/>
      <c r="J49" s="395">
        <f>J46+J47</f>
        <v>3287.64</v>
      </c>
      <c r="L49" s="393"/>
      <c r="M49" s="701"/>
      <c r="N49" s="702"/>
      <c r="O49" s="702"/>
      <c r="P49" s="391"/>
      <c r="Q49" s="703" t="s">
        <v>126</v>
      </c>
      <c r="R49" s="704"/>
      <c r="S49" s="704"/>
      <c r="T49" s="704"/>
      <c r="U49" s="395">
        <f>U46+U47</f>
        <v>4052.6268014285706</v>
      </c>
    </row>
    <row r="50" spans="2:21" ht="15" customHeight="1" x14ac:dyDescent="0.2">
      <c r="B50" s="705" t="s">
        <v>152</v>
      </c>
      <c r="C50" s="706"/>
      <c r="D50" s="706"/>
      <c r="E50" s="707"/>
      <c r="F50" s="703" t="s">
        <v>127</v>
      </c>
      <c r="G50" s="704"/>
      <c r="H50" s="704"/>
      <c r="I50" s="708"/>
      <c r="J50" s="387"/>
      <c r="L50" s="393"/>
      <c r="M50" s="705" t="s">
        <v>152</v>
      </c>
      <c r="N50" s="706"/>
      <c r="O50" s="706"/>
      <c r="P50" s="707"/>
      <c r="Q50" s="703" t="s">
        <v>127</v>
      </c>
      <c r="R50" s="704"/>
      <c r="S50" s="704"/>
      <c r="T50" s="708"/>
      <c r="U50" s="387"/>
    </row>
    <row r="51" spans="2:21" ht="15" customHeight="1" x14ac:dyDescent="0.2">
      <c r="B51" s="709" t="s">
        <v>128</v>
      </c>
      <c r="C51" s="710"/>
      <c r="D51" s="711"/>
      <c r="E51" s="382">
        <v>0</v>
      </c>
      <c r="F51" s="712" t="s">
        <v>129</v>
      </c>
      <c r="G51" s="713"/>
      <c r="H51" s="713"/>
      <c r="I51" s="713"/>
      <c r="J51" s="396">
        <f>J43-J49</f>
        <v>-1235.7069591399995</v>
      </c>
      <c r="L51" s="393"/>
      <c r="M51" s="709" t="s">
        <v>128</v>
      </c>
      <c r="N51" s="710"/>
      <c r="O51" s="711"/>
      <c r="P51" s="382">
        <v>0</v>
      </c>
      <c r="Q51" s="712" t="s">
        <v>129</v>
      </c>
      <c r="R51" s="713"/>
      <c r="S51" s="713"/>
      <c r="T51" s="713"/>
      <c r="U51" s="396">
        <f>U43-U49</f>
        <v>99.399497904764758</v>
      </c>
    </row>
    <row r="52" spans="2:21" ht="15.75" customHeight="1" thickBot="1" x14ac:dyDescent="0.25">
      <c r="B52" s="693" t="s">
        <v>130</v>
      </c>
      <c r="C52" s="694"/>
      <c r="D52" s="695"/>
      <c r="E52" s="397">
        <f>E47</f>
        <v>3354.29</v>
      </c>
      <c r="F52" s="696" t="str">
        <f>IF(J51&lt;0,"A DEVOLVER","A INGRESAR")</f>
        <v>A DEVOLVER</v>
      </c>
      <c r="G52" s="697"/>
      <c r="H52" s="697"/>
      <c r="I52" s="697"/>
      <c r="J52" s="398">
        <f>ABS(J51)</f>
        <v>1235.7069591399995</v>
      </c>
      <c r="L52" s="393"/>
      <c r="M52" s="693" t="s">
        <v>130</v>
      </c>
      <c r="N52" s="694"/>
      <c r="O52" s="695"/>
      <c r="P52" s="397">
        <f>+P47</f>
        <v>3540.1436666666668</v>
      </c>
      <c r="Q52" s="696" t="str">
        <f>IF(U51&lt;0,"A DEVOLVER","A INGRESAR")</f>
        <v>A INGRESAR</v>
      </c>
      <c r="R52" s="697"/>
      <c r="S52" s="697"/>
      <c r="T52" s="697"/>
      <c r="U52" s="398">
        <f>ABS(U51)</f>
        <v>99.399497904764758</v>
      </c>
    </row>
    <row r="53" spans="2:21" ht="15.75" thickBot="1" x14ac:dyDescent="0.25"/>
    <row r="54" spans="2:21" ht="15.95" customHeight="1" x14ac:dyDescent="0.2">
      <c r="G54" s="698" t="s">
        <v>19</v>
      </c>
      <c r="H54" s="699"/>
      <c r="I54" s="700"/>
      <c r="R54" s="698" t="s">
        <v>19</v>
      </c>
      <c r="S54" s="699"/>
      <c r="T54" s="700"/>
    </row>
    <row r="55" spans="2:21" ht="15.95" customHeight="1" x14ac:dyDescent="0.2">
      <c r="C55" s="360"/>
      <c r="G55" s="399">
        <v>17720</v>
      </c>
      <c r="H55" s="400">
        <v>4075.6</v>
      </c>
      <c r="I55" s="401"/>
      <c r="R55" s="399">
        <v>17720</v>
      </c>
      <c r="S55" s="400">
        <v>4075.6</v>
      </c>
      <c r="T55" s="401"/>
    </row>
    <row r="56" spans="2:21" ht="15.95" customHeight="1" x14ac:dyDescent="0.2">
      <c r="G56" s="402">
        <f>E44-G55</f>
        <v>-4867.3385180000005</v>
      </c>
      <c r="H56" s="403">
        <f>0.28*G56</f>
        <v>-1362.8547850400003</v>
      </c>
      <c r="I56" s="404"/>
      <c r="R56" s="402">
        <f>P44-R55</f>
        <v>3589.9964380952442</v>
      </c>
      <c r="S56" s="403">
        <f>0.28*R56</f>
        <v>1005.1990026666684</v>
      </c>
      <c r="T56" s="404"/>
    </row>
    <row r="57" spans="2:21" ht="15.95" customHeight="1" x14ac:dyDescent="0.2">
      <c r="G57" s="402">
        <v>2500</v>
      </c>
      <c r="H57" s="403">
        <f>0.2*G57</f>
        <v>500</v>
      </c>
      <c r="I57" s="404"/>
      <c r="O57" s="360"/>
      <c r="R57" s="402">
        <v>2500</v>
      </c>
      <c r="S57" s="403">
        <f>0.2*R57</f>
        <v>500</v>
      </c>
      <c r="T57" s="404"/>
    </row>
    <row r="58" spans="2:21" ht="15.95" customHeight="1" x14ac:dyDescent="0.2">
      <c r="G58" s="402">
        <f>+E52-G57</f>
        <v>854.29</v>
      </c>
      <c r="H58" s="403">
        <f>+G58*0.21</f>
        <v>179.40089999999998</v>
      </c>
      <c r="I58" s="404"/>
      <c r="R58" s="402">
        <f>+P52-R57</f>
        <v>1040.1436666666668</v>
      </c>
      <c r="S58" s="403">
        <f>+R58*0.21</f>
        <v>218.43017000000003</v>
      </c>
      <c r="T58" s="404"/>
    </row>
    <row r="59" spans="2:21" ht="15.95" customHeight="1" thickBot="1" x14ac:dyDescent="0.25">
      <c r="G59" s="405"/>
      <c r="H59" s="406">
        <f>SUM(H55:H58)</f>
        <v>3392.1461149599995</v>
      </c>
      <c r="I59" s="407">
        <f>H59/(E36+E52)</f>
        <v>0.14534930599810006</v>
      </c>
      <c r="K59" s="392"/>
      <c r="R59" s="405"/>
      <c r="S59" s="406">
        <f>SUM(S55:S58)</f>
        <v>5799.2291726666681</v>
      </c>
      <c r="T59" s="407">
        <f>S59/(P36+P52)</f>
        <v>0.19631691659931</v>
      </c>
    </row>
    <row r="60" spans="2:21" x14ac:dyDescent="0.2">
      <c r="E60" s="361"/>
    </row>
    <row r="61" spans="2:21" ht="15.75" thickBot="1" x14ac:dyDescent="0.25"/>
    <row r="62" spans="2:21" ht="15" customHeight="1" x14ac:dyDescent="0.2">
      <c r="B62" s="742" t="s">
        <v>86</v>
      </c>
      <c r="C62" s="743"/>
      <c r="D62" s="743"/>
      <c r="E62" s="744"/>
      <c r="F62" s="748" t="s">
        <v>105</v>
      </c>
      <c r="G62" s="749"/>
      <c r="H62" s="749"/>
      <c r="I62" s="749"/>
      <c r="J62" s="750"/>
    </row>
    <row r="63" spans="2:21" ht="15" customHeight="1" x14ac:dyDescent="0.2">
      <c r="B63" s="745"/>
      <c r="C63" s="746"/>
      <c r="D63" s="746"/>
      <c r="E63" s="747"/>
      <c r="F63" s="732" t="s">
        <v>106</v>
      </c>
      <c r="G63" s="733"/>
      <c r="H63" s="733"/>
      <c r="I63" s="734"/>
      <c r="J63" s="376">
        <f>4075.6+(E75-17720)*0.28</f>
        <v>4810.6279999999997</v>
      </c>
    </row>
    <row r="64" spans="2:21" ht="15.75" customHeight="1" x14ac:dyDescent="0.2">
      <c r="B64" s="751"/>
      <c r="C64" s="752"/>
      <c r="D64" s="752"/>
      <c r="E64" s="378"/>
      <c r="F64" s="738" t="s">
        <v>107</v>
      </c>
      <c r="G64" s="739"/>
      <c r="H64" s="739"/>
      <c r="I64" s="740"/>
      <c r="J64" s="379">
        <f>1583+200</f>
        <v>1783</v>
      </c>
    </row>
    <row r="65" spans="2:22" ht="15" customHeight="1" x14ac:dyDescent="0.2">
      <c r="B65" s="729" t="s">
        <v>108</v>
      </c>
      <c r="C65" s="730"/>
      <c r="D65" s="730"/>
      <c r="E65" s="731"/>
      <c r="F65" s="732" t="s">
        <v>109</v>
      </c>
      <c r="G65" s="733"/>
      <c r="H65" s="733"/>
      <c r="I65" s="734"/>
      <c r="J65" s="376">
        <f>J63-J64</f>
        <v>3027.6279999999997</v>
      </c>
    </row>
    <row r="66" spans="2:22" ht="15" customHeight="1" x14ac:dyDescent="0.2">
      <c r="B66" s="735" t="s">
        <v>110</v>
      </c>
      <c r="C66" s="736"/>
      <c r="D66" s="736"/>
      <c r="E66" s="737"/>
      <c r="F66" s="738" t="s">
        <v>111</v>
      </c>
      <c r="G66" s="739"/>
      <c r="H66" s="739"/>
      <c r="I66" s="740"/>
      <c r="J66" s="408">
        <f>0.2*2500+0.21*(E78-2500)</f>
        <v>647.17849999999999</v>
      </c>
    </row>
    <row r="67" spans="2:22" ht="15" customHeight="1" x14ac:dyDescent="0.2">
      <c r="B67" s="703" t="s">
        <v>112</v>
      </c>
      <c r="C67" s="704"/>
      <c r="D67" s="708"/>
      <c r="E67" s="376">
        <v>24959.94</v>
      </c>
      <c r="F67" s="741"/>
      <c r="G67" s="704"/>
      <c r="H67" s="704"/>
      <c r="I67" s="708"/>
      <c r="J67" s="382"/>
    </row>
    <row r="68" spans="2:22" ht="15" customHeight="1" x14ac:dyDescent="0.2">
      <c r="B68" s="728" t="s">
        <v>18</v>
      </c>
      <c r="C68" s="727"/>
      <c r="D68" s="715"/>
      <c r="E68" s="383">
        <v>1614.84</v>
      </c>
      <c r="F68" s="721" t="s">
        <v>113</v>
      </c>
      <c r="G68" s="722"/>
      <c r="H68" s="722"/>
      <c r="I68" s="722"/>
      <c r="J68" s="384">
        <f>J65+J66</f>
        <v>3674.8064999999997</v>
      </c>
    </row>
    <row r="69" spans="2:22" ht="15" customHeight="1" x14ac:dyDescent="0.2">
      <c r="B69" s="726" t="s">
        <v>114</v>
      </c>
      <c r="C69" s="727"/>
      <c r="D69" s="715"/>
      <c r="E69" s="383">
        <v>3000</v>
      </c>
      <c r="F69" s="724" t="s">
        <v>150</v>
      </c>
      <c r="G69" s="724"/>
      <c r="H69" s="724"/>
      <c r="I69" s="724"/>
      <c r="J69" s="725"/>
    </row>
    <row r="70" spans="2:22" ht="15" customHeight="1" x14ac:dyDescent="0.2">
      <c r="B70" s="721" t="s">
        <v>115</v>
      </c>
      <c r="C70" s="722"/>
      <c r="D70" s="722"/>
      <c r="E70" s="385">
        <f>E67-E68-E69</f>
        <v>20345.099999999999</v>
      </c>
      <c r="F70" s="703" t="s">
        <v>116</v>
      </c>
      <c r="G70" s="704"/>
      <c r="H70" s="704"/>
      <c r="I70" s="708"/>
      <c r="J70" s="382"/>
    </row>
    <row r="71" spans="2:22" ht="15" customHeight="1" x14ac:dyDescent="0.2">
      <c r="B71" s="705" t="s">
        <v>152</v>
      </c>
      <c r="C71" s="706"/>
      <c r="D71" s="706"/>
      <c r="E71" s="707"/>
      <c r="F71" s="726" t="s">
        <v>117</v>
      </c>
      <c r="G71" s="727"/>
      <c r="H71" s="727"/>
      <c r="I71" s="715"/>
      <c r="J71" s="386">
        <v>0</v>
      </c>
    </row>
    <row r="72" spans="2:22" x14ac:dyDescent="0.2">
      <c r="B72" s="703"/>
      <c r="C72" s="704"/>
      <c r="D72" s="708"/>
      <c r="E72" s="387"/>
      <c r="F72" s="703"/>
      <c r="G72" s="704"/>
      <c r="H72" s="704"/>
      <c r="I72" s="708"/>
      <c r="J72" s="387"/>
    </row>
    <row r="73" spans="2:22" ht="15" customHeight="1" x14ac:dyDescent="0.2">
      <c r="B73" s="726" t="s">
        <v>118</v>
      </c>
      <c r="C73" s="727"/>
      <c r="D73" s="715"/>
      <c r="E73" s="383">
        <f>E70</f>
        <v>20345.099999999999</v>
      </c>
      <c r="F73" s="721" t="s">
        <v>119</v>
      </c>
      <c r="G73" s="722"/>
      <c r="H73" s="722"/>
      <c r="I73" s="722"/>
      <c r="J73" s="388">
        <f>J70+J71</f>
        <v>0</v>
      </c>
    </row>
    <row r="74" spans="2:22" ht="15" customHeight="1" x14ac:dyDescent="0.2">
      <c r="B74" s="703"/>
      <c r="C74" s="704"/>
      <c r="D74" s="708"/>
      <c r="E74" s="387"/>
      <c r="F74" s="721" t="s">
        <v>120</v>
      </c>
      <c r="G74" s="722"/>
      <c r="H74" s="722"/>
      <c r="I74" s="722"/>
      <c r="J74" s="388">
        <f>IF(J68&gt;0,J68-J73,0)</f>
        <v>3674.8064999999997</v>
      </c>
    </row>
    <row r="75" spans="2:22" ht="15" customHeight="1" x14ac:dyDescent="0.2">
      <c r="B75" s="721" t="s">
        <v>121</v>
      </c>
      <c r="C75" s="722"/>
      <c r="D75" s="722"/>
      <c r="E75" s="389">
        <f>E73</f>
        <v>20345.099999999999</v>
      </c>
      <c r="F75" s="704" t="s">
        <v>122</v>
      </c>
      <c r="G75" s="704"/>
      <c r="H75" s="704"/>
      <c r="I75" s="708"/>
      <c r="J75" s="390"/>
    </row>
    <row r="76" spans="2:22" ht="15" customHeight="1" x14ac:dyDescent="0.2">
      <c r="B76" s="719"/>
      <c r="C76" s="720"/>
      <c r="D76" s="720"/>
      <c r="E76" s="391"/>
      <c r="F76" s="723" t="s">
        <v>151</v>
      </c>
      <c r="G76" s="724"/>
      <c r="H76" s="724"/>
      <c r="I76" s="724"/>
      <c r="J76" s="725"/>
    </row>
    <row r="77" spans="2:22" ht="15" customHeight="1" x14ac:dyDescent="0.2">
      <c r="B77" s="705" t="s">
        <v>153</v>
      </c>
      <c r="C77" s="706"/>
      <c r="D77" s="706"/>
      <c r="E77" s="707"/>
      <c r="F77" s="703" t="s">
        <v>123</v>
      </c>
      <c r="G77" s="704"/>
      <c r="H77" s="704"/>
      <c r="I77" s="708"/>
      <c r="J77" s="382">
        <v>3427.89</v>
      </c>
      <c r="K77" s="671">
        <v>0.14000000000000001</v>
      </c>
      <c r="L77" s="393"/>
      <c r="V77" s="392"/>
    </row>
    <row r="78" spans="2:22" ht="15" customHeight="1" x14ac:dyDescent="0.2">
      <c r="B78" s="703" t="s">
        <v>124</v>
      </c>
      <c r="C78" s="704"/>
      <c r="D78" s="708"/>
      <c r="E78" s="387">
        <v>3200.85</v>
      </c>
      <c r="F78" s="714" t="s">
        <v>125</v>
      </c>
      <c r="G78" s="715"/>
      <c r="H78" s="715"/>
      <c r="I78" s="715"/>
      <c r="J78" s="394">
        <f>'Intereses cuentas'!AA11</f>
        <v>595.13214444444441</v>
      </c>
      <c r="L78" s="393"/>
    </row>
    <row r="79" spans="2:22" ht="15" customHeight="1" x14ac:dyDescent="0.2">
      <c r="B79" s="716"/>
      <c r="C79" s="717"/>
      <c r="D79" s="718"/>
      <c r="E79" s="386"/>
      <c r="F79" s="719"/>
      <c r="G79" s="720"/>
      <c r="H79" s="720"/>
      <c r="I79" s="720"/>
      <c r="J79" s="391"/>
      <c r="L79" s="393"/>
    </row>
    <row r="80" spans="2:22" ht="15" customHeight="1" x14ac:dyDescent="0.2">
      <c r="B80" s="701"/>
      <c r="C80" s="702"/>
      <c r="D80" s="702"/>
      <c r="E80" s="391"/>
      <c r="F80" s="703" t="s">
        <v>126</v>
      </c>
      <c r="G80" s="704"/>
      <c r="H80" s="704"/>
      <c r="I80" s="704"/>
      <c r="J80" s="395">
        <v>4062.88</v>
      </c>
      <c r="L80" s="393"/>
    </row>
    <row r="81" spans="2:21" ht="15" customHeight="1" x14ac:dyDescent="0.2">
      <c r="B81" s="705" t="s">
        <v>152</v>
      </c>
      <c r="C81" s="706"/>
      <c r="D81" s="706"/>
      <c r="E81" s="707"/>
      <c r="F81" s="703" t="s">
        <v>127</v>
      </c>
      <c r="G81" s="704"/>
      <c r="H81" s="704"/>
      <c r="I81" s="708"/>
      <c r="J81" s="387"/>
      <c r="L81" s="393"/>
    </row>
    <row r="82" spans="2:21" ht="15" customHeight="1" x14ac:dyDescent="0.2">
      <c r="B82" s="709" t="s">
        <v>128</v>
      </c>
      <c r="C82" s="710"/>
      <c r="D82" s="711"/>
      <c r="E82" s="382">
        <v>0</v>
      </c>
      <c r="F82" s="712" t="s">
        <v>129</v>
      </c>
      <c r="G82" s="713"/>
      <c r="H82" s="713"/>
      <c r="I82" s="713"/>
      <c r="J82" s="396">
        <f>J74-J80</f>
        <v>-388.07350000000042</v>
      </c>
      <c r="L82" s="393"/>
    </row>
    <row r="83" spans="2:21" ht="15.75" customHeight="1" thickBot="1" x14ac:dyDescent="0.25">
      <c r="B83" s="693" t="s">
        <v>130</v>
      </c>
      <c r="C83" s="694"/>
      <c r="D83" s="695"/>
      <c r="E83" s="397">
        <f>E78</f>
        <v>3200.85</v>
      </c>
      <c r="F83" s="696" t="str">
        <f>IF(J82&lt;0,"A DEVOLVER","A INGRESAR")</f>
        <v>A DEVOLVER</v>
      </c>
      <c r="G83" s="697"/>
      <c r="H83" s="697"/>
      <c r="I83" s="697"/>
      <c r="J83" s="398">
        <f>ABS(J82)</f>
        <v>388.07350000000042</v>
      </c>
      <c r="L83" s="393"/>
    </row>
    <row r="84" spans="2:21" ht="15.75" thickBot="1" x14ac:dyDescent="0.25"/>
    <row r="85" spans="2:21" ht="15.95" customHeight="1" x14ac:dyDescent="0.2">
      <c r="G85" s="698" t="s">
        <v>19</v>
      </c>
      <c r="H85" s="699"/>
      <c r="I85" s="700"/>
    </row>
    <row r="86" spans="2:21" ht="15.95" customHeight="1" x14ac:dyDescent="0.2">
      <c r="G86" s="399">
        <v>17720</v>
      </c>
      <c r="H86" s="400">
        <v>4075.6</v>
      </c>
      <c r="I86" s="401"/>
    </row>
    <row r="87" spans="2:21" ht="15.95" customHeight="1" x14ac:dyDescent="0.2">
      <c r="G87" s="402">
        <f>E75-G86</f>
        <v>2625.0999999999985</v>
      </c>
      <c r="H87" s="403">
        <f>0.28*G87</f>
        <v>735.02799999999968</v>
      </c>
      <c r="I87" s="404"/>
    </row>
    <row r="88" spans="2:21" ht="15.95" customHeight="1" thickBot="1" x14ac:dyDescent="0.25">
      <c r="G88" s="405"/>
      <c r="H88" s="406">
        <f>SUM(H86:H87)</f>
        <v>4810.6279999999997</v>
      </c>
      <c r="I88" s="407">
        <f>H88/E67</f>
        <v>0.19273395689252457</v>
      </c>
    </row>
    <row r="90" spans="2:21" x14ac:dyDescent="0.2">
      <c r="K90" s="392"/>
    </row>
    <row r="91" spans="2:21" x14ac:dyDescent="0.2">
      <c r="E91" s="361"/>
    </row>
    <row r="93" spans="2:21" ht="15.75" thickBot="1" x14ac:dyDescent="0.25"/>
    <row r="94" spans="2:21" ht="15" customHeight="1" x14ac:dyDescent="0.2">
      <c r="B94" s="742" t="s">
        <v>17</v>
      </c>
      <c r="C94" s="743"/>
      <c r="D94" s="743"/>
      <c r="E94" s="744"/>
      <c r="F94" s="748" t="s">
        <v>105</v>
      </c>
      <c r="G94" s="749"/>
      <c r="H94" s="749"/>
      <c r="I94" s="749"/>
      <c r="J94" s="750"/>
      <c r="M94" s="742" t="s">
        <v>16</v>
      </c>
      <c r="N94" s="743"/>
      <c r="O94" s="743"/>
      <c r="P94" s="744"/>
      <c r="Q94" s="748" t="s">
        <v>105</v>
      </c>
      <c r="R94" s="749"/>
      <c r="S94" s="749"/>
      <c r="T94" s="749"/>
      <c r="U94" s="750"/>
    </row>
    <row r="95" spans="2:21" ht="15" customHeight="1" x14ac:dyDescent="0.2">
      <c r="B95" s="745"/>
      <c r="C95" s="746"/>
      <c r="D95" s="746"/>
      <c r="E95" s="747"/>
      <c r="F95" s="732" t="s">
        <v>106</v>
      </c>
      <c r="G95" s="733"/>
      <c r="H95" s="733"/>
      <c r="I95" s="734"/>
      <c r="J95" s="376">
        <f>3974.4+(E107-17280)*0.28</f>
        <v>4670.0096000000021</v>
      </c>
      <c r="M95" s="745"/>
      <c r="N95" s="746"/>
      <c r="O95" s="746"/>
      <c r="P95" s="747"/>
      <c r="Q95" s="732" t="s">
        <v>106</v>
      </c>
      <c r="R95" s="733"/>
      <c r="S95" s="733"/>
      <c r="T95" s="734"/>
      <c r="U95" s="377">
        <f>P107*0.23</f>
        <v>3538.1328950000011</v>
      </c>
    </row>
    <row r="96" spans="2:21" ht="15.75" customHeight="1" x14ac:dyDescent="0.2">
      <c r="B96" s="751"/>
      <c r="C96" s="752"/>
      <c r="D96" s="752"/>
      <c r="E96" s="378"/>
      <c r="F96" s="738" t="s">
        <v>107</v>
      </c>
      <c r="G96" s="739"/>
      <c r="H96" s="739"/>
      <c r="I96" s="740"/>
      <c r="J96" s="379">
        <f>1544+200</f>
        <v>1744</v>
      </c>
      <c r="M96" s="751"/>
      <c r="N96" s="752"/>
      <c r="O96" s="752"/>
      <c r="P96" s="378"/>
      <c r="Q96" s="738" t="s">
        <v>107</v>
      </c>
      <c r="R96" s="739"/>
      <c r="S96" s="739"/>
      <c r="T96" s="740"/>
      <c r="U96" s="380">
        <f>1513+200</f>
        <v>1713</v>
      </c>
    </row>
    <row r="97" spans="2:22" ht="15" customHeight="1" x14ac:dyDescent="0.2">
      <c r="B97" s="729" t="s">
        <v>108</v>
      </c>
      <c r="C97" s="730"/>
      <c r="D97" s="730"/>
      <c r="E97" s="731"/>
      <c r="F97" s="732" t="s">
        <v>109</v>
      </c>
      <c r="G97" s="733"/>
      <c r="H97" s="733"/>
      <c r="I97" s="734"/>
      <c r="J97" s="376">
        <f>J95-J96</f>
        <v>2926.0096000000021</v>
      </c>
      <c r="M97" s="729" t="s">
        <v>108</v>
      </c>
      <c r="N97" s="730"/>
      <c r="O97" s="730"/>
      <c r="P97" s="731"/>
      <c r="Q97" s="732" t="s">
        <v>109</v>
      </c>
      <c r="R97" s="733"/>
      <c r="S97" s="733"/>
      <c r="T97" s="734"/>
      <c r="U97" s="377">
        <f>U95-U96</f>
        <v>1825.1328950000011</v>
      </c>
    </row>
    <row r="98" spans="2:22" ht="15" customHeight="1" x14ac:dyDescent="0.2">
      <c r="B98" s="735" t="s">
        <v>110</v>
      </c>
      <c r="C98" s="736"/>
      <c r="D98" s="736"/>
      <c r="E98" s="737"/>
      <c r="F98" s="738" t="s">
        <v>111</v>
      </c>
      <c r="G98" s="739"/>
      <c r="H98" s="739"/>
      <c r="I98" s="740"/>
      <c r="J98" s="381">
        <f>0.2*E115</f>
        <v>113.88</v>
      </c>
      <c r="M98" s="735" t="s">
        <v>110</v>
      </c>
      <c r="N98" s="736"/>
      <c r="O98" s="736"/>
      <c r="P98" s="737"/>
      <c r="Q98" s="738" t="s">
        <v>111</v>
      </c>
      <c r="R98" s="739"/>
      <c r="S98" s="739"/>
      <c r="T98" s="740"/>
      <c r="U98" s="381">
        <f>0.2*P115</f>
        <v>0</v>
      </c>
    </row>
    <row r="99" spans="2:22" ht="15" customHeight="1" x14ac:dyDescent="0.2">
      <c r="B99" s="703" t="s">
        <v>112</v>
      </c>
      <c r="C99" s="704"/>
      <c r="D99" s="708"/>
      <c r="E99" s="382">
        <f>'22 25 FarmaConsulting'!D76</f>
        <v>24333.520000000008</v>
      </c>
      <c r="F99" s="741"/>
      <c r="G99" s="704"/>
      <c r="H99" s="704"/>
      <c r="I99" s="708"/>
      <c r="J99" s="382"/>
      <c r="M99" s="703" t="s">
        <v>112</v>
      </c>
      <c r="N99" s="704"/>
      <c r="O99" s="708"/>
      <c r="P99" s="382">
        <f>1028.35+'22 25 FarmaConsulting'!O90</f>
        <v>19628.396500000003</v>
      </c>
      <c r="Q99" s="741"/>
      <c r="R99" s="704"/>
      <c r="S99" s="704"/>
      <c r="T99" s="708"/>
      <c r="U99" s="382"/>
    </row>
    <row r="100" spans="2:22" ht="15" customHeight="1" x14ac:dyDescent="0.2">
      <c r="B100" s="728" t="s">
        <v>18</v>
      </c>
      <c r="C100" s="727"/>
      <c r="D100" s="715"/>
      <c r="E100" s="383">
        <f>1569.2</f>
        <v>1569.2</v>
      </c>
      <c r="F100" s="721" t="s">
        <v>113</v>
      </c>
      <c r="G100" s="722"/>
      <c r="H100" s="722"/>
      <c r="I100" s="722"/>
      <c r="J100" s="384">
        <f>J97+J98</f>
        <v>3039.8896000000022</v>
      </c>
      <c r="M100" s="728" t="s">
        <v>18</v>
      </c>
      <c r="N100" s="727"/>
      <c r="O100" s="715"/>
      <c r="P100" s="383">
        <v>1245.21</v>
      </c>
      <c r="Q100" s="721" t="s">
        <v>113</v>
      </c>
      <c r="R100" s="722"/>
      <c r="S100" s="722"/>
      <c r="T100" s="722"/>
      <c r="U100" s="384">
        <f>U97</f>
        <v>1825.1328950000011</v>
      </c>
    </row>
    <row r="101" spans="2:22" ht="15" customHeight="1" x14ac:dyDescent="0.2">
      <c r="B101" s="726" t="s">
        <v>114</v>
      </c>
      <c r="C101" s="727"/>
      <c r="D101" s="715"/>
      <c r="E101" s="383">
        <v>3000</v>
      </c>
      <c r="F101" s="724" t="s">
        <v>150</v>
      </c>
      <c r="G101" s="724"/>
      <c r="H101" s="724"/>
      <c r="I101" s="724"/>
      <c r="J101" s="725"/>
      <c r="M101" s="726" t="s">
        <v>114</v>
      </c>
      <c r="N101" s="727"/>
      <c r="O101" s="715"/>
      <c r="P101" s="383">
        <v>3000</v>
      </c>
      <c r="Q101" s="724" t="s">
        <v>150</v>
      </c>
      <c r="R101" s="724"/>
      <c r="S101" s="724"/>
      <c r="T101" s="724"/>
      <c r="U101" s="725"/>
    </row>
    <row r="102" spans="2:22" ht="15" customHeight="1" x14ac:dyDescent="0.2">
      <c r="B102" s="721" t="s">
        <v>115</v>
      </c>
      <c r="C102" s="722"/>
      <c r="D102" s="722"/>
      <c r="E102" s="385">
        <f>E99-E100-E101</f>
        <v>19764.320000000007</v>
      </c>
      <c r="F102" s="703" t="s">
        <v>116</v>
      </c>
      <c r="G102" s="704"/>
      <c r="H102" s="704"/>
      <c r="I102" s="708"/>
      <c r="J102" s="382"/>
      <c r="M102" s="721" t="s">
        <v>115</v>
      </c>
      <c r="N102" s="722"/>
      <c r="O102" s="722"/>
      <c r="P102" s="385">
        <f>P99-P100-P101</f>
        <v>15383.186500000003</v>
      </c>
      <c r="Q102" s="703" t="s">
        <v>116</v>
      </c>
      <c r="R102" s="704"/>
      <c r="S102" s="704"/>
      <c r="T102" s="708"/>
      <c r="U102" s="382"/>
    </row>
    <row r="103" spans="2:22" ht="15" customHeight="1" x14ac:dyDescent="0.2">
      <c r="B103" s="705" t="s">
        <v>152</v>
      </c>
      <c r="C103" s="706"/>
      <c r="D103" s="706"/>
      <c r="E103" s="707"/>
      <c r="F103" s="726" t="s">
        <v>117</v>
      </c>
      <c r="G103" s="727"/>
      <c r="H103" s="727"/>
      <c r="I103" s="715"/>
      <c r="J103" s="386">
        <v>0</v>
      </c>
      <c r="M103" s="705" t="s">
        <v>152</v>
      </c>
      <c r="N103" s="706"/>
      <c r="O103" s="706"/>
      <c r="P103" s="707"/>
      <c r="Q103" s="726" t="s">
        <v>117</v>
      </c>
      <c r="R103" s="727"/>
      <c r="S103" s="727"/>
      <c r="T103" s="715"/>
      <c r="U103" s="386">
        <v>0</v>
      </c>
    </row>
    <row r="104" spans="2:22" x14ac:dyDescent="0.2">
      <c r="B104" s="703"/>
      <c r="C104" s="704"/>
      <c r="D104" s="708"/>
      <c r="E104" s="387"/>
      <c r="F104" s="703"/>
      <c r="G104" s="704"/>
      <c r="H104" s="704"/>
      <c r="I104" s="708"/>
      <c r="J104" s="387"/>
      <c r="M104" s="703"/>
      <c r="N104" s="704"/>
      <c r="O104" s="708"/>
      <c r="P104" s="387"/>
      <c r="Q104" s="703"/>
      <c r="R104" s="704"/>
      <c r="S104" s="704"/>
      <c r="T104" s="708"/>
      <c r="U104" s="387"/>
    </row>
    <row r="105" spans="2:22" ht="15" customHeight="1" x14ac:dyDescent="0.2">
      <c r="B105" s="726" t="s">
        <v>118</v>
      </c>
      <c r="C105" s="727"/>
      <c r="D105" s="715"/>
      <c r="E105" s="383">
        <f>E102</f>
        <v>19764.320000000007</v>
      </c>
      <c r="F105" s="721" t="s">
        <v>119</v>
      </c>
      <c r="G105" s="722"/>
      <c r="H105" s="722"/>
      <c r="I105" s="722"/>
      <c r="J105" s="388">
        <f>J102+J103</f>
        <v>0</v>
      </c>
      <c r="M105" s="726" t="s">
        <v>118</v>
      </c>
      <c r="N105" s="727"/>
      <c r="O105" s="715"/>
      <c r="P105" s="383">
        <f>P102</f>
        <v>15383.186500000003</v>
      </c>
      <c r="Q105" s="721" t="s">
        <v>119</v>
      </c>
      <c r="R105" s="722"/>
      <c r="S105" s="722"/>
      <c r="T105" s="722"/>
      <c r="U105" s="388">
        <f>U102+U103</f>
        <v>0</v>
      </c>
    </row>
    <row r="106" spans="2:22" ht="15" customHeight="1" x14ac:dyDescent="0.2">
      <c r="B106" s="703"/>
      <c r="C106" s="704"/>
      <c r="D106" s="708"/>
      <c r="E106" s="387"/>
      <c r="F106" s="721" t="s">
        <v>120</v>
      </c>
      <c r="G106" s="722"/>
      <c r="H106" s="722"/>
      <c r="I106" s="722"/>
      <c r="J106" s="388">
        <f>IF(J100&gt;0,J100-J105,0)</f>
        <v>3039.8896000000022</v>
      </c>
      <c r="M106" s="703"/>
      <c r="N106" s="704"/>
      <c r="O106" s="708"/>
      <c r="P106" s="387"/>
      <c r="Q106" s="721" t="s">
        <v>120</v>
      </c>
      <c r="R106" s="722"/>
      <c r="S106" s="722"/>
      <c r="T106" s="722"/>
      <c r="U106" s="388">
        <f>IF(U100&gt;0,U100-U105,0)</f>
        <v>1825.1328950000011</v>
      </c>
    </row>
    <row r="107" spans="2:22" ht="15" customHeight="1" x14ac:dyDescent="0.2">
      <c r="B107" s="721" t="s">
        <v>121</v>
      </c>
      <c r="C107" s="722"/>
      <c r="D107" s="722"/>
      <c r="E107" s="389">
        <f>E105</f>
        <v>19764.320000000007</v>
      </c>
      <c r="F107" s="704" t="s">
        <v>122</v>
      </c>
      <c r="G107" s="704"/>
      <c r="H107" s="704"/>
      <c r="I107" s="708"/>
      <c r="J107" s="390"/>
      <c r="M107" s="721" t="s">
        <v>121</v>
      </c>
      <c r="N107" s="722"/>
      <c r="O107" s="722"/>
      <c r="P107" s="389">
        <f>P105</f>
        <v>15383.186500000003</v>
      </c>
      <c r="Q107" s="704" t="s">
        <v>122</v>
      </c>
      <c r="R107" s="704"/>
      <c r="S107" s="704"/>
      <c r="T107" s="708"/>
      <c r="U107" s="390"/>
    </row>
    <row r="108" spans="2:22" ht="15" customHeight="1" x14ac:dyDescent="0.2">
      <c r="B108" s="719"/>
      <c r="C108" s="720"/>
      <c r="D108" s="720"/>
      <c r="E108" s="391"/>
      <c r="F108" s="723" t="s">
        <v>151</v>
      </c>
      <c r="G108" s="724"/>
      <c r="H108" s="724"/>
      <c r="I108" s="724"/>
      <c r="J108" s="725"/>
      <c r="M108" s="719"/>
      <c r="N108" s="720"/>
      <c r="O108" s="720"/>
      <c r="P108" s="391"/>
      <c r="Q108" s="723" t="s">
        <v>151</v>
      </c>
      <c r="R108" s="724"/>
      <c r="S108" s="724"/>
      <c r="T108" s="724"/>
      <c r="U108" s="725"/>
    </row>
    <row r="109" spans="2:22" ht="15" customHeight="1" x14ac:dyDescent="0.2">
      <c r="B109" s="705" t="s">
        <v>153</v>
      </c>
      <c r="C109" s="706"/>
      <c r="D109" s="706"/>
      <c r="E109" s="707"/>
      <c r="F109" s="703" t="s">
        <v>123</v>
      </c>
      <c r="G109" s="704"/>
      <c r="H109" s="704"/>
      <c r="I109" s="708"/>
      <c r="J109" s="382">
        <f>'22 25 FarmaConsulting'!O66</f>
        <v>3365.7377999999994</v>
      </c>
      <c r="K109" s="671">
        <v>0.14000000000000001</v>
      </c>
      <c r="L109" s="393"/>
      <c r="M109" s="705" t="s">
        <v>153</v>
      </c>
      <c r="N109" s="706"/>
      <c r="O109" s="706"/>
      <c r="P109" s="707"/>
      <c r="Q109" s="703" t="s">
        <v>123</v>
      </c>
      <c r="R109" s="704"/>
      <c r="S109" s="704"/>
      <c r="T109" s="708"/>
      <c r="U109" s="382">
        <f>51.42+'22 25 FarmaConsulting'!O92</f>
        <v>2469.4460450000001</v>
      </c>
      <c r="V109" s="671">
        <v>0.13</v>
      </c>
    </row>
    <row r="110" spans="2:22" ht="15" customHeight="1" x14ac:dyDescent="0.2">
      <c r="B110" s="703" t="s">
        <v>124</v>
      </c>
      <c r="C110" s="704"/>
      <c r="D110" s="708"/>
      <c r="E110" s="387">
        <v>569.4</v>
      </c>
      <c r="F110" s="714" t="s">
        <v>125</v>
      </c>
      <c r="G110" s="715"/>
      <c r="H110" s="715"/>
      <c r="I110" s="715"/>
      <c r="J110" s="394">
        <f>'Intereses cuentas'!AA5</f>
        <v>107.62641417216304</v>
      </c>
      <c r="L110" s="393"/>
      <c r="M110" s="703" t="s">
        <v>124</v>
      </c>
      <c r="N110" s="704"/>
      <c r="O110" s="708"/>
      <c r="P110" s="387">
        <v>0</v>
      </c>
      <c r="Q110" s="714" t="s">
        <v>125</v>
      </c>
      <c r="R110" s="715"/>
      <c r="S110" s="715"/>
      <c r="T110" s="715"/>
      <c r="U110" s="394">
        <v>0</v>
      </c>
    </row>
    <row r="111" spans="2:22" ht="15" customHeight="1" x14ac:dyDescent="0.2">
      <c r="B111" s="716"/>
      <c r="C111" s="717"/>
      <c r="D111" s="718"/>
      <c r="E111" s="386"/>
      <c r="F111" s="719"/>
      <c r="G111" s="720"/>
      <c r="H111" s="720"/>
      <c r="I111" s="720"/>
      <c r="J111" s="391"/>
      <c r="L111" s="393"/>
      <c r="M111" s="716"/>
      <c r="N111" s="717"/>
      <c r="O111" s="718"/>
      <c r="P111" s="386"/>
      <c r="Q111" s="719"/>
      <c r="R111" s="720"/>
      <c r="S111" s="720"/>
      <c r="T111" s="720"/>
      <c r="U111" s="391"/>
    </row>
    <row r="112" spans="2:22" ht="15" customHeight="1" x14ac:dyDescent="0.2">
      <c r="B112" s="701"/>
      <c r="C112" s="702"/>
      <c r="D112" s="702"/>
      <c r="E112" s="391"/>
      <c r="F112" s="703" t="s">
        <v>126</v>
      </c>
      <c r="G112" s="704"/>
      <c r="H112" s="704"/>
      <c r="I112" s="704"/>
      <c r="J112" s="395">
        <f>J109+J110</f>
        <v>3473.3642141721625</v>
      </c>
      <c r="L112" s="393"/>
      <c r="M112" s="701"/>
      <c r="N112" s="702"/>
      <c r="O112" s="702"/>
      <c r="P112" s="391"/>
      <c r="Q112" s="703" t="s">
        <v>126</v>
      </c>
      <c r="R112" s="704"/>
      <c r="S112" s="704"/>
      <c r="T112" s="704"/>
      <c r="U112" s="395">
        <f>U109+U110</f>
        <v>2469.4460450000001</v>
      </c>
    </row>
    <row r="113" spans="2:21" ht="15" customHeight="1" x14ac:dyDescent="0.2">
      <c r="B113" s="705" t="s">
        <v>152</v>
      </c>
      <c r="C113" s="706"/>
      <c r="D113" s="706"/>
      <c r="E113" s="707"/>
      <c r="F113" s="703" t="s">
        <v>127</v>
      </c>
      <c r="G113" s="704"/>
      <c r="H113" s="704"/>
      <c r="I113" s="708"/>
      <c r="J113" s="387"/>
      <c r="L113" s="393"/>
      <c r="M113" s="705" t="s">
        <v>152</v>
      </c>
      <c r="N113" s="706"/>
      <c r="O113" s="706"/>
      <c r="P113" s="707"/>
      <c r="Q113" s="703" t="s">
        <v>127</v>
      </c>
      <c r="R113" s="704"/>
      <c r="S113" s="704"/>
      <c r="T113" s="708"/>
      <c r="U113" s="387"/>
    </row>
    <row r="114" spans="2:21" ht="15" customHeight="1" x14ac:dyDescent="0.2">
      <c r="B114" s="709" t="s">
        <v>128</v>
      </c>
      <c r="C114" s="710"/>
      <c r="D114" s="711"/>
      <c r="E114" s="382">
        <v>0</v>
      </c>
      <c r="F114" s="712" t="s">
        <v>129</v>
      </c>
      <c r="G114" s="713"/>
      <c r="H114" s="713"/>
      <c r="I114" s="713"/>
      <c r="J114" s="396">
        <f>J106-J112</f>
        <v>-433.47461417216027</v>
      </c>
      <c r="L114" s="393"/>
      <c r="M114" s="709" t="s">
        <v>128</v>
      </c>
      <c r="N114" s="710"/>
      <c r="O114" s="711"/>
      <c r="P114" s="382">
        <v>0</v>
      </c>
      <c r="Q114" s="712" t="s">
        <v>129</v>
      </c>
      <c r="R114" s="713"/>
      <c r="S114" s="713"/>
      <c r="T114" s="713"/>
      <c r="U114" s="396">
        <f>U106-U112</f>
        <v>-644.31314999999904</v>
      </c>
    </row>
    <row r="115" spans="2:21" ht="15.75" customHeight="1" thickBot="1" x14ac:dyDescent="0.25">
      <c r="B115" s="693" t="s">
        <v>130</v>
      </c>
      <c r="C115" s="694"/>
      <c r="D115" s="695"/>
      <c r="E115" s="397">
        <f>E110</f>
        <v>569.4</v>
      </c>
      <c r="F115" s="696" t="str">
        <f>IF(J114&lt;0,"A DEVOLVER","A INGRESAR")</f>
        <v>A DEVOLVER</v>
      </c>
      <c r="G115" s="697"/>
      <c r="H115" s="697"/>
      <c r="I115" s="697"/>
      <c r="J115" s="398">
        <f>ABS(J114)</f>
        <v>433.47461417216027</v>
      </c>
      <c r="L115" s="393"/>
      <c r="M115" s="693" t="s">
        <v>130</v>
      </c>
      <c r="N115" s="694"/>
      <c r="O115" s="695"/>
      <c r="P115" s="397">
        <v>0</v>
      </c>
      <c r="Q115" s="696" t="str">
        <f>IF(U114&lt;0,"A DEVOLVER","A INGRESAR")</f>
        <v>A DEVOLVER</v>
      </c>
      <c r="R115" s="697"/>
      <c r="S115" s="697"/>
      <c r="T115" s="697"/>
      <c r="U115" s="398">
        <f>ABS(U114)</f>
        <v>644.31314999999904</v>
      </c>
    </row>
    <row r="116" spans="2:21" ht="15.75" thickBot="1" x14ac:dyDescent="0.25"/>
    <row r="117" spans="2:21" x14ac:dyDescent="0.2">
      <c r="G117" s="698" t="s">
        <v>19</v>
      </c>
      <c r="H117" s="699"/>
      <c r="I117" s="700"/>
      <c r="R117" s="698" t="s">
        <v>19</v>
      </c>
      <c r="S117" s="699"/>
      <c r="T117" s="700"/>
    </row>
    <row r="118" spans="2:21" x14ac:dyDescent="0.2">
      <c r="G118" s="399">
        <v>17280</v>
      </c>
      <c r="H118" s="400">
        <v>3974.4</v>
      </c>
      <c r="I118" s="401"/>
      <c r="R118" s="399">
        <v>16940</v>
      </c>
      <c r="S118" s="400">
        <v>3686.9</v>
      </c>
      <c r="T118" s="401"/>
    </row>
    <row r="119" spans="2:21" x14ac:dyDescent="0.2">
      <c r="G119" s="402">
        <f>E107-G118</f>
        <v>2484.320000000007</v>
      </c>
      <c r="H119" s="403">
        <f>0.28*G119</f>
        <v>695.60960000000205</v>
      </c>
      <c r="I119" s="404"/>
      <c r="R119" s="402">
        <f>IF(P107-R118&gt;0,P107-R118,0)</f>
        <v>0</v>
      </c>
      <c r="S119" s="403">
        <f>0.28*R119</f>
        <v>0</v>
      </c>
      <c r="T119" s="404"/>
    </row>
    <row r="120" spans="2:21" ht="15.75" thickBot="1" x14ac:dyDescent="0.25">
      <c r="G120" s="405"/>
      <c r="H120" s="406">
        <f>SUM(H118:H119)</f>
        <v>4670.0096000000021</v>
      </c>
      <c r="I120" s="407">
        <f>H120/E99</f>
        <v>0.19191673050179345</v>
      </c>
      <c r="O120" s="360"/>
      <c r="R120" s="405"/>
      <c r="S120" s="406">
        <f>SUM(S118:S119)</f>
        <v>3686.9</v>
      </c>
      <c r="T120" s="407">
        <f>S120/P99</f>
        <v>0.18783500730688824</v>
      </c>
    </row>
    <row r="122" spans="2:21" x14ac:dyDescent="0.2">
      <c r="K122" s="392"/>
    </row>
    <row r="123" spans="2:21" x14ac:dyDescent="0.2">
      <c r="E123" s="361"/>
    </row>
  </sheetData>
  <mergeCells count="308">
    <mergeCell ref="B109:E109"/>
    <mergeCell ref="F109:I109"/>
    <mergeCell ref="B110:D110"/>
    <mergeCell ref="F110:I110"/>
    <mergeCell ref="B111:D111"/>
    <mergeCell ref="F111:I111"/>
    <mergeCell ref="R117:T117"/>
    <mergeCell ref="G117:I117"/>
    <mergeCell ref="B115:D115"/>
    <mergeCell ref="F115:I115"/>
    <mergeCell ref="B112:D112"/>
    <mergeCell ref="F112:I112"/>
    <mergeCell ref="B113:E113"/>
    <mergeCell ref="F113:I113"/>
    <mergeCell ref="B114:D114"/>
    <mergeCell ref="F114:I114"/>
    <mergeCell ref="M113:P113"/>
    <mergeCell ref="Q113:T113"/>
    <mergeCell ref="M114:O114"/>
    <mergeCell ref="Q114:T114"/>
    <mergeCell ref="M115:O115"/>
    <mergeCell ref="Q115:T115"/>
    <mergeCell ref="M110:O110"/>
    <mergeCell ref="Q110:T110"/>
    <mergeCell ref="B104:D104"/>
    <mergeCell ref="F104:I104"/>
    <mergeCell ref="B105:D105"/>
    <mergeCell ref="F105:I105"/>
    <mergeCell ref="B106:D106"/>
    <mergeCell ref="F106:I106"/>
    <mergeCell ref="B107:D107"/>
    <mergeCell ref="F107:I107"/>
    <mergeCell ref="B108:D108"/>
    <mergeCell ref="F108:J108"/>
    <mergeCell ref="B99:D99"/>
    <mergeCell ref="F99:I99"/>
    <mergeCell ref="B100:D100"/>
    <mergeCell ref="F100:I100"/>
    <mergeCell ref="B101:D101"/>
    <mergeCell ref="F101:J101"/>
    <mergeCell ref="B102:D102"/>
    <mergeCell ref="F102:I102"/>
    <mergeCell ref="B103:E103"/>
    <mergeCell ref="F103:I103"/>
    <mergeCell ref="B94:E95"/>
    <mergeCell ref="F94:J94"/>
    <mergeCell ref="F95:I95"/>
    <mergeCell ref="B96:D96"/>
    <mergeCell ref="F96:I96"/>
    <mergeCell ref="B97:E97"/>
    <mergeCell ref="F97:I97"/>
    <mergeCell ref="B98:E98"/>
    <mergeCell ref="F98:I98"/>
    <mergeCell ref="M98:P98"/>
    <mergeCell ref="Q98:T98"/>
    <mergeCell ref="M99:O99"/>
    <mergeCell ref="Q99:T99"/>
    <mergeCell ref="M100:O100"/>
    <mergeCell ref="Q100:T100"/>
    <mergeCell ref="M97:P97"/>
    <mergeCell ref="Q97:T97"/>
    <mergeCell ref="M94:P95"/>
    <mergeCell ref="Q94:U94"/>
    <mergeCell ref="Q95:T95"/>
    <mergeCell ref="M96:O96"/>
    <mergeCell ref="Q96:T96"/>
    <mergeCell ref="M104:O104"/>
    <mergeCell ref="Q104:T104"/>
    <mergeCell ref="M105:O105"/>
    <mergeCell ref="Q105:T105"/>
    <mergeCell ref="M106:O106"/>
    <mergeCell ref="Q106:T106"/>
    <mergeCell ref="M101:O101"/>
    <mergeCell ref="Q101:U101"/>
    <mergeCell ref="M102:O102"/>
    <mergeCell ref="Q102:T102"/>
    <mergeCell ref="M103:P103"/>
    <mergeCell ref="Q103:T103"/>
    <mergeCell ref="M111:O111"/>
    <mergeCell ref="Q111:T111"/>
    <mergeCell ref="M112:O112"/>
    <mergeCell ref="Q112:T112"/>
    <mergeCell ref="M107:O107"/>
    <mergeCell ref="Q107:T107"/>
    <mergeCell ref="M108:O108"/>
    <mergeCell ref="Q108:U108"/>
    <mergeCell ref="M109:P109"/>
    <mergeCell ref="Q109:T109"/>
    <mergeCell ref="B66:E66"/>
    <mergeCell ref="F66:I66"/>
    <mergeCell ref="B67:D67"/>
    <mergeCell ref="F67:I67"/>
    <mergeCell ref="B64:D64"/>
    <mergeCell ref="F64:I64"/>
    <mergeCell ref="B65:E65"/>
    <mergeCell ref="F65:I65"/>
    <mergeCell ref="B62:E63"/>
    <mergeCell ref="F62:J62"/>
    <mergeCell ref="F63:I63"/>
    <mergeCell ref="B72:D72"/>
    <mergeCell ref="F72:I72"/>
    <mergeCell ref="B73:D73"/>
    <mergeCell ref="F73:I73"/>
    <mergeCell ref="B70:D70"/>
    <mergeCell ref="F70:I70"/>
    <mergeCell ref="B71:E71"/>
    <mergeCell ref="F71:I71"/>
    <mergeCell ref="B68:D68"/>
    <mergeCell ref="F68:I68"/>
    <mergeCell ref="B69:D69"/>
    <mergeCell ref="F69:J69"/>
    <mergeCell ref="B78:D78"/>
    <mergeCell ref="F78:I78"/>
    <mergeCell ref="B79:D79"/>
    <mergeCell ref="F79:I79"/>
    <mergeCell ref="B76:D76"/>
    <mergeCell ref="F76:J76"/>
    <mergeCell ref="B77:E77"/>
    <mergeCell ref="F77:I77"/>
    <mergeCell ref="B74:D74"/>
    <mergeCell ref="F74:I74"/>
    <mergeCell ref="B75:D75"/>
    <mergeCell ref="F75:I75"/>
    <mergeCell ref="G85:I85"/>
    <mergeCell ref="B82:D82"/>
    <mergeCell ref="F82:I82"/>
    <mergeCell ref="B83:D83"/>
    <mergeCell ref="F83:I83"/>
    <mergeCell ref="B80:D80"/>
    <mergeCell ref="F80:I80"/>
    <mergeCell ref="B81:E81"/>
    <mergeCell ref="F81:I81"/>
    <mergeCell ref="B31:E32"/>
    <mergeCell ref="F31:J31"/>
    <mergeCell ref="M31:P32"/>
    <mergeCell ref="Q31:U31"/>
    <mergeCell ref="F32:I32"/>
    <mergeCell ref="Q32:T32"/>
    <mergeCell ref="B33:D33"/>
    <mergeCell ref="F33:I33"/>
    <mergeCell ref="M33:O33"/>
    <mergeCell ref="Q33:T33"/>
    <mergeCell ref="B34:E34"/>
    <mergeCell ref="F34:I34"/>
    <mergeCell ref="M34:P34"/>
    <mergeCell ref="Q34:T34"/>
    <mergeCell ref="B35:E35"/>
    <mergeCell ref="F35:I35"/>
    <mergeCell ref="M35:P35"/>
    <mergeCell ref="Q35:T35"/>
    <mergeCell ref="B36:D36"/>
    <mergeCell ref="F36:I36"/>
    <mergeCell ref="M36:O36"/>
    <mergeCell ref="Q36:T36"/>
    <mergeCell ref="B37:D37"/>
    <mergeCell ref="F37:I37"/>
    <mergeCell ref="M37:O37"/>
    <mergeCell ref="Q37:T37"/>
    <mergeCell ref="B38:D38"/>
    <mergeCell ref="F38:J38"/>
    <mergeCell ref="M38:O38"/>
    <mergeCell ref="Q38:U38"/>
    <mergeCell ref="B39:D39"/>
    <mergeCell ref="F39:I39"/>
    <mergeCell ref="M39:O39"/>
    <mergeCell ref="Q39:T39"/>
    <mergeCell ref="B40:E40"/>
    <mergeCell ref="F40:I40"/>
    <mergeCell ref="M40:P40"/>
    <mergeCell ref="Q40:T40"/>
    <mergeCell ref="B41:D41"/>
    <mergeCell ref="F41:I41"/>
    <mergeCell ref="M41:O41"/>
    <mergeCell ref="Q41:T41"/>
    <mergeCell ref="B42:D42"/>
    <mergeCell ref="F42:I42"/>
    <mergeCell ref="M42:O42"/>
    <mergeCell ref="Q42:T42"/>
    <mergeCell ref="B43:D43"/>
    <mergeCell ref="F43:I43"/>
    <mergeCell ref="M43:O43"/>
    <mergeCell ref="Q43:T43"/>
    <mergeCell ref="B44:D44"/>
    <mergeCell ref="F44:I44"/>
    <mergeCell ref="M44:O44"/>
    <mergeCell ref="Q44:T44"/>
    <mergeCell ref="B45:D45"/>
    <mergeCell ref="F45:J45"/>
    <mergeCell ref="M45:O45"/>
    <mergeCell ref="Q45:U45"/>
    <mergeCell ref="B46:E46"/>
    <mergeCell ref="F46:I46"/>
    <mergeCell ref="M46:P46"/>
    <mergeCell ref="Q46:T46"/>
    <mergeCell ref="B47:D47"/>
    <mergeCell ref="F47:I47"/>
    <mergeCell ref="M47:O47"/>
    <mergeCell ref="Q47:T47"/>
    <mergeCell ref="B48:D48"/>
    <mergeCell ref="F48:I48"/>
    <mergeCell ref="M48:O48"/>
    <mergeCell ref="Q48:T48"/>
    <mergeCell ref="B52:D52"/>
    <mergeCell ref="F52:I52"/>
    <mergeCell ref="M52:O52"/>
    <mergeCell ref="Q52:T52"/>
    <mergeCell ref="G54:I54"/>
    <mergeCell ref="R54:T54"/>
    <mergeCell ref="B49:D49"/>
    <mergeCell ref="F49:I49"/>
    <mergeCell ref="M49:O49"/>
    <mergeCell ref="Q49:T49"/>
    <mergeCell ref="B50:E50"/>
    <mergeCell ref="F50:I50"/>
    <mergeCell ref="M50:P50"/>
    <mergeCell ref="Q50:T50"/>
    <mergeCell ref="B51:D51"/>
    <mergeCell ref="F51:I51"/>
    <mergeCell ref="M51:O51"/>
    <mergeCell ref="Q51:T51"/>
    <mergeCell ref="B1:E2"/>
    <mergeCell ref="F1:J1"/>
    <mergeCell ref="M1:P2"/>
    <mergeCell ref="Q1:U1"/>
    <mergeCell ref="F2:I2"/>
    <mergeCell ref="Q2:T2"/>
    <mergeCell ref="B3:D3"/>
    <mergeCell ref="F3:I3"/>
    <mergeCell ref="M3:O3"/>
    <mergeCell ref="Q3:T3"/>
    <mergeCell ref="B4:E4"/>
    <mergeCell ref="F4:I4"/>
    <mergeCell ref="M4:P4"/>
    <mergeCell ref="Q4:T4"/>
    <mergeCell ref="B5:E5"/>
    <mergeCell ref="F5:I5"/>
    <mergeCell ref="M5:P5"/>
    <mergeCell ref="Q5:T5"/>
    <mergeCell ref="B6:D6"/>
    <mergeCell ref="F6:I6"/>
    <mergeCell ref="M6:O6"/>
    <mergeCell ref="Q6:T6"/>
    <mergeCell ref="B7:D7"/>
    <mergeCell ref="F7:I7"/>
    <mergeCell ref="M7:O7"/>
    <mergeCell ref="Q7:T7"/>
    <mergeCell ref="B8:D8"/>
    <mergeCell ref="F8:J8"/>
    <mergeCell ref="M8:O8"/>
    <mergeCell ref="Q8:U8"/>
    <mergeCell ref="B9:D9"/>
    <mergeCell ref="F9:I9"/>
    <mergeCell ref="M9:O9"/>
    <mergeCell ref="Q9:T9"/>
    <mergeCell ref="B10:E10"/>
    <mergeCell ref="F10:I10"/>
    <mergeCell ref="M10:P10"/>
    <mergeCell ref="Q10:T10"/>
    <mergeCell ref="B11:D11"/>
    <mergeCell ref="F11:I11"/>
    <mergeCell ref="M11:O11"/>
    <mergeCell ref="Q11:T11"/>
    <mergeCell ref="B12:D12"/>
    <mergeCell ref="F12:I12"/>
    <mergeCell ref="M12:O12"/>
    <mergeCell ref="Q12:T12"/>
    <mergeCell ref="B13:D13"/>
    <mergeCell ref="F13:I13"/>
    <mergeCell ref="M13:O13"/>
    <mergeCell ref="Q13:T13"/>
    <mergeCell ref="B14:D14"/>
    <mergeCell ref="F14:I14"/>
    <mergeCell ref="M14:O14"/>
    <mergeCell ref="Q14:T14"/>
    <mergeCell ref="B15:D15"/>
    <mergeCell ref="F15:J15"/>
    <mergeCell ref="M15:O15"/>
    <mergeCell ref="Q15:U15"/>
    <mergeCell ref="B16:E16"/>
    <mergeCell ref="F16:I16"/>
    <mergeCell ref="M16:P16"/>
    <mergeCell ref="Q16:T16"/>
    <mergeCell ref="B17:D17"/>
    <mergeCell ref="F17:I17"/>
    <mergeCell ref="M17:O17"/>
    <mergeCell ref="Q17:T17"/>
    <mergeCell ref="B18:D18"/>
    <mergeCell ref="F18:I18"/>
    <mergeCell ref="M18:O18"/>
    <mergeCell ref="Q18:T18"/>
    <mergeCell ref="B22:D22"/>
    <mergeCell ref="F22:I22"/>
    <mergeCell ref="M22:O22"/>
    <mergeCell ref="Q22:T22"/>
    <mergeCell ref="G24:I24"/>
    <mergeCell ref="R24:T24"/>
    <mergeCell ref="B19:D19"/>
    <mergeCell ref="F19:I19"/>
    <mergeCell ref="M19:O19"/>
    <mergeCell ref="Q19:T19"/>
    <mergeCell ref="B20:E20"/>
    <mergeCell ref="F20:I20"/>
    <mergeCell ref="M20:P20"/>
    <mergeCell ref="Q20:T20"/>
    <mergeCell ref="B21:D21"/>
    <mergeCell ref="F21:I21"/>
    <mergeCell ref="M21:O21"/>
    <mergeCell ref="Q21:T21"/>
  </mergeCells>
  <conditionalFormatting sqref="F22 Q22 F52 Q52 F83 F115 K115:Q115">
    <cfRule type="containsText" dxfId="68" priority="23" operator="containsText" text="A DEVOLVER">
      <formula>NOT(ISERROR(SEARCH("A DEVOLVER",F22)))</formula>
    </cfRule>
  </conditionalFormatting>
  <conditionalFormatting sqref="F22 Q22 F52 Q52 F83 F115 Q115">
    <cfRule type="containsText" dxfId="67" priority="24" operator="containsText" text="A INGRESAR">
      <formula>NOT(ISERROR(SEARCH("A INGRESAR",F22)))</formula>
    </cfRule>
  </conditionalFormatting>
  <conditionalFormatting sqref="J22">
    <cfRule type="expression" dxfId="66" priority="1">
      <formula>F22="A INGRESAR"</formula>
    </cfRule>
    <cfRule type="expression" dxfId="65" priority="2">
      <formula>F22="A DEVOLVER"</formula>
    </cfRule>
  </conditionalFormatting>
  <conditionalFormatting sqref="J52">
    <cfRule type="expression" dxfId="64" priority="7">
      <formula>F52="A INGRESAR"</formula>
    </cfRule>
    <cfRule type="expression" dxfId="63" priority="8">
      <formula>F52="A DEVOLVER"</formula>
    </cfRule>
  </conditionalFormatting>
  <conditionalFormatting sqref="J83">
    <cfRule type="expression" dxfId="62" priority="9">
      <formula>F83="A INGRESAR"</formula>
    </cfRule>
    <cfRule type="expression" dxfId="61" priority="10">
      <formula>F83="A DEVOLVER"</formula>
    </cfRule>
  </conditionalFormatting>
  <conditionalFormatting sqref="J115">
    <cfRule type="expression" dxfId="60" priority="15">
      <formula>F115="A INGRESAR"</formula>
    </cfRule>
    <cfRule type="expression" dxfId="59" priority="16">
      <formula>F115="A DEVOLVER"</formula>
    </cfRule>
  </conditionalFormatting>
  <conditionalFormatting sqref="U22">
    <cfRule type="expression" dxfId="58" priority="3">
      <formula>Q22="A INGRESAR"</formula>
    </cfRule>
    <cfRule type="expression" dxfId="57" priority="4">
      <formula>Q22="A DEVOLVER"</formula>
    </cfRule>
  </conditionalFormatting>
  <conditionalFormatting sqref="U52">
    <cfRule type="expression" dxfId="56" priority="5">
      <formula>Q52="A INGRESAR"</formula>
    </cfRule>
    <cfRule type="expression" dxfId="55" priority="6">
      <formula>Q52="A DEVOLVER"</formula>
    </cfRule>
  </conditionalFormatting>
  <conditionalFormatting sqref="U115">
    <cfRule type="expression" dxfId="54" priority="11">
      <formula>Q115="A INGRESAR"</formula>
    </cfRule>
    <cfRule type="expression" dxfId="53" priority="12">
      <formula>Q115="A DEVOLVER"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71B9-5397-4210-8072-9B3A492C3C92}">
  <sheetPr>
    <tabColor rgb="FFDAD500"/>
  </sheetPr>
  <dimension ref="A1:XEU493"/>
  <sheetViews>
    <sheetView topLeftCell="B1" zoomScaleNormal="100" workbookViewId="0">
      <selection activeCell="Z22" sqref="Z22:AD22"/>
    </sheetView>
  </sheetViews>
  <sheetFormatPr defaultColWidth="0" defaultRowHeight="15" x14ac:dyDescent="0.2"/>
  <cols>
    <col min="1" max="1" width="2.41796875" style="304" customWidth="1"/>
    <col min="2" max="2" width="5.91796875" style="304" bestFit="1" customWidth="1"/>
    <col min="3" max="3" width="13.1796875" style="304" bestFit="1" customWidth="1"/>
    <col min="4" max="4" width="9.68359375" style="304" bestFit="1" customWidth="1"/>
    <col min="5" max="6" width="7.3984375" style="304" bestFit="1" customWidth="1"/>
    <col min="7" max="7" width="6.45703125" style="304" bestFit="1" customWidth="1"/>
    <col min="8" max="8" width="8.7421875" style="304" bestFit="1" customWidth="1"/>
    <col min="9" max="9" width="10.22265625" style="304" bestFit="1" customWidth="1"/>
    <col min="10" max="10" width="9.14453125" style="304" bestFit="1" customWidth="1"/>
    <col min="11" max="11" width="8.33984375" style="304" bestFit="1" customWidth="1"/>
    <col min="12" max="12" width="7.6640625" style="304" bestFit="1" customWidth="1"/>
    <col min="13" max="13" width="9.81640625" style="304" bestFit="1" customWidth="1"/>
    <col min="14" max="14" width="3.09375" style="304" customWidth="1"/>
    <col min="15" max="15" width="18.6953125" style="304" bestFit="1" customWidth="1"/>
    <col min="16" max="16" width="9.68359375" style="304" bestFit="1" customWidth="1"/>
    <col min="17" max="17" width="2.41796875" style="304" customWidth="1"/>
    <col min="18" max="18" width="4.9765625" style="303" bestFit="1" customWidth="1"/>
    <col min="19" max="23" width="2.5546875" style="303" bestFit="1" customWidth="1"/>
    <col min="24" max="24" width="2.015625" style="303" bestFit="1" customWidth="1"/>
    <col min="25" max="25" width="2.15234375" style="303" bestFit="1" customWidth="1"/>
    <col min="26" max="27" width="2.5546875" style="303" bestFit="1" customWidth="1"/>
    <col min="28" max="39" width="2.95703125" style="303" bestFit="1" customWidth="1"/>
    <col min="40" max="54" width="2.95703125" style="304" bestFit="1" customWidth="1"/>
    <col min="55" max="55" width="2.41796875" style="304" bestFit="1" customWidth="1"/>
    <col min="56" max="56" width="5.37890625" style="304" bestFit="1" customWidth="1"/>
    <col min="57" max="300" width="0" style="304" hidden="1" customWidth="1"/>
    <col min="301" max="15127" width="11.43359375" style="304" hidden="1"/>
    <col min="15128" max="16375" width="0" style="304" hidden="1"/>
    <col min="16376" max="16384" width="11.8359375" style="304" hidden="1"/>
  </cols>
  <sheetData>
    <row r="1" spans="1:57" x14ac:dyDescent="0.2">
      <c r="A1" s="302"/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</row>
    <row r="2" spans="1:57" ht="28.5" customHeight="1" x14ac:dyDescent="0.2">
      <c r="A2" s="302"/>
      <c r="B2" s="207"/>
      <c r="C2" s="754" t="s">
        <v>132</v>
      </c>
      <c r="D2" s="754"/>
      <c r="E2" s="754"/>
      <c r="F2" s="754"/>
      <c r="G2" s="754"/>
      <c r="H2" s="754"/>
      <c r="I2" s="754"/>
      <c r="J2" s="754"/>
      <c r="K2" s="754"/>
      <c r="L2" s="754"/>
      <c r="M2" s="754"/>
      <c r="N2" s="754"/>
      <c r="O2" s="754"/>
      <c r="P2" s="754"/>
      <c r="Q2" s="754"/>
      <c r="R2" s="754"/>
      <c r="S2" s="754"/>
      <c r="T2" s="754"/>
      <c r="U2" s="754"/>
      <c r="V2" s="754"/>
      <c r="W2" s="754"/>
      <c r="X2" s="754"/>
      <c r="Y2" s="754"/>
      <c r="Z2" s="754"/>
      <c r="AA2" s="754"/>
      <c r="AB2" s="754"/>
      <c r="AC2" s="754"/>
      <c r="AD2" s="754"/>
      <c r="AE2" s="754"/>
      <c r="AF2" s="754"/>
      <c r="AG2" s="754"/>
      <c r="AH2" s="754"/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754"/>
      <c r="AT2" s="754"/>
      <c r="AU2" s="754"/>
      <c r="AV2" s="754"/>
      <c r="AW2" s="754"/>
      <c r="AX2" s="754"/>
      <c r="AY2" s="754"/>
      <c r="AZ2" s="754"/>
      <c r="BA2" s="754"/>
      <c r="BB2" s="754"/>
      <c r="BC2" s="754"/>
      <c r="BD2" s="303"/>
      <c r="BE2" s="303"/>
    </row>
    <row r="3" spans="1:57" ht="18.75" customHeight="1" x14ac:dyDescent="0.2">
      <c r="A3" s="302"/>
      <c r="B3" s="207"/>
      <c r="C3" s="754"/>
      <c r="D3" s="754"/>
      <c r="E3" s="754"/>
      <c r="F3" s="754"/>
      <c r="G3" s="754"/>
      <c r="H3" s="754"/>
      <c r="I3" s="754"/>
      <c r="J3" s="754"/>
      <c r="K3" s="754"/>
      <c r="L3" s="754"/>
      <c r="M3" s="754"/>
      <c r="N3" s="754"/>
      <c r="O3" s="754"/>
      <c r="P3" s="754"/>
      <c r="Q3" s="754"/>
      <c r="R3" s="754"/>
      <c r="S3" s="754"/>
      <c r="T3" s="754"/>
      <c r="U3" s="754"/>
      <c r="V3" s="754"/>
      <c r="W3" s="754"/>
      <c r="X3" s="754"/>
      <c r="Y3" s="754"/>
      <c r="Z3" s="754"/>
      <c r="AA3" s="754"/>
      <c r="AB3" s="754"/>
      <c r="AC3" s="754"/>
      <c r="AD3" s="754"/>
      <c r="AE3" s="754"/>
      <c r="AF3" s="754"/>
      <c r="AG3" s="75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754"/>
      <c r="AT3" s="754"/>
      <c r="AU3" s="754"/>
      <c r="AV3" s="754"/>
      <c r="AW3" s="754"/>
      <c r="AX3" s="754"/>
      <c r="AY3" s="754"/>
      <c r="AZ3" s="754"/>
      <c r="BA3" s="754"/>
      <c r="BB3" s="754"/>
      <c r="BC3" s="754"/>
      <c r="BD3" s="303"/>
      <c r="BE3" s="303"/>
    </row>
    <row r="4" spans="1:57" x14ac:dyDescent="0.2">
      <c r="A4" s="302"/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5"/>
      <c r="O4" s="305"/>
      <c r="P4" s="305"/>
      <c r="Q4" s="303"/>
      <c r="AN4" s="303"/>
      <c r="AO4" s="303"/>
      <c r="AP4" s="303"/>
      <c r="AQ4" s="303"/>
      <c r="AR4" s="303"/>
      <c r="AS4" s="303"/>
      <c r="AT4" s="303"/>
      <c r="AU4" s="303"/>
      <c r="AV4" s="303"/>
      <c r="AW4" s="303"/>
      <c r="AX4" s="303"/>
      <c r="AY4" s="303"/>
      <c r="AZ4" s="303"/>
      <c r="BA4" s="303"/>
      <c r="BB4" s="303"/>
      <c r="BC4" s="303"/>
      <c r="BD4" s="303"/>
      <c r="BE4" s="303"/>
    </row>
    <row r="5" spans="1:57" x14ac:dyDescent="0.2">
      <c r="A5" s="302"/>
      <c r="B5" s="302"/>
      <c r="C5" s="449" t="s">
        <v>3</v>
      </c>
      <c r="D5" s="557">
        <f>+J25</f>
        <v>2327.33</v>
      </c>
      <c r="E5" s="557"/>
      <c r="F5" s="302"/>
      <c r="G5" s="302"/>
      <c r="H5" s="302"/>
      <c r="I5" s="302"/>
      <c r="J5" s="302"/>
      <c r="K5" s="302"/>
      <c r="L5" s="302"/>
      <c r="M5" s="302"/>
      <c r="N5" s="305"/>
      <c r="O5" s="558"/>
      <c r="P5" s="558"/>
      <c r="Q5" s="303"/>
      <c r="AN5" s="303"/>
      <c r="AO5" s="303"/>
      <c r="AP5" s="303"/>
      <c r="AQ5" s="303"/>
      <c r="AR5" s="303"/>
      <c r="AS5" s="303"/>
      <c r="AT5" s="303"/>
      <c r="AU5" s="303"/>
      <c r="AV5" s="303"/>
      <c r="AW5" s="303"/>
      <c r="AX5" s="303"/>
      <c r="AY5" s="303"/>
      <c r="AZ5" s="303"/>
      <c r="BA5" s="303"/>
      <c r="BB5" s="303"/>
      <c r="BC5" s="303"/>
      <c r="BD5" s="303"/>
      <c r="BE5" s="303"/>
    </row>
    <row r="6" spans="1:57" x14ac:dyDescent="0.2">
      <c r="A6" s="302"/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7"/>
      <c r="O6" s="558"/>
      <c r="P6" s="558"/>
      <c r="Q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  <c r="BE6" s="303"/>
    </row>
    <row r="7" spans="1:57" x14ac:dyDescent="0.2">
      <c r="A7" s="302"/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7"/>
      <c r="O7" s="558"/>
      <c r="P7" s="558"/>
      <c r="Q7" s="303"/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303"/>
      <c r="AZ7" s="303"/>
      <c r="BA7" s="303"/>
      <c r="BB7" s="303"/>
      <c r="BC7" s="303"/>
      <c r="BD7" s="303"/>
      <c r="BE7" s="303"/>
    </row>
    <row r="8" spans="1:57" ht="15.75" thickBot="1" x14ac:dyDescent="0.25">
      <c r="A8" s="302"/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7"/>
      <c r="O8" s="558"/>
      <c r="P8" s="558"/>
      <c r="Q8" s="303"/>
      <c r="AN8" s="303"/>
      <c r="AO8" s="303"/>
      <c r="AP8" s="303"/>
      <c r="AQ8" s="303"/>
      <c r="AR8" s="303"/>
      <c r="AS8" s="303"/>
      <c r="AT8" s="303"/>
      <c r="AU8" s="303"/>
      <c r="AV8" s="303"/>
      <c r="AW8" s="303"/>
      <c r="AX8" s="303"/>
      <c r="AY8" s="303"/>
      <c r="AZ8" s="303"/>
      <c r="BA8" s="303"/>
      <c r="BB8" s="303"/>
      <c r="BC8" s="303"/>
      <c r="BD8" s="303"/>
      <c r="BE8" s="303"/>
    </row>
    <row r="9" spans="1:57" ht="16.5" thickBot="1" x14ac:dyDescent="0.25">
      <c r="A9" s="302"/>
      <c r="B9" s="208"/>
      <c r="C9" s="208"/>
      <c r="D9" s="457" t="s">
        <v>5</v>
      </c>
      <c r="E9" s="457" t="s">
        <v>6</v>
      </c>
      <c r="F9" s="458" t="s">
        <v>49</v>
      </c>
      <c r="G9" s="458" t="s">
        <v>137</v>
      </c>
      <c r="H9" s="457" t="s">
        <v>7</v>
      </c>
      <c r="I9" s="457" t="s">
        <v>8</v>
      </c>
      <c r="J9" s="457" t="s">
        <v>9</v>
      </c>
      <c r="K9" s="464" t="s">
        <v>10</v>
      </c>
      <c r="L9" s="464"/>
      <c r="M9" s="457" t="s">
        <v>11</v>
      </c>
      <c r="N9" s="308"/>
      <c r="O9" s="558"/>
      <c r="P9" s="558"/>
      <c r="Q9" s="303"/>
      <c r="R9" s="527">
        <v>2025</v>
      </c>
      <c r="S9" s="528"/>
      <c r="T9" s="528"/>
      <c r="U9" s="528"/>
      <c r="V9" s="528"/>
      <c r="W9" s="528"/>
      <c r="X9" s="528"/>
      <c r="Y9" s="528"/>
      <c r="Z9" s="528"/>
      <c r="AA9" s="528"/>
      <c r="AB9" s="528"/>
      <c r="AC9" s="528"/>
      <c r="AD9" s="528"/>
      <c r="AE9" s="528"/>
      <c r="AF9" s="528"/>
      <c r="AG9" s="528"/>
      <c r="AH9" s="528"/>
      <c r="AI9" s="528"/>
      <c r="AJ9" s="528"/>
      <c r="AK9" s="528"/>
      <c r="AL9" s="528"/>
      <c r="AM9" s="528"/>
      <c r="AN9" s="528"/>
      <c r="AO9" s="528"/>
      <c r="AP9" s="528"/>
      <c r="AQ9" s="528"/>
      <c r="AR9" s="528"/>
      <c r="AS9" s="528"/>
      <c r="AT9" s="528"/>
      <c r="AU9" s="528"/>
      <c r="AV9" s="528"/>
      <c r="AW9" s="528"/>
      <c r="AX9" s="528"/>
      <c r="AY9" s="528"/>
      <c r="AZ9" s="528"/>
      <c r="BA9" s="528"/>
      <c r="BB9" s="528"/>
      <c r="BC9" s="529"/>
      <c r="BD9" s="303"/>
      <c r="BE9" s="303"/>
    </row>
    <row r="10" spans="1:57" ht="19.5" customHeight="1" x14ac:dyDescent="0.2">
      <c r="A10" s="302"/>
      <c r="B10" s="753">
        <v>2025</v>
      </c>
      <c r="C10" s="456">
        <v>45658</v>
      </c>
      <c r="D10" s="472"/>
      <c r="E10" s="473"/>
      <c r="F10" s="473"/>
      <c r="G10" s="473"/>
      <c r="H10" s="473"/>
      <c r="I10" s="459">
        <f t="shared" ref="I10" si="0">D10-E10-H10-F10</f>
        <v>0</v>
      </c>
      <c r="J10" s="215"/>
      <c r="K10" s="216" t="str">
        <f t="shared" ref="K10:K14" si="1">IF(ISBLANK(J10)," ",IF(J10-I10&lt;0.01,"Correcto ",IF(J10-I10&lt;0.01,"Faltan","Sobran")))</f>
        <v xml:space="preserve"> </v>
      </c>
      <c r="L10" s="217" t="str">
        <f t="shared" ref="L10" si="2">IF(ISBLANK(J10)," ",IF(ABS(J10-I10)&lt;0.01," ",J10-I10))</f>
        <v xml:space="preserve"> </v>
      </c>
      <c r="M10" s="460"/>
      <c r="N10" s="313"/>
      <c r="O10" s="559"/>
      <c r="P10" s="558"/>
      <c r="Q10" s="303"/>
      <c r="R10" s="537">
        <v>44562</v>
      </c>
      <c r="S10" s="538" t="s">
        <v>42</v>
      </c>
      <c r="T10" s="538" t="s">
        <v>43</v>
      </c>
      <c r="U10" s="538" t="s">
        <v>44</v>
      </c>
      <c r="V10" s="538" t="s">
        <v>45</v>
      </c>
      <c r="W10" s="538" t="s">
        <v>46</v>
      </c>
      <c r="X10" s="538" t="s">
        <v>47</v>
      </c>
      <c r="Y10" s="538" t="s">
        <v>48</v>
      </c>
      <c r="Z10" s="538" t="s">
        <v>42</v>
      </c>
      <c r="AA10" s="538" t="s">
        <v>43</v>
      </c>
      <c r="AB10" s="538" t="s">
        <v>44</v>
      </c>
      <c r="AC10" s="538" t="s">
        <v>45</v>
      </c>
      <c r="AD10" s="538" t="s">
        <v>46</v>
      </c>
      <c r="AE10" s="538" t="s">
        <v>47</v>
      </c>
      <c r="AF10" s="538" t="s">
        <v>48</v>
      </c>
      <c r="AG10" s="538" t="s">
        <v>42</v>
      </c>
      <c r="AH10" s="538" t="s">
        <v>43</v>
      </c>
      <c r="AI10" s="538" t="s">
        <v>44</v>
      </c>
      <c r="AJ10" s="538" t="s">
        <v>45</v>
      </c>
      <c r="AK10" s="538" t="s">
        <v>46</v>
      </c>
      <c r="AL10" s="538" t="s">
        <v>47</v>
      </c>
      <c r="AM10" s="538" t="s">
        <v>48</v>
      </c>
      <c r="AN10" s="538" t="s">
        <v>42</v>
      </c>
      <c r="AO10" s="538" t="s">
        <v>43</v>
      </c>
      <c r="AP10" s="538" t="s">
        <v>44</v>
      </c>
      <c r="AQ10" s="538" t="s">
        <v>45</v>
      </c>
      <c r="AR10" s="538" t="s">
        <v>46</v>
      </c>
      <c r="AS10" s="538" t="s">
        <v>47</v>
      </c>
      <c r="AT10" s="538" t="s">
        <v>48</v>
      </c>
      <c r="AU10" s="538" t="s">
        <v>42</v>
      </c>
      <c r="AV10" s="538" t="s">
        <v>43</v>
      </c>
      <c r="AW10" s="538" t="s">
        <v>44</v>
      </c>
      <c r="AX10" s="538" t="s">
        <v>45</v>
      </c>
      <c r="AY10" s="538" t="s">
        <v>46</v>
      </c>
      <c r="AZ10" s="538" t="s">
        <v>47</v>
      </c>
      <c r="BA10" s="538" t="s">
        <v>48</v>
      </c>
      <c r="BB10" s="538" t="s">
        <v>42</v>
      </c>
      <c r="BC10" s="539" t="s">
        <v>43</v>
      </c>
      <c r="BD10" s="303"/>
      <c r="BE10" s="303"/>
    </row>
    <row r="11" spans="1:57" x14ac:dyDescent="0.2">
      <c r="A11" s="302"/>
      <c r="B11" s="753"/>
      <c r="C11" s="456">
        <v>45689</v>
      </c>
      <c r="D11" s="472"/>
      <c r="E11" s="473"/>
      <c r="F11" s="473"/>
      <c r="G11" s="473"/>
      <c r="H11" s="473"/>
      <c r="I11" s="459">
        <f t="shared" ref="I11:I13" si="3">D11-E11-H11-F11</f>
        <v>0</v>
      </c>
      <c r="J11" s="215"/>
      <c r="K11" s="216" t="str">
        <f t="shared" si="1"/>
        <v xml:space="preserve"> </v>
      </c>
      <c r="L11" s="217" t="str">
        <f t="shared" ref="L11:L22" si="4">IF(ISBLANK(J11)," ",IF(ABS(J11-I11)&lt;0.01," ",J11-I11))</f>
        <v xml:space="preserve"> </v>
      </c>
      <c r="M11" s="460"/>
      <c r="N11" s="313"/>
      <c r="O11" s="314"/>
      <c r="P11" s="314"/>
      <c r="Q11" s="303"/>
      <c r="R11" s="540" t="s">
        <v>54</v>
      </c>
      <c r="S11" s="530"/>
      <c r="T11" s="530" t="s">
        <v>67</v>
      </c>
      <c r="U11" s="530"/>
      <c r="V11" s="531"/>
      <c r="W11" s="530"/>
      <c r="X11" s="532"/>
      <c r="Y11" s="532"/>
      <c r="Z11" s="530">
        <v>5</v>
      </c>
      <c r="AA11" s="530">
        <v>6</v>
      </c>
      <c r="AB11" s="530">
        <v>7</v>
      </c>
      <c r="AC11" s="530">
        <v>8</v>
      </c>
      <c r="AD11" s="530">
        <v>9</v>
      </c>
      <c r="AE11" s="532">
        <v>10</v>
      </c>
      <c r="AF11" s="532">
        <v>11</v>
      </c>
      <c r="AG11" s="530">
        <v>12</v>
      </c>
      <c r="AH11" s="530">
        <v>13</v>
      </c>
      <c r="AI11" s="530">
        <v>14</v>
      </c>
      <c r="AJ11" s="530">
        <v>15</v>
      </c>
      <c r="AK11" s="530">
        <v>16</v>
      </c>
      <c r="AL11" s="532">
        <v>17</v>
      </c>
      <c r="AM11" s="532">
        <v>18</v>
      </c>
      <c r="AN11" s="530">
        <v>19</v>
      </c>
      <c r="AO11" s="530">
        <v>20</v>
      </c>
      <c r="AP11" s="530">
        <v>21</v>
      </c>
      <c r="AQ11" s="530">
        <v>22</v>
      </c>
      <c r="AR11" s="530">
        <v>23</v>
      </c>
      <c r="AS11" s="532">
        <v>24</v>
      </c>
      <c r="AT11" s="532">
        <v>25</v>
      </c>
      <c r="AU11" s="530">
        <v>26</v>
      </c>
      <c r="AV11" s="530">
        <v>27</v>
      </c>
      <c r="AW11" s="530">
        <v>28</v>
      </c>
      <c r="AX11" s="530">
        <v>29</v>
      </c>
      <c r="AY11" s="530">
        <v>30</v>
      </c>
      <c r="AZ11" s="532">
        <v>31</v>
      </c>
      <c r="BA11" s="532" t="s">
        <v>67</v>
      </c>
      <c r="BB11" s="530" t="s">
        <v>67</v>
      </c>
      <c r="BC11" s="541" t="s">
        <v>67</v>
      </c>
      <c r="BD11" s="303"/>
      <c r="BE11" s="303"/>
    </row>
    <row r="12" spans="1:57" ht="15.75" thickBot="1" x14ac:dyDescent="0.25">
      <c r="A12" s="302"/>
      <c r="B12" s="753"/>
      <c r="C12" s="456">
        <v>45717</v>
      </c>
      <c r="D12" s="472"/>
      <c r="E12" s="473"/>
      <c r="F12" s="473"/>
      <c r="G12" s="473"/>
      <c r="H12" s="473"/>
      <c r="I12" s="459">
        <f t="shared" si="3"/>
        <v>0</v>
      </c>
      <c r="J12" s="215"/>
      <c r="K12" s="216" t="str">
        <f t="shared" si="1"/>
        <v xml:space="preserve"> </v>
      </c>
      <c r="L12" s="217" t="str">
        <f t="shared" si="4"/>
        <v xml:space="preserve"> </v>
      </c>
      <c r="M12" s="460"/>
      <c r="N12" s="313"/>
      <c r="O12" s="314"/>
      <c r="P12" s="317"/>
      <c r="Q12" s="303"/>
      <c r="R12" s="542" t="s">
        <v>55</v>
      </c>
      <c r="S12" s="543"/>
      <c r="T12" s="543" t="s">
        <v>67</v>
      </c>
      <c r="U12" s="543" t="s">
        <v>67</v>
      </c>
      <c r="V12" s="543" t="s">
        <v>67</v>
      </c>
      <c r="W12" s="543" t="s">
        <v>67</v>
      </c>
      <c r="X12" s="544" t="s">
        <v>67</v>
      </c>
      <c r="Y12" s="544">
        <v>1</v>
      </c>
      <c r="Z12" s="543">
        <v>2</v>
      </c>
      <c r="AA12" s="543">
        <v>3</v>
      </c>
      <c r="AB12" s="543">
        <v>4</v>
      </c>
      <c r="AC12" s="543">
        <v>5</v>
      </c>
      <c r="AD12" s="543">
        <v>6</v>
      </c>
      <c r="AE12" s="544">
        <v>7</v>
      </c>
      <c r="AF12" s="544">
        <v>8</v>
      </c>
      <c r="AG12" s="543">
        <v>9</v>
      </c>
      <c r="AH12" s="543">
        <v>10</v>
      </c>
      <c r="AI12" s="543">
        <v>11</v>
      </c>
      <c r="AJ12" s="543">
        <v>12</v>
      </c>
      <c r="AK12" s="543">
        <v>13</v>
      </c>
      <c r="AL12" s="544"/>
      <c r="AM12" s="544"/>
      <c r="AN12" s="543"/>
      <c r="AO12" s="543"/>
      <c r="AP12" s="543"/>
      <c r="AQ12" s="543"/>
      <c r="AR12" s="543"/>
      <c r="AS12" s="544"/>
      <c r="AT12" s="544"/>
      <c r="AU12" s="546"/>
      <c r="AV12" s="546"/>
      <c r="AW12" s="546"/>
      <c r="AX12" s="546"/>
      <c r="AY12" s="546"/>
      <c r="AZ12" s="544"/>
      <c r="BA12" s="544"/>
      <c r="BB12" s="543"/>
      <c r="BC12" s="547" t="s">
        <v>67</v>
      </c>
      <c r="BD12" s="303"/>
      <c r="BE12" s="303"/>
    </row>
    <row r="13" spans="1:57" x14ac:dyDescent="0.2">
      <c r="A13" s="302"/>
      <c r="B13" s="753"/>
      <c r="C13" s="456">
        <v>45748</v>
      </c>
      <c r="D13" s="472"/>
      <c r="E13" s="473"/>
      <c r="F13" s="473"/>
      <c r="G13" s="473"/>
      <c r="H13" s="473"/>
      <c r="I13" s="459">
        <f t="shared" si="3"/>
        <v>0</v>
      </c>
      <c r="J13" s="215"/>
      <c r="K13" s="216" t="str">
        <f t="shared" si="1"/>
        <v xml:space="preserve"> </v>
      </c>
      <c r="L13" s="217" t="str">
        <f t="shared" si="4"/>
        <v xml:space="preserve"> </v>
      </c>
      <c r="M13" s="460"/>
      <c r="N13" s="319"/>
      <c r="O13" s="453" t="s">
        <v>138</v>
      </c>
      <c r="P13" s="231">
        <f>SUM(D10:D23)</f>
        <v>2898.1892000000003</v>
      </c>
      <c r="Q13" s="232"/>
      <c r="AN13" s="303"/>
      <c r="AO13" s="303"/>
      <c r="AP13" s="303"/>
      <c r="AQ13" s="303"/>
      <c r="AR13" s="303"/>
      <c r="AS13" s="303"/>
      <c r="AT13" s="303"/>
      <c r="AU13" s="303"/>
      <c r="AV13" s="303"/>
      <c r="AW13" s="303"/>
      <c r="AX13" s="303"/>
      <c r="AY13" s="303"/>
      <c r="AZ13" s="303"/>
      <c r="BA13" s="303"/>
      <c r="BB13" s="303"/>
      <c r="BC13" s="303"/>
      <c r="BD13" s="303"/>
      <c r="BE13" s="303"/>
    </row>
    <row r="14" spans="1:57" x14ac:dyDescent="0.2">
      <c r="A14" s="302"/>
      <c r="B14" s="753"/>
      <c r="C14" s="456">
        <v>45778</v>
      </c>
      <c r="D14" s="472">
        <f>27*(49.95+1.18+4.1623+5.8273)</f>
        <v>1650.2292000000002</v>
      </c>
      <c r="E14" s="473">
        <f>(D14+M14+G14)*0.0483</f>
        <v>90.744070248720021</v>
      </c>
      <c r="F14" s="473">
        <f>(D14+M14+G14)*0.0165</f>
        <v>30.999527103600006</v>
      </c>
      <c r="G14" s="473">
        <f>(D14+M14)*0.2/100</f>
        <v>3.7500184000000005</v>
      </c>
      <c r="H14" s="473">
        <f>D14*$O$16</f>
        <v>214.52979600000003</v>
      </c>
      <c r="I14" s="459">
        <f>D14-E14-H14-F14-G14</f>
        <v>1310.2057882476802</v>
      </c>
      <c r="J14" s="215">
        <v>1310.21</v>
      </c>
      <c r="K14" s="216" t="str">
        <f t="shared" si="1"/>
        <v xml:space="preserve">Correcto </v>
      </c>
      <c r="L14" s="217" t="str">
        <f t="shared" si="4"/>
        <v xml:space="preserve"> </v>
      </c>
      <c r="M14" s="460">
        <v>224.78</v>
      </c>
      <c r="N14" s="233"/>
      <c r="O14" s="454" t="s">
        <v>13</v>
      </c>
      <c r="P14" s="235">
        <f>SUM(E10:F23)</f>
        <v>188.30359735232003</v>
      </c>
      <c r="Q14" s="236"/>
      <c r="AN14" s="303"/>
      <c r="AO14" s="303"/>
      <c r="AP14" s="303"/>
      <c r="AQ14" s="303"/>
      <c r="AR14" s="303"/>
      <c r="AS14" s="303"/>
      <c r="AT14" s="303"/>
      <c r="AU14" s="303"/>
      <c r="AV14" s="303"/>
      <c r="AW14" s="303"/>
      <c r="AX14" s="303"/>
      <c r="AY14" s="303"/>
      <c r="AZ14" s="303"/>
      <c r="BA14" s="303"/>
      <c r="BB14" s="303"/>
      <c r="BC14" s="303"/>
      <c r="BD14" s="303"/>
      <c r="BE14" s="303"/>
    </row>
    <row r="15" spans="1:57" x14ac:dyDescent="0.2">
      <c r="A15" s="302"/>
      <c r="B15" s="753"/>
      <c r="C15" s="589">
        <v>45821</v>
      </c>
      <c r="D15" s="472">
        <f>794.56+331.16+122.24</f>
        <v>1247.96</v>
      </c>
      <c r="E15" s="473">
        <f>49.61+16.95</f>
        <v>66.56</v>
      </c>
      <c r="F15" s="473"/>
      <c r="G15" s="473">
        <v>2.0499999999999998</v>
      </c>
      <c r="H15" s="473">
        <f>1247.96*0.13</f>
        <v>162.23480000000001</v>
      </c>
      <c r="I15" s="459">
        <f>D15-E15-H15-F15-G15</f>
        <v>1017.1152000000002</v>
      </c>
      <c r="J15" s="215">
        <v>1017.12</v>
      </c>
      <c r="K15" s="216" t="str">
        <f>IF(ISBLANK(J15)," ",IF(ABS(J15-I15)&lt;0.01,"Correcto ",IF(J15-I15&lt;0,"Faltan","Sobran")))</f>
        <v xml:space="preserve">Correcto </v>
      </c>
      <c r="L15" s="217" t="str">
        <f t="shared" si="4"/>
        <v xml:space="preserve"> </v>
      </c>
      <c r="M15" s="460"/>
      <c r="N15" s="233"/>
      <c r="O15" s="455" t="s">
        <v>7</v>
      </c>
      <c r="P15" s="235">
        <f>SUM(H10:H23)</f>
        <v>376.76459600000004</v>
      </c>
      <c r="Q15" s="238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  <c r="BE15" s="303"/>
    </row>
    <row r="16" spans="1:57" x14ac:dyDescent="0.2">
      <c r="A16" s="302"/>
      <c r="B16" s="753"/>
      <c r="C16" s="456" t="s">
        <v>93</v>
      </c>
      <c r="D16" s="472"/>
      <c r="E16" s="473"/>
      <c r="F16" s="473"/>
      <c r="G16" s="473"/>
      <c r="H16" s="473">
        <f t="shared" ref="H16:H23" si="5">D16*$O$16</f>
        <v>0</v>
      </c>
      <c r="I16" s="459">
        <f t="shared" ref="I16:I24" si="6">D16-E16-H16-F16-G16</f>
        <v>0</v>
      </c>
      <c r="J16" s="215"/>
      <c r="K16" s="216" t="str">
        <f t="shared" ref="K16:K24" si="7">IF(ISBLANK(J16)," ",IF(ABS(J16-I16)&lt;0.01,"Correcto ",IF(J16-I16&lt;0,"Faltan","Sobran")))</f>
        <v xml:space="preserve"> </v>
      </c>
      <c r="L16" s="217" t="str">
        <f t="shared" si="4"/>
        <v xml:space="preserve"> </v>
      </c>
      <c r="M16" s="233"/>
      <c r="N16" s="255"/>
      <c r="O16" s="461">
        <v>0.13</v>
      </c>
      <c r="P16" s="232"/>
      <c r="Q16" s="320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  <c r="BE16" s="303"/>
    </row>
    <row r="17" spans="1:57" x14ac:dyDescent="0.2">
      <c r="A17" s="302"/>
      <c r="B17" s="753"/>
      <c r="C17" s="456">
        <v>45839</v>
      </c>
      <c r="D17" s="472"/>
      <c r="E17" s="473">
        <f t="shared" ref="E17:E22" si="8">(D17+M17+G17)*0.0483</f>
        <v>0</v>
      </c>
      <c r="F17" s="473">
        <f t="shared" ref="F17:F22" si="9">(D17+M17+G17)*0.0165</f>
        <v>0</v>
      </c>
      <c r="G17" s="473">
        <f t="shared" ref="G17:G22" si="10">(D17+M17)*0.2/100</f>
        <v>0</v>
      </c>
      <c r="H17" s="473">
        <f t="shared" si="5"/>
        <v>0</v>
      </c>
      <c r="I17" s="459">
        <f t="shared" si="6"/>
        <v>0</v>
      </c>
      <c r="J17" s="215"/>
      <c r="K17" s="216" t="str">
        <f t="shared" si="7"/>
        <v xml:space="preserve"> </v>
      </c>
      <c r="L17" s="217" t="str">
        <f t="shared" si="4"/>
        <v xml:space="preserve"> </v>
      </c>
      <c r="M17" s="460"/>
      <c r="N17" s="232"/>
      <c r="O17" s="303"/>
      <c r="P17" s="303"/>
      <c r="Q17" s="238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  <c r="BE17" s="303"/>
    </row>
    <row r="18" spans="1:57" ht="15.75" thickBot="1" x14ac:dyDescent="0.25">
      <c r="A18" s="302"/>
      <c r="B18" s="753"/>
      <c r="C18" s="456">
        <v>45870</v>
      </c>
      <c r="D18" s="472"/>
      <c r="E18" s="473">
        <f t="shared" ref="E18" si="11">(D18+M18+G18)*0.0483</f>
        <v>0</v>
      </c>
      <c r="F18" s="473">
        <f t="shared" ref="F18" si="12">(D18+M18+G18)*0.0165</f>
        <v>0</v>
      </c>
      <c r="G18" s="473">
        <f t="shared" ref="G18" si="13">(D18+M18)*0.2/100</f>
        <v>0</v>
      </c>
      <c r="H18" s="473">
        <f t="shared" ref="H18" si="14">D18*$O$16</f>
        <v>0</v>
      </c>
      <c r="I18" s="459">
        <f t="shared" si="6"/>
        <v>0</v>
      </c>
      <c r="J18" s="215"/>
      <c r="K18" s="216" t="str">
        <f t="shared" si="7"/>
        <v xml:space="preserve"> </v>
      </c>
      <c r="L18" s="217" t="str">
        <f t="shared" si="4"/>
        <v xml:space="preserve"> </v>
      </c>
      <c r="M18" s="460"/>
      <c r="N18" s="303"/>
      <c r="O18" s="303"/>
      <c r="P18" s="303"/>
      <c r="Q18" s="238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  <c r="BE18" s="303"/>
    </row>
    <row r="19" spans="1:57" ht="15.75" thickBot="1" x14ac:dyDescent="0.25">
      <c r="A19" s="302"/>
      <c r="B19" s="753"/>
      <c r="C19" s="456">
        <v>45901</v>
      </c>
      <c r="D19" s="472"/>
      <c r="E19" s="473">
        <f t="shared" si="8"/>
        <v>0</v>
      </c>
      <c r="F19" s="473">
        <f t="shared" si="9"/>
        <v>0</v>
      </c>
      <c r="G19" s="473">
        <f t="shared" si="10"/>
        <v>0</v>
      </c>
      <c r="H19" s="473">
        <f t="shared" si="5"/>
        <v>0</v>
      </c>
      <c r="I19" s="459">
        <f t="shared" si="6"/>
        <v>0</v>
      </c>
      <c r="J19" s="215"/>
      <c r="K19" s="216" t="str">
        <f t="shared" si="7"/>
        <v xml:space="preserve"> </v>
      </c>
      <c r="L19" s="217" t="str">
        <f t="shared" si="4"/>
        <v xml:space="preserve"> </v>
      </c>
      <c r="M19" s="460"/>
      <c r="N19" s="303"/>
      <c r="O19" s="452" t="s">
        <v>69</v>
      </c>
      <c r="P19" s="585">
        <f>22/12*1.25</f>
        <v>2.2916666666666665</v>
      </c>
      <c r="Q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  <c r="BE19" s="303"/>
    </row>
    <row r="20" spans="1:57" ht="15.75" thickBot="1" x14ac:dyDescent="0.25">
      <c r="A20" s="302"/>
      <c r="B20" s="753"/>
      <c r="C20" s="456">
        <v>45931</v>
      </c>
      <c r="D20" s="472"/>
      <c r="E20" s="473">
        <f t="shared" si="8"/>
        <v>0</v>
      </c>
      <c r="F20" s="473">
        <f t="shared" si="9"/>
        <v>0</v>
      </c>
      <c r="G20" s="473">
        <f t="shared" si="10"/>
        <v>0</v>
      </c>
      <c r="H20" s="473">
        <f t="shared" si="5"/>
        <v>0</v>
      </c>
      <c r="I20" s="459">
        <f t="shared" si="6"/>
        <v>0</v>
      </c>
      <c r="J20" s="215"/>
      <c r="K20" s="216" t="str">
        <f t="shared" si="7"/>
        <v xml:space="preserve"> </v>
      </c>
      <c r="L20" s="217" t="str">
        <f t="shared" si="4"/>
        <v xml:space="preserve"> </v>
      </c>
      <c r="M20" s="460"/>
      <c r="N20" s="303"/>
      <c r="O20" s="242"/>
      <c r="P20" s="243"/>
      <c r="Q20" s="303"/>
      <c r="R20" s="554" t="s">
        <v>140</v>
      </c>
      <c r="S20" s="528"/>
      <c r="T20" s="528"/>
      <c r="U20" s="528"/>
      <c r="V20" s="528"/>
      <c r="W20" s="528"/>
      <c r="X20" s="528"/>
      <c r="Y20" s="528"/>
      <c r="Z20" s="528"/>
      <c r="AA20" s="528"/>
      <c r="AB20" s="528"/>
      <c r="AC20" s="528"/>
      <c r="AD20" s="528"/>
      <c r="AE20" s="528"/>
      <c r="AF20" s="528"/>
      <c r="AG20" s="528"/>
      <c r="AH20" s="528"/>
      <c r="AI20" s="528"/>
      <c r="AJ20" s="528"/>
      <c r="AK20" s="528"/>
      <c r="AL20" s="528"/>
      <c r="AM20" s="528"/>
      <c r="AN20" s="528"/>
      <c r="AO20" s="528"/>
      <c r="AP20" s="528"/>
      <c r="AQ20" s="528"/>
      <c r="AR20" s="528"/>
      <c r="AS20" s="528"/>
      <c r="AT20" s="528"/>
      <c r="AU20" s="528"/>
      <c r="AV20" s="528"/>
      <c r="AW20" s="528"/>
      <c r="AX20" s="528"/>
      <c r="AY20" s="528"/>
      <c r="AZ20" s="528"/>
      <c r="BA20" s="528"/>
      <c r="BB20" s="528"/>
      <c r="BC20" s="529"/>
      <c r="BD20" s="303"/>
      <c r="BE20" s="303"/>
    </row>
    <row r="21" spans="1:57" ht="15.75" thickBot="1" x14ac:dyDescent="0.25">
      <c r="A21" s="302"/>
      <c r="B21" s="753"/>
      <c r="C21" s="456">
        <v>45962</v>
      </c>
      <c r="D21" s="472"/>
      <c r="E21" s="473">
        <f t="shared" si="8"/>
        <v>0</v>
      </c>
      <c r="F21" s="473">
        <f t="shared" si="9"/>
        <v>0</v>
      </c>
      <c r="G21" s="473">
        <f t="shared" si="10"/>
        <v>0</v>
      </c>
      <c r="H21" s="473">
        <f t="shared" si="5"/>
        <v>0</v>
      </c>
      <c r="I21" s="459">
        <f t="shared" si="6"/>
        <v>0</v>
      </c>
      <c r="J21" s="215"/>
      <c r="K21" s="216" t="str">
        <f t="shared" si="7"/>
        <v xml:space="preserve"> </v>
      </c>
      <c r="L21" s="217" t="str">
        <f t="shared" si="4"/>
        <v xml:space="preserve"> </v>
      </c>
      <c r="M21" s="460"/>
      <c r="N21" s="303"/>
      <c r="O21" s="244"/>
      <c r="P21" s="243"/>
      <c r="Q21" s="303"/>
      <c r="R21" s="537">
        <v>44562</v>
      </c>
      <c r="S21" s="538" t="s">
        <v>42</v>
      </c>
      <c r="T21" s="538" t="s">
        <v>43</v>
      </c>
      <c r="U21" s="538" t="s">
        <v>44</v>
      </c>
      <c r="V21" s="538" t="s">
        <v>45</v>
      </c>
      <c r="W21" s="538" t="s">
        <v>46</v>
      </c>
      <c r="X21" s="538" t="s">
        <v>47</v>
      </c>
      <c r="Y21" s="538" t="s">
        <v>48</v>
      </c>
      <c r="Z21" s="538" t="s">
        <v>42</v>
      </c>
      <c r="AA21" s="538" t="s">
        <v>43</v>
      </c>
      <c r="AB21" s="538" t="s">
        <v>44</v>
      </c>
      <c r="AC21" s="538" t="s">
        <v>45</v>
      </c>
      <c r="AD21" s="538" t="s">
        <v>46</v>
      </c>
      <c r="AE21" s="538" t="s">
        <v>47</v>
      </c>
      <c r="AF21" s="538" t="s">
        <v>48</v>
      </c>
      <c r="AG21" s="538" t="s">
        <v>42</v>
      </c>
      <c r="AH21" s="538" t="s">
        <v>43</v>
      </c>
      <c r="AI21" s="538" t="s">
        <v>44</v>
      </c>
      <c r="AJ21" s="538" t="s">
        <v>45</v>
      </c>
      <c r="AK21" s="538" t="s">
        <v>46</v>
      </c>
      <c r="AL21" s="538" t="s">
        <v>47</v>
      </c>
      <c r="AM21" s="538" t="s">
        <v>48</v>
      </c>
      <c r="AN21" s="538" t="s">
        <v>42</v>
      </c>
      <c r="AO21" s="538" t="s">
        <v>43</v>
      </c>
      <c r="AP21" s="538" t="s">
        <v>44</v>
      </c>
      <c r="AQ21" s="538" t="s">
        <v>45</v>
      </c>
      <c r="AR21" s="538" t="s">
        <v>46</v>
      </c>
      <c r="AS21" s="538" t="s">
        <v>47</v>
      </c>
      <c r="AT21" s="538" t="s">
        <v>48</v>
      </c>
      <c r="AU21" s="538" t="s">
        <v>42</v>
      </c>
      <c r="AV21" s="538" t="s">
        <v>43</v>
      </c>
      <c r="AW21" s="538" t="s">
        <v>44</v>
      </c>
      <c r="AX21" s="538" t="s">
        <v>45</v>
      </c>
      <c r="AY21" s="538" t="s">
        <v>46</v>
      </c>
      <c r="AZ21" s="538" t="s">
        <v>47</v>
      </c>
      <c r="BA21" s="538" t="s">
        <v>48</v>
      </c>
      <c r="BB21" s="538" t="s">
        <v>42</v>
      </c>
      <c r="BC21" s="539" t="s">
        <v>43</v>
      </c>
      <c r="BD21" s="303"/>
      <c r="BE21" s="303"/>
    </row>
    <row r="22" spans="1:57" ht="15.75" thickBot="1" x14ac:dyDescent="0.25">
      <c r="A22" s="302"/>
      <c r="B22" s="753"/>
      <c r="C22" s="456">
        <v>45992</v>
      </c>
      <c r="D22" s="472"/>
      <c r="E22" s="473">
        <f t="shared" si="8"/>
        <v>0</v>
      </c>
      <c r="F22" s="473">
        <f t="shared" si="9"/>
        <v>0</v>
      </c>
      <c r="G22" s="473">
        <f t="shared" si="10"/>
        <v>0</v>
      </c>
      <c r="H22" s="473">
        <f t="shared" si="5"/>
        <v>0</v>
      </c>
      <c r="I22" s="459">
        <f t="shared" si="6"/>
        <v>0</v>
      </c>
      <c r="J22" s="215"/>
      <c r="K22" s="216" t="str">
        <f t="shared" si="7"/>
        <v xml:space="preserve"> </v>
      </c>
      <c r="L22" s="217" t="str">
        <f t="shared" si="4"/>
        <v xml:space="preserve"> </v>
      </c>
      <c r="M22" s="460"/>
      <c r="N22" s="303"/>
      <c r="O22" s="244"/>
      <c r="P22" s="243"/>
      <c r="Q22" s="303"/>
      <c r="R22" s="540" t="s">
        <v>54</v>
      </c>
      <c r="S22" s="533"/>
      <c r="T22" s="533" t="s">
        <v>67</v>
      </c>
      <c r="U22" s="533"/>
      <c r="V22" s="534"/>
      <c r="W22" s="533"/>
      <c r="X22" s="535"/>
      <c r="Y22" s="535"/>
      <c r="Z22" s="533">
        <v>8.5</v>
      </c>
      <c r="AA22" s="533">
        <v>8.5</v>
      </c>
      <c r="AB22" s="533">
        <v>8.5</v>
      </c>
      <c r="AC22" s="533">
        <v>8.5</v>
      </c>
      <c r="AD22" s="536">
        <v>6</v>
      </c>
      <c r="AE22" s="535"/>
      <c r="AF22" s="535"/>
      <c r="AG22" s="533">
        <v>8.5</v>
      </c>
      <c r="AH22" s="533">
        <v>8.5</v>
      </c>
      <c r="AI22" s="533">
        <v>8.5</v>
      </c>
      <c r="AJ22" s="533">
        <v>8.5</v>
      </c>
      <c r="AK22" s="533">
        <v>6</v>
      </c>
      <c r="AL22" s="535"/>
      <c r="AM22" s="535"/>
      <c r="AN22" s="533">
        <v>8.5</v>
      </c>
      <c r="AO22" s="533">
        <v>8.5</v>
      </c>
      <c r="AP22" s="533">
        <v>8.5</v>
      </c>
      <c r="AQ22" s="533">
        <v>8.5</v>
      </c>
      <c r="AR22" s="536">
        <v>6</v>
      </c>
      <c r="AS22" s="535"/>
      <c r="AT22" s="535"/>
      <c r="AU22" s="533">
        <v>8.5</v>
      </c>
      <c r="AV22" s="533">
        <v>8.5</v>
      </c>
      <c r="AW22" s="533">
        <v>8.5</v>
      </c>
      <c r="AX22" s="533">
        <v>8.5</v>
      </c>
      <c r="AY22" s="536">
        <v>6</v>
      </c>
      <c r="AZ22" s="535"/>
      <c r="BA22" s="535"/>
      <c r="BB22" s="533" t="s">
        <v>67</v>
      </c>
      <c r="BC22" s="548" t="s">
        <v>67</v>
      </c>
      <c r="BD22" s="525">
        <f>SUM(S22:BC22)</f>
        <v>160</v>
      </c>
      <c r="BE22" s="303"/>
    </row>
    <row r="23" spans="1:57" ht="15.75" thickBot="1" x14ac:dyDescent="0.25">
      <c r="A23" s="302"/>
      <c r="B23" s="753"/>
      <c r="C23" s="456" t="s">
        <v>94</v>
      </c>
      <c r="D23" s="472"/>
      <c r="E23" s="473"/>
      <c r="F23" s="473"/>
      <c r="G23" s="473"/>
      <c r="H23" s="473">
        <f t="shared" si="5"/>
        <v>0</v>
      </c>
      <c r="I23" s="459">
        <f t="shared" si="6"/>
        <v>0</v>
      </c>
      <c r="J23" s="215"/>
      <c r="K23" s="216" t="str">
        <f t="shared" si="7"/>
        <v xml:space="preserve"> </v>
      </c>
      <c r="L23" s="250" t="str">
        <f t="shared" ref="L23" si="15">IF(ISBLANK(J23)," ",IF(J23-I23&lt;0.01," ",J23-I23))</f>
        <v xml:space="preserve"> </v>
      </c>
      <c r="M23" s="233"/>
      <c r="N23" s="303"/>
      <c r="O23" s="249"/>
      <c r="P23" s="243"/>
      <c r="Q23" s="303"/>
      <c r="R23" s="542" t="s">
        <v>55</v>
      </c>
      <c r="S23" s="549"/>
      <c r="T23" s="549" t="s">
        <v>67</v>
      </c>
      <c r="U23" s="549" t="s">
        <v>67</v>
      </c>
      <c r="V23" s="549" t="s">
        <v>67</v>
      </c>
      <c r="W23" s="549" t="s">
        <v>67</v>
      </c>
      <c r="X23" s="551"/>
      <c r="Y23" s="551"/>
      <c r="Z23" s="549">
        <v>8.5</v>
      </c>
      <c r="AA23" s="549">
        <v>8.5</v>
      </c>
      <c r="AB23" s="549">
        <v>8.5</v>
      </c>
      <c r="AC23" s="549">
        <v>8.5</v>
      </c>
      <c r="AD23" s="550">
        <v>6</v>
      </c>
      <c r="AE23" s="551"/>
      <c r="AF23" s="551"/>
      <c r="AG23" s="549">
        <v>8.5</v>
      </c>
      <c r="AH23" s="549">
        <v>8.5</v>
      </c>
      <c r="AI23" s="549">
        <v>8.5</v>
      </c>
      <c r="AJ23" s="549">
        <v>8.5</v>
      </c>
      <c r="AK23" s="549">
        <v>6</v>
      </c>
      <c r="AL23" s="551"/>
      <c r="AM23" s="551"/>
      <c r="AN23" s="550"/>
      <c r="AO23" s="550"/>
      <c r="AP23" s="550"/>
      <c r="AQ23" s="550"/>
      <c r="AR23" s="549"/>
      <c r="AS23" s="551"/>
      <c r="AT23" s="551"/>
      <c r="AU23" s="552"/>
      <c r="AV23" s="552"/>
      <c r="AW23" s="552"/>
      <c r="AX23" s="552"/>
      <c r="AY23" s="552"/>
      <c r="AZ23" s="551"/>
      <c r="BA23" s="551"/>
      <c r="BB23" s="549">
        <v>7</v>
      </c>
      <c r="BC23" s="553" t="s">
        <v>67</v>
      </c>
      <c r="BD23" s="525">
        <f t="shared" ref="BD23" si="16">SUM(S23:BC23)</f>
        <v>87</v>
      </c>
      <c r="BE23" s="303"/>
    </row>
    <row r="24" spans="1:57" x14ac:dyDescent="0.2">
      <c r="A24" s="302"/>
      <c r="B24" s="753"/>
      <c r="C24" s="456" t="s">
        <v>77</v>
      </c>
      <c r="D24" s="472"/>
      <c r="E24" s="473">
        <f t="shared" ref="E24" si="17">(D24+M24)*0.0483</f>
        <v>0</v>
      </c>
      <c r="F24" s="473">
        <f t="shared" ref="F24" si="18">(D24+M24)*0.0165</f>
        <v>0</v>
      </c>
      <c r="G24" s="473">
        <f t="shared" ref="G24" si="19">(D24+M24)*0.2/100</f>
        <v>0</v>
      </c>
      <c r="H24" s="473">
        <f t="shared" ref="H24" si="20">D24*$O$16</f>
        <v>0</v>
      </c>
      <c r="I24" s="459">
        <f t="shared" si="6"/>
        <v>0</v>
      </c>
      <c r="J24" s="215"/>
      <c r="K24" s="216" t="str">
        <f t="shared" si="7"/>
        <v xml:space="preserve"> </v>
      </c>
      <c r="L24" s="250" t="str">
        <f t="shared" ref="L24" si="21">IF(ISBLANK(J24)," ",IF(J24-I24&lt;0.01," ",J24-I24))</f>
        <v xml:space="preserve"> </v>
      </c>
      <c r="M24" s="233"/>
      <c r="N24" s="303"/>
      <c r="O24" s="555" t="s">
        <v>141</v>
      </c>
      <c r="P24" s="556">
        <f>SUM(P20:P23)</f>
        <v>0</v>
      </c>
      <c r="Q24" s="238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526">
        <f>SUM(BD22:BD23)</f>
        <v>247</v>
      </c>
      <c r="BE24" s="303"/>
    </row>
    <row r="25" spans="1:57" x14ac:dyDescent="0.2">
      <c r="A25" s="302"/>
      <c r="B25" s="303"/>
      <c r="C25" s="303"/>
      <c r="D25" s="462">
        <f t="shared" ref="D25:J25" si="22">SUM(D10:D24)</f>
        <v>2898.1892000000003</v>
      </c>
      <c r="E25" s="462">
        <f t="shared" si="22"/>
        <v>157.30407024872002</v>
      </c>
      <c r="F25" s="463">
        <f t="shared" si="22"/>
        <v>30.999527103600006</v>
      </c>
      <c r="G25" s="463">
        <f t="shared" si="22"/>
        <v>5.8000184000000008</v>
      </c>
      <c r="H25" s="463">
        <f t="shared" si="22"/>
        <v>376.76459600000004</v>
      </c>
      <c r="I25" s="450">
        <f t="shared" si="22"/>
        <v>2327.3209882476804</v>
      </c>
      <c r="J25" s="450">
        <f t="shared" si="22"/>
        <v>2327.33</v>
      </c>
      <c r="K25" s="450"/>
      <c r="L25" s="253"/>
      <c r="M25" s="303"/>
      <c r="N25" s="303"/>
      <c r="O25" s="555" t="str">
        <f>+IF(P24&lt;P19,"Por coger",IF(P24&gt;P19,"Del año que viene"," "))</f>
        <v>Por coger</v>
      </c>
      <c r="P25" s="556">
        <f>ABS(P24-P19)</f>
        <v>2.2916666666666665</v>
      </c>
      <c r="Q25" s="238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525"/>
      <c r="BE25" s="303"/>
    </row>
    <row r="26" spans="1:57" x14ac:dyDescent="0.2">
      <c r="A26" s="302"/>
      <c r="B26" s="303"/>
      <c r="C26" s="303"/>
      <c r="D26" s="451">
        <f>D25-E25-H25-F25-G25</f>
        <v>2327.3209882476799</v>
      </c>
      <c r="E26" s="451"/>
      <c r="F26" s="451"/>
      <c r="G26" s="451"/>
      <c r="H26" s="451"/>
      <c r="I26" s="255"/>
      <c r="J26" s="255"/>
      <c r="K26" s="255"/>
      <c r="L26" s="255"/>
      <c r="M26" s="303"/>
      <c r="N26" s="303"/>
      <c r="O26" s="303"/>
      <c r="P26" s="303"/>
      <c r="Q26" s="238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525"/>
      <c r="BE26" s="303"/>
    </row>
    <row r="27" spans="1:57" x14ac:dyDescent="0.2">
      <c r="A27" s="302"/>
      <c r="B27" s="303"/>
      <c r="C27" s="303"/>
      <c r="D27" s="303"/>
      <c r="E27" s="303"/>
      <c r="F27" s="303"/>
      <c r="G27" s="303"/>
      <c r="H27" s="303"/>
      <c r="I27" s="342"/>
      <c r="J27" s="303"/>
      <c r="K27" s="303"/>
      <c r="L27" s="303"/>
      <c r="M27" s="303"/>
      <c r="N27" s="303"/>
      <c r="O27" s="323"/>
      <c r="P27" s="470"/>
      <c r="Q27" s="238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525"/>
      <c r="BE27" s="303"/>
    </row>
    <row r="28" spans="1:57" x14ac:dyDescent="0.2">
      <c r="A28" s="302"/>
      <c r="B28" s="303"/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  <c r="N28" s="303"/>
      <c r="O28" s="323"/>
      <c r="P28" s="303"/>
      <c r="Q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525"/>
      <c r="BE28" s="303"/>
    </row>
    <row r="29" spans="1:57" x14ac:dyDescent="0.2">
      <c r="A29" s="302"/>
      <c r="B29" s="303"/>
      <c r="C29" s="303"/>
      <c r="D29" s="303"/>
      <c r="E29" s="303"/>
      <c r="F29" s="303"/>
      <c r="G29" s="303"/>
      <c r="H29" s="303"/>
      <c r="I29" s="303"/>
      <c r="J29" s="303"/>
      <c r="K29" s="303"/>
      <c r="L29" s="303"/>
      <c r="M29" s="303"/>
      <c r="N29" s="303"/>
      <c r="O29" s="323"/>
      <c r="P29" s="303"/>
      <c r="Q29" s="303"/>
      <c r="AN29" s="303"/>
      <c r="AO29" s="303"/>
      <c r="AP29" s="303"/>
      <c r="AQ29" s="303"/>
      <c r="AR29" s="303"/>
      <c r="AS29" s="303"/>
      <c r="AT29" s="303"/>
      <c r="AU29" s="303"/>
      <c r="AV29" s="303"/>
      <c r="AW29" s="303"/>
      <c r="AX29" s="303"/>
      <c r="AY29" s="303"/>
      <c r="AZ29" s="303"/>
      <c r="BA29" s="303"/>
      <c r="BB29" s="303"/>
      <c r="BC29" s="303"/>
      <c r="BD29" s="525"/>
      <c r="BE29" s="303"/>
    </row>
    <row r="30" spans="1:57" x14ac:dyDescent="0.2">
      <c r="A30" s="302"/>
      <c r="B30" s="303"/>
      <c r="C30" s="303"/>
      <c r="D30" s="303"/>
      <c r="E30" s="303"/>
      <c r="F30" s="303"/>
      <c r="G30" s="303"/>
      <c r="H30" s="303"/>
      <c r="I30" s="303"/>
      <c r="J30" s="303"/>
      <c r="K30" s="303"/>
      <c r="L30" s="303"/>
      <c r="M30" s="303"/>
      <c r="N30" s="303"/>
      <c r="O30" s="323"/>
      <c r="P30" s="303"/>
      <c r="Q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526"/>
      <c r="BE30" s="303"/>
    </row>
    <row r="31" spans="1:57" x14ac:dyDescent="0.2">
      <c r="A31" s="302"/>
      <c r="B31" s="303"/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</row>
    <row r="32" spans="1:57" x14ac:dyDescent="0.2">
      <c r="A32" s="302"/>
      <c r="B32" s="303"/>
      <c r="C32" s="303"/>
      <c r="D32" s="303"/>
      <c r="E32" s="303"/>
      <c r="F32" s="303"/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  <c r="BE32" s="303"/>
    </row>
    <row r="33" spans="1:57" x14ac:dyDescent="0.2">
      <c r="A33" s="302"/>
      <c r="B33" s="303"/>
      <c r="C33" s="303"/>
      <c r="D33" s="303"/>
      <c r="E33" s="303"/>
      <c r="F33" s="303"/>
      <c r="G33" s="303"/>
      <c r="H33" s="303"/>
      <c r="I33" s="303"/>
      <c r="J33" s="303"/>
      <c r="K33" s="303"/>
      <c r="L33" s="303"/>
      <c r="M33" s="303"/>
      <c r="N33" s="303"/>
      <c r="O33" s="303"/>
      <c r="P33" s="303"/>
      <c r="Q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  <c r="BE33" s="303"/>
    </row>
    <row r="34" spans="1:57" s="303" customFormat="1" x14ac:dyDescent="0.2"/>
    <row r="35" spans="1:57" s="303" customFormat="1" x14ac:dyDescent="0.2"/>
    <row r="36" spans="1:57" s="303" customFormat="1" x14ac:dyDescent="0.2"/>
    <row r="37" spans="1:57" s="303" customFormat="1" x14ac:dyDescent="0.2"/>
    <row r="38" spans="1:57" s="303" customFormat="1" x14ac:dyDescent="0.2"/>
    <row r="39" spans="1:57" s="303" customFormat="1" x14ac:dyDescent="0.2"/>
    <row r="40" spans="1:57" s="303" customFormat="1" x14ac:dyDescent="0.2"/>
    <row r="41" spans="1:57" s="303" customFormat="1" x14ac:dyDescent="0.2"/>
    <row r="42" spans="1:57" s="303" customFormat="1" x14ac:dyDescent="0.2"/>
    <row r="43" spans="1:57" s="303" customFormat="1" x14ac:dyDescent="0.2"/>
    <row r="44" spans="1:57" s="303" customFormat="1" x14ac:dyDescent="0.2"/>
    <row r="45" spans="1:57" s="303" customFormat="1" x14ac:dyDescent="0.2"/>
    <row r="46" spans="1:57" s="303" customFormat="1" x14ac:dyDescent="0.2"/>
    <row r="47" spans="1:57" s="303" customFormat="1" x14ac:dyDescent="0.2"/>
    <row r="48" spans="1:57" s="303" customFormat="1" x14ac:dyDescent="0.2"/>
    <row r="49" s="303" customFormat="1" x14ac:dyDescent="0.2"/>
    <row r="50" s="303" customFormat="1" x14ac:dyDescent="0.2"/>
    <row r="51" s="303" customFormat="1" x14ac:dyDescent="0.2"/>
    <row r="52" s="303" customFormat="1" x14ac:dyDescent="0.2"/>
    <row r="53" s="303" customFormat="1" x14ac:dyDescent="0.2"/>
    <row r="54" s="303" customFormat="1" x14ac:dyDescent="0.2"/>
    <row r="55" s="303" customFormat="1" x14ac:dyDescent="0.2"/>
    <row r="56" s="303" customFormat="1" x14ac:dyDescent="0.2"/>
    <row r="57" s="303" customFormat="1" x14ac:dyDescent="0.2"/>
    <row r="58" s="303" customFormat="1" x14ac:dyDescent="0.2"/>
    <row r="59" s="303" customFormat="1" x14ac:dyDescent="0.2"/>
    <row r="60" s="303" customFormat="1" x14ac:dyDescent="0.2"/>
    <row r="61" s="303" customFormat="1" x14ac:dyDescent="0.2"/>
    <row r="62" s="303" customFormat="1" x14ac:dyDescent="0.2"/>
    <row r="63" s="303" customFormat="1" x14ac:dyDescent="0.2"/>
    <row r="64" s="303" customFormat="1" x14ac:dyDescent="0.2"/>
    <row r="65" s="303" customFormat="1" x14ac:dyDescent="0.2"/>
    <row r="66" s="303" customFormat="1" x14ac:dyDescent="0.2"/>
    <row r="67" s="303" customFormat="1" x14ac:dyDescent="0.2"/>
    <row r="68" s="303" customFormat="1" x14ac:dyDescent="0.2"/>
    <row r="69" s="303" customFormat="1" x14ac:dyDescent="0.2"/>
    <row r="70" s="303" customFormat="1" x14ac:dyDescent="0.2"/>
    <row r="71" s="303" customFormat="1" x14ac:dyDescent="0.2"/>
    <row r="72" s="303" customFormat="1" x14ac:dyDescent="0.2"/>
    <row r="73" s="303" customFormat="1" x14ac:dyDescent="0.2"/>
    <row r="74" s="303" customFormat="1" x14ac:dyDescent="0.2"/>
    <row r="75" s="303" customFormat="1" x14ac:dyDescent="0.2"/>
    <row r="76" s="303" customFormat="1" x14ac:dyDescent="0.2"/>
    <row r="77" s="303" customFormat="1" x14ac:dyDescent="0.2"/>
    <row r="78" s="303" customFormat="1" x14ac:dyDescent="0.2"/>
    <row r="79" s="303" customFormat="1" x14ac:dyDescent="0.2"/>
    <row r="80" s="303" customFormat="1" x14ac:dyDescent="0.2"/>
    <row r="81" s="303" customFormat="1" x14ac:dyDescent="0.2"/>
    <row r="82" s="303" customFormat="1" x14ac:dyDescent="0.2"/>
    <row r="83" s="303" customFormat="1" x14ac:dyDescent="0.2"/>
    <row r="84" s="303" customFormat="1" x14ac:dyDescent="0.2"/>
    <row r="85" s="303" customFormat="1" x14ac:dyDescent="0.2"/>
    <row r="86" s="303" customFormat="1" x14ac:dyDescent="0.2"/>
    <row r="87" s="303" customFormat="1" x14ac:dyDescent="0.2"/>
    <row r="88" s="303" customFormat="1" x14ac:dyDescent="0.2"/>
    <row r="89" s="303" customFormat="1" x14ac:dyDescent="0.2"/>
    <row r="90" s="303" customFormat="1" x14ac:dyDescent="0.2"/>
    <row r="91" s="303" customFormat="1" x14ac:dyDescent="0.2"/>
    <row r="92" s="303" customFormat="1" x14ac:dyDescent="0.2"/>
    <row r="93" s="303" customFormat="1" x14ac:dyDescent="0.2"/>
    <row r="94" s="303" customFormat="1" x14ac:dyDescent="0.2"/>
    <row r="95" s="303" customFormat="1" x14ac:dyDescent="0.2"/>
    <row r="96" s="303" customFormat="1" x14ac:dyDescent="0.2"/>
    <row r="97" s="303" customFormat="1" x14ac:dyDescent="0.2"/>
    <row r="98" s="303" customFormat="1" x14ac:dyDescent="0.2"/>
    <row r="99" s="303" customFormat="1" x14ac:dyDescent="0.2"/>
    <row r="100" s="303" customFormat="1" x14ac:dyDescent="0.2"/>
    <row r="101" s="303" customFormat="1" x14ac:dyDescent="0.2"/>
    <row r="102" s="303" customFormat="1" x14ac:dyDescent="0.2"/>
    <row r="103" s="303" customFormat="1" x14ac:dyDescent="0.2"/>
    <row r="104" s="303" customFormat="1" x14ac:dyDescent="0.2"/>
    <row r="105" s="303" customFormat="1" x14ac:dyDescent="0.2"/>
    <row r="106" s="303" customFormat="1" x14ac:dyDescent="0.2"/>
    <row r="107" s="303" customFormat="1" x14ac:dyDescent="0.2"/>
    <row r="108" s="303" customFormat="1" x14ac:dyDescent="0.2"/>
    <row r="109" s="303" customFormat="1" x14ac:dyDescent="0.2"/>
    <row r="110" s="303" customFormat="1" x14ac:dyDescent="0.2"/>
    <row r="111" s="303" customFormat="1" x14ac:dyDescent="0.2"/>
    <row r="112" s="303" customFormat="1" x14ac:dyDescent="0.2"/>
    <row r="113" s="303" customFormat="1" x14ac:dyDescent="0.2"/>
    <row r="114" s="303" customFormat="1" x14ac:dyDescent="0.2"/>
    <row r="115" s="303" customFormat="1" x14ac:dyDescent="0.2"/>
    <row r="116" s="303" customFormat="1" x14ac:dyDescent="0.2"/>
    <row r="117" s="303" customFormat="1" x14ac:dyDescent="0.2"/>
    <row r="118" s="303" customFormat="1" x14ac:dyDescent="0.2"/>
    <row r="119" s="303" customFormat="1" x14ac:dyDescent="0.2"/>
    <row r="120" s="303" customFormat="1" x14ac:dyDescent="0.2"/>
    <row r="121" s="303" customFormat="1" x14ac:dyDescent="0.2"/>
    <row r="122" s="303" customFormat="1" x14ac:dyDescent="0.2"/>
    <row r="123" s="303" customFormat="1" x14ac:dyDescent="0.2"/>
    <row r="124" s="303" customFormat="1" x14ac:dyDescent="0.2"/>
    <row r="125" s="303" customFormat="1" x14ac:dyDescent="0.2"/>
    <row r="126" s="303" customFormat="1" x14ac:dyDescent="0.2"/>
    <row r="127" s="303" customFormat="1" x14ac:dyDescent="0.2"/>
    <row r="128" s="303" customFormat="1" x14ac:dyDescent="0.2"/>
    <row r="129" s="303" customFormat="1" x14ac:dyDescent="0.2"/>
    <row r="130" s="303" customFormat="1" x14ac:dyDescent="0.2"/>
    <row r="131" s="303" customFormat="1" x14ac:dyDescent="0.2"/>
    <row r="132" s="303" customFormat="1" x14ac:dyDescent="0.2"/>
    <row r="133" s="303" customFormat="1" x14ac:dyDescent="0.2"/>
    <row r="134" s="303" customFormat="1" x14ac:dyDescent="0.2"/>
    <row r="135" s="303" customFormat="1" x14ac:dyDescent="0.2"/>
    <row r="136" s="303" customFormat="1" x14ac:dyDescent="0.2"/>
    <row r="137" s="303" customFormat="1" x14ac:dyDescent="0.2"/>
    <row r="138" s="303" customFormat="1" x14ac:dyDescent="0.2"/>
    <row r="139" s="303" customFormat="1" x14ac:dyDescent="0.2"/>
    <row r="140" s="303" customFormat="1" x14ac:dyDescent="0.2"/>
    <row r="141" s="303" customFormat="1" x14ac:dyDescent="0.2"/>
    <row r="142" s="303" customFormat="1" x14ac:dyDescent="0.2"/>
    <row r="143" s="303" customFormat="1" x14ac:dyDescent="0.2"/>
    <row r="144" s="303" customFormat="1" x14ac:dyDescent="0.2"/>
    <row r="145" s="303" customFormat="1" x14ac:dyDescent="0.2"/>
    <row r="146" s="303" customFormat="1" x14ac:dyDescent="0.2"/>
    <row r="147" s="303" customFormat="1" x14ac:dyDescent="0.2"/>
    <row r="148" s="303" customFormat="1" x14ac:dyDescent="0.2"/>
    <row r="149" s="303" customFormat="1" x14ac:dyDescent="0.2"/>
    <row r="150" s="303" customFormat="1" x14ac:dyDescent="0.2"/>
    <row r="151" s="303" customFormat="1" x14ac:dyDescent="0.2"/>
    <row r="152" s="303" customFormat="1" x14ac:dyDescent="0.2"/>
    <row r="153" s="303" customFormat="1" x14ac:dyDescent="0.2"/>
    <row r="154" s="303" customFormat="1" x14ac:dyDescent="0.2"/>
    <row r="155" s="303" customFormat="1" x14ac:dyDescent="0.2"/>
    <row r="156" s="303" customFormat="1" x14ac:dyDescent="0.2"/>
    <row r="157" s="303" customFormat="1" x14ac:dyDescent="0.2"/>
    <row r="158" s="303" customFormat="1" x14ac:dyDescent="0.2"/>
    <row r="159" s="303" customFormat="1" x14ac:dyDescent="0.2"/>
    <row r="160" s="303" customFormat="1" x14ac:dyDescent="0.2"/>
    <row r="161" s="303" customFormat="1" x14ac:dyDescent="0.2"/>
    <row r="162" s="303" customFormat="1" x14ac:dyDescent="0.2"/>
    <row r="163" s="303" customFormat="1" x14ac:dyDescent="0.2"/>
    <row r="164" s="303" customFormat="1" x14ac:dyDescent="0.2"/>
    <row r="165" s="303" customFormat="1" x14ac:dyDescent="0.2"/>
    <row r="166" s="303" customFormat="1" x14ac:dyDescent="0.2"/>
    <row r="167" s="303" customFormat="1" x14ac:dyDescent="0.2"/>
    <row r="168" s="303" customFormat="1" x14ac:dyDescent="0.2"/>
    <row r="169" s="303" customFormat="1" x14ac:dyDescent="0.2"/>
    <row r="170" s="303" customFormat="1" x14ac:dyDescent="0.2"/>
    <row r="171" s="303" customFormat="1" x14ac:dyDescent="0.2"/>
    <row r="172" s="303" customFormat="1" x14ac:dyDescent="0.2"/>
    <row r="173" s="303" customFormat="1" x14ac:dyDescent="0.2"/>
    <row r="174" s="303" customFormat="1" x14ac:dyDescent="0.2"/>
    <row r="175" s="303" customFormat="1" x14ac:dyDescent="0.2"/>
    <row r="176" s="303" customFormat="1" x14ac:dyDescent="0.2"/>
    <row r="177" s="303" customFormat="1" x14ac:dyDescent="0.2"/>
    <row r="178" s="303" customFormat="1" x14ac:dyDescent="0.2"/>
    <row r="179" s="303" customFormat="1" x14ac:dyDescent="0.2"/>
    <row r="180" s="303" customFormat="1" x14ac:dyDescent="0.2"/>
    <row r="181" s="303" customFormat="1" x14ac:dyDescent="0.2"/>
    <row r="182" s="303" customFormat="1" x14ac:dyDescent="0.2"/>
    <row r="183" s="303" customFormat="1" x14ac:dyDescent="0.2"/>
    <row r="184" s="303" customFormat="1" x14ac:dyDescent="0.2"/>
    <row r="185" s="303" customFormat="1" x14ac:dyDescent="0.2"/>
    <row r="186" s="303" customFormat="1" x14ac:dyDescent="0.2"/>
    <row r="187" s="303" customFormat="1" x14ac:dyDescent="0.2"/>
    <row r="188" s="303" customFormat="1" x14ac:dyDescent="0.2"/>
    <row r="189" s="303" customFormat="1" x14ac:dyDescent="0.2"/>
    <row r="190" s="303" customFormat="1" x14ac:dyDescent="0.2"/>
    <row r="191" s="303" customFormat="1" x14ac:dyDescent="0.2"/>
    <row r="192" s="303" customFormat="1" x14ac:dyDescent="0.2"/>
    <row r="193" s="303" customFormat="1" x14ac:dyDescent="0.2"/>
    <row r="194" s="303" customFormat="1" x14ac:dyDescent="0.2"/>
    <row r="195" s="303" customFormat="1" x14ac:dyDescent="0.2"/>
    <row r="196" s="303" customFormat="1" x14ac:dyDescent="0.2"/>
    <row r="197" s="303" customFormat="1" x14ac:dyDescent="0.2"/>
    <row r="198" s="303" customFormat="1" x14ac:dyDescent="0.2"/>
    <row r="199" s="303" customFormat="1" x14ac:dyDescent="0.2"/>
    <row r="200" s="303" customFormat="1" x14ac:dyDescent="0.2"/>
    <row r="201" s="303" customFormat="1" x14ac:dyDescent="0.2"/>
    <row r="202" s="303" customFormat="1" x14ac:dyDescent="0.2"/>
    <row r="203" s="303" customFormat="1" x14ac:dyDescent="0.2"/>
    <row r="204" s="303" customFormat="1" x14ac:dyDescent="0.2"/>
    <row r="205" s="303" customFormat="1" x14ac:dyDescent="0.2"/>
    <row r="206" s="303" customFormat="1" x14ac:dyDescent="0.2"/>
    <row r="207" s="303" customFormat="1" x14ac:dyDescent="0.2"/>
    <row r="208" s="303" customFormat="1" x14ac:dyDescent="0.2"/>
    <row r="209" s="303" customFormat="1" x14ac:dyDescent="0.2"/>
    <row r="210" s="303" customFormat="1" x14ac:dyDescent="0.2"/>
    <row r="211" s="303" customFormat="1" x14ac:dyDescent="0.2"/>
    <row r="212" s="303" customFormat="1" x14ac:dyDescent="0.2"/>
    <row r="213" s="303" customFormat="1" x14ac:dyDescent="0.2"/>
    <row r="214" s="303" customFormat="1" x14ac:dyDescent="0.2"/>
    <row r="215" s="303" customFormat="1" x14ac:dyDescent="0.2"/>
    <row r="216" s="303" customFormat="1" x14ac:dyDescent="0.2"/>
    <row r="217" s="303" customFormat="1" x14ac:dyDescent="0.2"/>
    <row r="218" s="303" customFormat="1" x14ac:dyDescent="0.2"/>
    <row r="219" s="303" customFormat="1" x14ac:dyDescent="0.2"/>
    <row r="220" s="303" customFormat="1" x14ac:dyDescent="0.2"/>
    <row r="221" s="303" customFormat="1" x14ac:dyDescent="0.2"/>
    <row r="222" s="303" customFormat="1" x14ac:dyDescent="0.2"/>
    <row r="223" s="303" customFormat="1" x14ac:dyDescent="0.2"/>
    <row r="224" s="303" customFormat="1" x14ac:dyDescent="0.2"/>
    <row r="225" s="303" customFormat="1" x14ac:dyDescent="0.2"/>
    <row r="226" s="303" customFormat="1" x14ac:dyDescent="0.2"/>
    <row r="227" s="303" customFormat="1" x14ac:dyDescent="0.2"/>
    <row r="228" s="303" customFormat="1" x14ac:dyDescent="0.2"/>
    <row r="229" s="303" customFormat="1" x14ac:dyDescent="0.2"/>
    <row r="230" s="303" customFormat="1" x14ac:dyDescent="0.2"/>
    <row r="231" s="303" customFormat="1" x14ac:dyDescent="0.2"/>
    <row r="232" s="303" customFormat="1" x14ac:dyDescent="0.2"/>
    <row r="233" s="303" customFormat="1" x14ac:dyDescent="0.2"/>
    <row r="234" s="303" customFormat="1" x14ac:dyDescent="0.2"/>
    <row r="235" s="303" customFormat="1" x14ac:dyDescent="0.2"/>
    <row r="236" s="303" customFormat="1" x14ac:dyDescent="0.2"/>
    <row r="237" s="303" customFormat="1" x14ac:dyDescent="0.2"/>
    <row r="238" s="303" customFormat="1" x14ac:dyDescent="0.2"/>
    <row r="239" s="303" customFormat="1" x14ac:dyDescent="0.2"/>
    <row r="240" s="303" customFormat="1" x14ac:dyDescent="0.2"/>
    <row r="241" s="303" customFormat="1" x14ac:dyDescent="0.2"/>
    <row r="242" s="303" customFormat="1" x14ac:dyDescent="0.2"/>
    <row r="243" s="303" customFormat="1" x14ac:dyDescent="0.2"/>
    <row r="244" s="303" customFormat="1" x14ac:dyDescent="0.2"/>
    <row r="245" s="303" customFormat="1" x14ac:dyDescent="0.2"/>
    <row r="246" s="303" customFormat="1" x14ac:dyDescent="0.2"/>
    <row r="247" s="303" customFormat="1" x14ac:dyDescent="0.2"/>
    <row r="248" s="303" customFormat="1" x14ac:dyDescent="0.2"/>
    <row r="249" s="303" customFormat="1" x14ac:dyDescent="0.2"/>
    <row r="250" s="303" customFormat="1" x14ac:dyDescent="0.2"/>
    <row r="251" s="303" customFormat="1" x14ac:dyDescent="0.2"/>
    <row r="252" s="303" customFormat="1" x14ac:dyDescent="0.2"/>
    <row r="253" s="303" customFormat="1" x14ac:dyDescent="0.2"/>
    <row r="254" s="303" customFormat="1" x14ac:dyDescent="0.2"/>
    <row r="255" s="303" customFormat="1" x14ac:dyDescent="0.2"/>
    <row r="256" s="303" customFormat="1" x14ac:dyDescent="0.2"/>
    <row r="257" s="303" customFormat="1" x14ac:dyDescent="0.2"/>
    <row r="258" s="303" customFormat="1" x14ac:dyDescent="0.2"/>
    <row r="259" s="303" customFormat="1" x14ac:dyDescent="0.2"/>
    <row r="260" s="303" customFormat="1" x14ac:dyDescent="0.2"/>
    <row r="261" s="303" customFormat="1" x14ac:dyDescent="0.2"/>
    <row r="262" s="303" customFormat="1" x14ac:dyDescent="0.2"/>
    <row r="263" s="303" customFormat="1" x14ac:dyDescent="0.2"/>
    <row r="264" s="303" customFormat="1" x14ac:dyDescent="0.2"/>
    <row r="265" s="303" customFormat="1" x14ac:dyDescent="0.2"/>
    <row r="266" s="303" customFormat="1" x14ac:dyDescent="0.2"/>
    <row r="267" s="303" customFormat="1" x14ac:dyDescent="0.2"/>
    <row r="268" s="303" customFormat="1" x14ac:dyDescent="0.2"/>
    <row r="269" s="303" customFormat="1" x14ac:dyDescent="0.2"/>
    <row r="270" s="303" customFormat="1" x14ac:dyDescent="0.2"/>
    <row r="271" s="303" customFormat="1" x14ac:dyDescent="0.2"/>
    <row r="272" s="303" customFormat="1" x14ac:dyDescent="0.2"/>
    <row r="273" s="303" customFormat="1" x14ac:dyDescent="0.2"/>
    <row r="274" s="303" customFormat="1" x14ac:dyDescent="0.2"/>
    <row r="275" s="303" customFormat="1" x14ac:dyDescent="0.2"/>
    <row r="276" s="303" customFormat="1" x14ac:dyDescent="0.2"/>
    <row r="277" s="303" customFormat="1" x14ac:dyDescent="0.2"/>
    <row r="278" s="303" customFormat="1" x14ac:dyDescent="0.2"/>
    <row r="279" s="303" customFormat="1" x14ac:dyDescent="0.2"/>
    <row r="280" s="303" customFormat="1" x14ac:dyDescent="0.2"/>
    <row r="281" s="303" customFormat="1" x14ac:dyDescent="0.2"/>
    <row r="282" s="303" customFormat="1" x14ac:dyDescent="0.2"/>
    <row r="283" s="303" customFormat="1" x14ac:dyDescent="0.2"/>
    <row r="284" s="303" customFormat="1" x14ac:dyDescent="0.2"/>
    <row r="285" s="303" customFormat="1" x14ac:dyDescent="0.2"/>
    <row r="286" s="303" customFormat="1" x14ac:dyDescent="0.2"/>
    <row r="287" s="303" customFormat="1" x14ac:dyDescent="0.2"/>
    <row r="288" s="303" customFormat="1" x14ac:dyDescent="0.2"/>
    <row r="289" s="303" customFormat="1" x14ac:dyDescent="0.2"/>
    <row r="290" s="303" customFormat="1" x14ac:dyDescent="0.2"/>
    <row r="291" s="303" customFormat="1" x14ac:dyDescent="0.2"/>
    <row r="292" s="303" customFormat="1" x14ac:dyDescent="0.2"/>
    <row r="293" s="303" customFormat="1" x14ac:dyDescent="0.2"/>
    <row r="294" s="303" customFormat="1" x14ac:dyDescent="0.2"/>
    <row r="295" s="303" customFormat="1" x14ac:dyDescent="0.2"/>
    <row r="296" s="303" customFormat="1" x14ac:dyDescent="0.2"/>
    <row r="297" s="303" customFormat="1" x14ac:dyDescent="0.2"/>
    <row r="298" s="303" customFormat="1" x14ac:dyDescent="0.2"/>
    <row r="299" s="303" customFormat="1" x14ac:dyDescent="0.2"/>
    <row r="300" s="303" customFormat="1" x14ac:dyDescent="0.2"/>
    <row r="301" s="303" customFormat="1" x14ac:dyDescent="0.2"/>
    <row r="302" s="303" customFormat="1" x14ac:dyDescent="0.2"/>
    <row r="303" s="303" customFormat="1" x14ac:dyDescent="0.2"/>
    <row r="304" s="303" customFormat="1" x14ac:dyDescent="0.2"/>
    <row r="305" s="303" customFormat="1" x14ac:dyDescent="0.2"/>
    <row r="306" s="303" customFormat="1" x14ac:dyDescent="0.2"/>
    <row r="307" s="303" customFormat="1" x14ac:dyDescent="0.2"/>
    <row r="308" s="303" customFormat="1" x14ac:dyDescent="0.2"/>
    <row r="309" s="303" customFormat="1" x14ac:dyDescent="0.2"/>
    <row r="310" s="303" customFormat="1" x14ac:dyDescent="0.2"/>
    <row r="311" s="303" customFormat="1" x14ac:dyDescent="0.2"/>
    <row r="312" s="303" customFormat="1" x14ac:dyDescent="0.2"/>
    <row r="313" s="303" customFormat="1" x14ac:dyDescent="0.2"/>
    <row r="314" s="303" customFormat="1" x14ac:dyDescent="0.2"/>
    <row r="315" s="303" customFormat="1" x14ac:dyDescent="0.2"/>
    <row r="316" s="303" customFormat="1" x14ac:dyDescent="0.2"/>
    <row r="317" s="303" customFormat="1" x14ac:dyDescent="0.2"/>
    <row r="318" s="303" customFormat="1" x14ac:dyDescent="0.2"/>
    <row r="319" s="303" customFormat="1" x14ac:dyDescent="0.2"/>
    <row r="320" s="303" customFormat="1" x14ac:dyDescent="0.2"/>
    <row r="321" s="303" customFormat="1" x14ac:dyDescent="0.2"/>
    <row r="322" s="303" customFormat="1" x14ac:dyDescent="0.2"/>
    <row r="323" s="303" customFormat="1" x14ac:dyDescent="0.2"/>
    <row r="324" s="303" customFormat="1" x14ac:dyDescent="0.2"/>
    <row r="325" s="303" customFormat="1" x14ac:dyDescent="0.2"/>
    <row r="326" s="303" customFormat="1" x14ac:dyDescent="0.2"/>
    <row r="327" s="303" customFormat="1" x14ac:dyDescent="0.2"/>
    <row r="328" s="303" customFormat="1" x14ac:dyDescent="0.2"/>
    <row r="329" s="303" customFormat="1" x14ac:dyDescent="0.2"/>
    <row r="330" s="303" customFormat="1" x14ac:dyDescent="0.2"/>
    <row r="331" s="303" customFormat="1" x14ac:dyDescent="0.2"/>
    <row r="332" s="303" customFormat="1" x14ac:dyDescent="0.2"/>
    <row r="333" s="303" customFormat="1" x14ac:dyDescent="0.2"/>
    <row r="334" s="303" customFormat="1" x14ac:dyDescent="0.2"/>
    <row r="335" s="303" customFormat="1" x14ac:dyDescent="0.2"/>
    <row r="336" s="303" customFormat="1" x14ac:dyDescent="0.2"/>
    <row r="337" s="303" customFormat="1" x14ac:dyDescent="0.2"/>
    <row r="338" s="303" customFormat="1" x14ac:dyDescent="0.2"/>
    <row r="339" s="303" customFormat="1" x14ac:dyDescent="0.2"/>
    <row r="340" s="303" customFormat="1" x14ac:dyDescent="0.2"/>
    <row r="341" s="303" customFormat="1" x14ac:dyDescent="0.2"/>
    <row r="342" s="303" customFormat="1" x14ac:dyDescent="0.2"/>
    <row r="343" s="303" customFormat="1" x14ac:dyDescent="0.2"/>
    <row r="344" s="303" customFormat="1" x14ac:dyDescent="0.2"/>
    <row r="345" s="303" customFormat="1" x14ac:dyDescent="0.2"/>
    <row r="346" s="303" customFormat="1" x14ac:dyDescent="0.2"/>
    <row r="347" s="303" customFormat="1" x14ac:dyDescent="0.2"/>
    <row r="348" s="303" customFormat="1" x14ac:dyDescent="0.2"/>
    <row r="349" s="303" customFormat="1" x14ac:dyDescent="0.2"/>
    <row r="350" s="303" customFormat="1" x14ac:dyDescent="0.2"/>
    <row r="351" s="303" customFormat="1" x14ac:dyDescent="0.2"/>
    <row r="352" s="303" customFormat="1" x14ac:dyDescent="0.2"/>
    <row r="353" s="303" customFormat="1" x14ac:dyDescent="0.2"/>
    <row r="354" s="303" customFormat="1" x14ac:dyDescent="0.2"/>
    <row r="355" s="303" customFormat="1" x14ac:dyDescent="0.2"/>
    <row r="356" s="303" customFormat="1" x14ac:dyDescent="0.2"/>
    <row r="357" s="303" customFormat="1" x14ac:dyDescent="0.2"/>
    <row r="358" s="303" customFormat="1" x14ac:dyDescent="0.2"/>
    <row r="359" s="303" customFormat="1" x14ac:dyDescent="0.2"/>
    <row r="360" s="303" customFormat="1" x14ac:dyDescent="0.2"/>
    <row r="361" s="303" customFormat="1" x14ac:dyDescent="0.2"/>
    <row r="362" s="303" customFormat="1" x14ac:dyDescent="0.2"/>
    <row r="363" s="303" customFormat="1" x14ac:dyDescent="0.2"/>
    <row r="364" s="303" customFormat="1" x14ac:dyDescent="0.2"/>
    <row r="365" s="303" customFormat="1" x14ac:dyDescent="0.2"/>
    <row r="366" s="303" customFormat="1" x14ac:dyDescent="0.2"/>
    <row r="367" s="303" customFormat="1" x14ac:dyDescent="0.2"/>
    <row r="368" s="303" customFormat="1" x14ac:dyDescent="0.2"/>
    <row r="369" s="303" customFormat="1" x14ac:dyDescent="0.2"/>
    <row r="370" s="303" customFormat="1" x14ac:dyDescent="0.2"/>
    <row r="371" s="303" customFormat="1" x14ac:dyDescent="0.2"/>
    <row r="372" s="303" customFormat="1" x14ac:dyDescent="0.2"/>
    <row r="373" s="303" customFormat="1" x14ac:dyDescent="0.2"/>
    <row r="374" s="303" customFormat="1" x14ac:dyDescent="0.2"/>
    <row r="375" s="303" customFormat="1" x14ac:dyDescent="0.2"/>
    <row r="376" s="303" customFormat="1" x14ac:dyDescent="0.2"/>
    <row r="377" s="303" customFormat="1" x14ac:dyDescent="0.2"/>
    <row r="378" s="303" customFormat="1" x14ac:dyDescent="0.2"/>
    <row r="379" s="303" customFormat="1" x14ac:dyDescent="0.2"/>
    <row r="380" s="303" customFormat="1" x14ac:dyDescent="0.2"/>
    <row r="381" s="303" customFormat="1" x14ac:dyDescent="0.2"/>
    <row r="382" s="303" customFormat="1" x14ac:dyDescent="0.2"/>
    <row r="383" s="303" customFormat="1" x14ac:dyDescent="0.2"/>
    <row r="384" s="303" customFormat="1" x14ac:dyDescent="0.2"/>
    <row r="385" s="303" customFormat="1" x14ac:dyDescent="0.2"/>
    <row r="386" s="303" customFormat="1" x14ac:dyDescent="0.2"/>
    <row r="387" s="303" customFormat="1" x14ac:dyDescent="0.2"/>
    <row r="388" s="303" customFormat="1" x14ac:dyDescent="0.2"/>
    <row r="389" s="303" customFormat="1" x14ac:dyDescent="0.2"/>
    <row r="390" s="303" customFormat="1" x14ac:dyDescent="0.2"/>
    <row r="391" s="303" customFormat="1" x14ac:dyDescent="0.2"/>
    <row r="392" s="303" customFormat="1" x14ac:dyDescent="0.2"/>
    <row r="393" s="303" customFormat="1" x14ac:dyDescent="0.2"/>
    <row r="394" s="303" customFormat="1" x14ac:dyDescent="0.2"/>
    <row r="395" s="303" customFormat="1" x14ac:dyDescent="0.2"/>
    <row r="396" s="303" customFormat="1" x14ac:dyDescent="0.2"/>
    <row r="397" s="303" customFormat="1" x14ac:dyDescent="0.2"/>
    <row r="398" s="303" customFormat="1" x14ac:dyDescent="0.2"/>
    <row r="399" s="303" customFormat="1" x14ac:dyDescent="0.2"/>
    <row r="400" s="303" customFormat="1" x14ac:dyDescent="0.2"/>
    <row r="401" s="303" customFormat="1" x14ac:dyDescent="0.2"/>
    <row r="402" s="303" customFormat="1" x14ac:dyDescent="0.2"/>
    <row r="403" s="303" customFormat="1" x14ac:dyDescent="0.2"/>
    <row r="404" s="303" customFormat="1" x14ac:dyDescent="0.2"/>
    <row r="405" s="303" customFormat="1" x14ac:dyDescent="0.2"/>
    <row r="406" s="303" customFormat="1" x14ac:dyDescent="0.2"/>
    <row r="407" s="303" customFormat="1" x14ac:dyDescent="0.2"/>
    <row r="408" s="303" customFormat="1" x14ac:dyDescent="0.2"/>
    <row r="409" s="303" customFormat="1" x14ac:dyDescent="0.2"/>
    <row r="410" s="303" customFormat="1" x14ac:dyDescent="0.2"/>
    <row r="411" s="303" customFormat="1" x14ac:dyDescent="0.2"/>
    <row r="412" s="303" customFormat="1" x14ac:dyDescent="0.2"/>
    <row r="413" s="303" customFormat="1" x14ac:dyDescent="0.2"/>
    <row r="414" s="303" customFormat="1" x14ac:dyDescent="0.2"/>
    <row r="415" s="303" customFormat="1" x14ac:dyDescent="0.2"/>
    <row r="416" s="303" customFormat="1" x14ac:dyDescent="0.2"/>
    <row r="417" s="303" customFormat="1" x14ac:dyDescent="0.2"/>
    <row r="418" s="303" customFormat="1" x14ac:dyDescent="0.2"/>
    <row r="419" s="303" customFormat="1" x14ac:dyDescent="0.2"/>
    <row r="420" s="303" customFormat="1" x14ac:dyDescent="0.2"/>
    <row r="421" s="303" customFormat="1" x14ac:dyDescent="0.2"/>
    <row r="422" s="303" customFormat="1" x14ac:dyDescent="0.2"/>
    <row r="423" s="303" customFormat="1" x14ac:dyDescent="0.2"/>
    <row r="424" s="303" customFormat="1" x14ac:dyDescent="0.2"/>
    <row r="425" s="303" customFormat="1" x14ac:dyDescent="0.2"/>
    <row r="426" s="303" customFormat="1" x14ac:dyDescent="0.2"/>
    <row r="427" s="303" customFormat="1" x14ac:dyDescent="0.2"/>
    <row r="428" s="303" customFormat="1" x14ac:dyDescent="0.2"/>
    <row r="429" s="303" customFormat="1" x14ac:dyDescent="0.2"/>
    <row r="430" s="303" customFormat="1" x14ac:dyDescent="0.2"/>
    <row r="431" s="303" customFormat="1" x14ac:dyDescent="0.2"/>
    <row r="432" s="303" customFormat="1" x14ac:dyDescent="0.2"/>
    <row r="433" s="303" customFormat="1" x14ac:dyDescent="0.2"/>
    <row r="434" s="303" customFormat="1" x14ac:dyDescent="0.2"/>
    <row r="435" s="303" customFormat="1" x14ac:dyDescent="0.2"/>
    <row r="436" s="303" customFormat="1" x14ac:dyDescent="0.2"/>
    <row r="437" s="303" customFormat="1" x14ac:dyDescent="0.2"/>
    <row r="438" s="303" customFormat="1" x14ac:dyDescent="0.2"/>
    <row r="439" s="303" customFormat="1" x14ac:dyDescent="0.2"/>
    <row r="440" s="303" customFormat="1" x14ac:dyDescent="0.2"/>
    <row r="441" s="303" customFormat="1" x14ac:dyDescent="0.2"/>
    <row r="442" s="303" customFormat="1" x14ac:dyDescent="0.2"/>
    <row r="443" s="303" customFormat="1" x14ac:dyDescent="0.2"/>
    <row r="444" s="303" customFormat="1" x14ac:dyDescent="0.2"/>
    <row r="445" s="303" customFormat="1" x14ac:dyDescent="0.2"/>
    <row r="446" s="303" customFormat="1" x14ac:dyDescent="0.2"/>
    <row r="447" s="303" customFormat="1" x14ac:dyDescent="0.2"/>
    <row r="448" s="303" customFormat="1" x14ac:dyDescent="0.2"/>
    <row r="449" s="303" customFormat="1" x14ac:dyDescent="0.2"/>
    <row r="450" s="303" customFormat="1" x14ac:dyDescent="0.2"/>
    <row r="451" s="303" customFormat="1" x14ac:dyDescent="0.2"/>
    <row r="452" s="303" customFormat="1" x14ac:dyDescent="0.2"/>
    <row r="453" s="303" customFormat="1" x14ac:dyDescent="0.2"/>
    <row r="454" s="303" customFormat="1" x14ac:dyDescent="0.2"/>
    <row r="455" s="303" customFormat="1" x14ac:dyDescent="0.2"/>
    <row r="456" s="303" customFormat="1" x14ac:dyDescent="0.2"/>
    <row r="457" s="303" customFormat="1" x14ac:dyDescent="0.2"/>
    <row r="458" s="303" customFormat="1" x14ac:dyDescent="0.2"/>
    <row r="459" s="303" customFormat="1" x14ac:dyDescent="0.2"/>
    <row r="460" s="303" customFormat="1" x14ac:dyDescent="0.2"/>
    <row r="461" s="303" customFormat="1" x14ac:dyDescent="0.2"/>
    <row r="462" s="303" customFormat="1" x14ac:dyDescent="0.2"/>
    <row r="463" s="303" customFormat="1" x14ac:dyDescent="0.2"/>
    <row r="464" s="303" customFormat="1" x14ac:dyDescent="0.2"/>
    <row r="465" s="303" customFormat="1" x14ac:dyDescent="0.2"/>
    <row r="466" s="303" customFormat="1" x14ac:dyDescent="0.2"/>
    <row r="467" s="303" customFormat="1" x14ac:dyDescent="0.2"/>
    <row r="468" s="303" customFormat="1" x14ac:dyDescent="0.2"/>
    <row r="469" s="303" customFormat="1" x14ac:dyDescent="0.2"/>
    <row r="470" s="303" customFormat="1" x14ac:dyDescent="0.2"/>
    <row r="471" s="303" customFormat="1" x14ac:dyDescent="0.2"/>
    <row r="472" s="303" customFormat="1" x14ac:dyDescent="0.2"/>
    <row r="473" s="303" customFormat="1" x14ac:dyDescent="0.2"/>
    <row r="474" s="303" customFormat="1" x14ac:dyDescent="0.2"/>
    <row r="475" s="303" customFormat="1" x14ac:dyDescent="0.2"/>
    <row r="476" s="303" customFormat="1" x14ac:dyDescent="0.2"/>
    <row r="477" s="303" customFormat="1" x14ac:dyDescent="0.2"/>
    <row r="478" s="303" customFormat="1" x14ac:dyDescent="0.2"/>
    <row r="479" s="303" customFormat="1" x14ac:dyDescent="0.2"/>
    <row r="480" s="303" customFormat="1" x14ac:dyDescent="0.2"/>
    <row r="481" s="303" customFormat="1" x14ac:dyDescent="0.2"/>
    <row r="482" s="303" customFormat="1" x14ac:dyDescent="0.2"/>
    <row r="483" s="303" customFormat="1" x14ac:dyDescent="0.2"/>
    <row r="484" s="303" customFormat="1" x14ac:dyDescent="0.2"/>
    <row r="485" s="303" customFormat="1" x14ac:dyDescent="0.2"/>
    <row r="486" s="303" customFormat="1" x14ac:dyDescent="0.2"/>
    <row r="487" s="303" customFormat="1" x14ac:dyDescent="0.2"/>
    <row r="488" s="303" customFormat="1" x14ac:dyDescent="0.2"/>
    <row r="489" s="303" customFormat="1" x14ac:dyDescent="0.2"/>
    <row r="490" s="303" customFormat="1" x14ac:dyDescent="0.2"/>
    <row r="491" s="303" customFormat="1" x14ac:dyDescent="0.2"/>
    <row r="492" s="303" customFormat="1" x14ac:dyDescent="0.2"/>
    <row r="493" s="303" customFormat="1" x14ac:dyDescent="0.2"/>
  </sheetData>
  <mergeCells count="2">
    <mergeCell ref="B10:B24"/>
    <mergeCell ref="C2:BC3"/>
  </mergeCells>
  <conditionalFormatting sqref="K10:K25">
    <cfRule type="containsText" dxfId="52" priority="1" operator="containsText" text="Correcto">
      <formula>NOT(ISERROR(SEARCH("Correcto",K10)))</formula>
    </cfRule>
    <cfRule type="cellIs" dxfId="51" priority="3" operator="equal">
      <formula>"Sobran"</formula>
    </cfRule>
    <cfRule type="cellIs" dxfId="50" priority="4" operator="equal">
      <formula>"Faltan"</formula>
    </cfRule>
  </conditionalFormatting>
  <conditionalFormatting sqref="L10:L25">
    <cfRule type="containsBlanks" dxfId="49" priority="2">
      <formula>LEN(TRIM(L10))=0</formula>
    </cfRule>
    <cfRule type="cellIs" dxfId="48" priority="5" operator="lessThan">
      <formula>0</formula>
    </cfRule>
    <cfRule type="cellIs" dxfId="47" priority="6" operator="greaterThan">
      <formula>0</formula>
    </cfRule>
  </conditionalFormatting>
  <pageMargins left="0.7" right="0.7" top="0.75" bottom="0.75" header="0.3" footer="0.3"/>
  <pageSetup paperSize="9" orientation="portrait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3A36-6161-4953-A30B-6B271F3106FB}">
  <sheetPr>
    <tabColor theme="9" tint="-0.499984740745262"/>
  </sheetPr>
  <dimension ref="A1:XET603"/>
  <sheetViews>
    <sheetView topLeftCell="A6" zoomScaleNormal="100" workbookViewId="0">
      <selection activeCell="F16" sqref="F16"/>
    </sheetView>
  </sheetViews>
  <sheetFormatPr defaultColWidth="0" defaultRowHeight="15" x14ac:dyDescent="0.2"/>
  <cols>
    <col min="1" max="1" width="2.41796875" style="304" customWidth="1"/>
    <col min="2" max="2" width="6.72265625" style="304" customWidth="1"/>
    <col min="3" max="3" width="13.5859375" style="304" bestFit="1" customWidth="1"/>
    <col min="4" max="4" width="13.31640625" style="304" bestFit="1" customWidth="1"/>
    <col min="5" max="5" width="7.26171875" style="304" bestFit="1" customWidth="1"/>
    <col min="6" max="6" width="7.12890625" style="304" bestFit="1" customWidth="1"/>
    <col min="7" max="7" width="8.875" style="304" bestFit="1" customWidth="1"/>
    <col min="8" max="8" width="12.10546875" style="304" bestFit="1" customWidth="1"/>
    <col min="9" max="9" width="10.22265625" style="304" bestFit="1" customWidth="1"/>
    <col min="10" max="10" width="9.81640625" style="304" bestFit="1" customWidth="1"/>
    <col min="11" max="11" width="7.80078125" style="304" bestFit="1" customWidth="1"/>
    <col min="12" max="12" width="10.22265625" style="304" bestFit="1" customWidth="1"/>
    <col min="13" max="13" width="7.26171875" style="304" customWidth="1"/>
    <col min="14" max="14" width="19.234375" style="304" bestFit="1" customWidth="1"/>
    <col min="15" max="15" width="9.953125" style="304" customWidth="1"/>
    <col min="16" max="16" width="5.109375" style="304" customWidth="1"/>
    <col min="17" max="17" width="9.953125" style="303" bestFit="1" customWidth="1"/>
    <col min="18" max="18" width="2.015625" style="303" bestFit="1" customWidth="1"/>
    <col min="19" max="19" width="2.41796875" style="303" bestFit="1" customWidth="1"/>
    <col min="20" max="23" width="2.015625" style="303" bestFit="1" customWidth="1"/>
    <col min="24" max="24" width="2.15234375" style="303" bestFit="1" customWidth="1"/>
    <col min="25" max="25" width="2.015625" style="303" bestFit="1" customWidth="1"/>
    <col min="26" max="26" width="2.41796875" style="303" bestFit="1" customWidth="1"/>
    <col min="27" max="38" width="2.95703125" style="303" bestFit="1" customWidth="1"/>
    <col min="39" max="54" width="2.95703125" style="304" bestFit="1" customWidth="1"/>
    <col min="55" max="55" width="5.109375" style="304" bestFit="1" customWidth="1"/>
    <col min="56" max="299" width="0" style="304" hidden="1" customWidth="1"/>
    <col min="300" max="15126" width="11.43359375" style="304" hidden="1"/>
    <col min="15127" max="16374" width="0" style="304" hidden="1"/>
    <col min="16375" max="16384" width="11.8359375" style="304" hidden="1"/>
  </cols>
  <sheetData>
    <row r="1" spans="1:56" x14ac:dyDescent="0.2">
      <c r="A1" s="302"/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</row>
    <row r="2" spans="1:56" ht="28.5" customHeight="1" x14ac:dyDescent="0.2">
      <c r="A2" s="302"/>
      <c r="B2" s="207"/>
      <c r="C2" s="760" t="s">
        <v>62</v>
      </c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0"/>
      <c r="P2" s="760"/>
      <c r="Q2" s="760"/>
      <c r="R2" s="760"/>
      <c r="S2" s="760"/>
      <c r="T2" s="760"/>
      <c r="U2" s="760"/>
      <c r="V2" s="760"/>
      <c r="W2" s="760"/>
      <c r="X2" s="760"/>
      <c r="Y2" s="760"/>
      <c r="Z2" s="760"/>
      <c r="AA2" s="760"/>
      <c r="AB2" s="760"/>
      <c r="AC2" s="760"/>
      <c r="AD2" s="760"/>
      <c r="AE2" s="760"/>
      <c r="AF2" s="760"/>
      <c r="AG2" s="760"/>
      <c r="AH2" s="760"/>
      <c r="AI2" s="760"/>
      <c r="AJ2" s="760"/>
      <c r="AK2" s="760"/>
      <c r="AL2" s="760"/>
      <c r="AM2" s="760"/>
      <c r="AN2" s="760"/>
      <c r="AO2" s="760"/>
      <c r="AP2" s="760"/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303"/>
      <c r="BD2" s="303"/>
    </row>
    <row r="3" spans="1:56" ht="18.75" customHeight="1" x14ac:dyDescent="0.2">
      <c r="A3" s="302"/>
      <c r="B3" s="207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  <c r="V3" s="760"/>
      <c r="W3" s="760"/>
      <c r="X3" s="760"/>
      <c r="Y3" s="760"/>
      <c r="Z3" s="760"/>
      <c r="AA3" s="760"/>
      <c r="AB3" s="760"/>
      <c r="AC3" s="760"/>
      <c r="AD3" s="760"/>
      <c r="AE3" s="760"/>
      <c r="AF3" s="760"/>
      <c r="AG3" s="760"/>
      <c r="AH3" s="760"/>
      <c r="AI3" s="760"/>
      <c r="AJ3" s="760"/>
      <c r="AK3" s="760"/>
      <c r="AL3" s="760"/>
      <c r="AM3" s="760"/>
      <c r="AN3" s="760"/>
      <c r="AO3" s="760"/>
      <c r="AP3" s="760"/>
      <c r="AQ3" s="760"/>
      <c r="AR3" s="760"/>
      <c r="AS3" s="760"/>
      <c r="AT3" s="760"/>
      <c r="AU3" s="760"/>
      <c r="AV3" s="760"/>
      <c r="AW3" s="760"/>
      <c r="AX3" s="760"/>
      <c r="AY3" s="760"/>
      <c r="AZ3" s="760"/>
      <c r="BA3" s="760"/>
      <c r="BB3" s="760"/>
      <c r="BC3" s="303"/>
      <c r="BD3" s="303"/>
    </row>
    <row r="4" spans="1:56" x14ac:dyDescent="0.2">
      <c r="A4" s="302"/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5"/>
      <c r="N4" s="305"/>
      <c r="O4" s="305"/>
      <c r="P4" s="303"/>
      <c r="AM4" s="303"/>
      <c r="AN4" s="303"/>
      <c r="AO4" s="303"/>
      <c r="AP4" s="303"/>
      <c r="AQ4" s="303"/>
      <c r="AR4" s="303"/>
      <c r="AS4" s="303"/>
      <c r="AT4" s="303"/>
      <c r="AU4" s="303"/>
      <c r="AV4" s="303"/>
      <c r="AW4" s="303"/>
      <c r="AX4" s="303"/>
      <c r="AY4" s="303"/>
      <c r="AZ4" s="303"/>
      <c r="BA4" s="303"/>
      <c r="BB4" s="303"/>
      <c r="BC4" s="303"/>
      <c r="BD4" s="303"/>
    </row>
    <row r="5" spans="1:56" x14ac:dyDescent="0.2">
      <c r="A5" s="302"/>
      <c r="B5" s="302"/>
      <c r="C5" s="306" t="s">
        <v>3</v>
      </c>
      <c r="D5" s="347">
        <f>I100+I76+I50+I25</f>
        <v>61006.36</v>
      </c>
      <c r="E5" s="302"/>
      <c r="F5" s="302"/>
      <c r="G5" s="302"/>
      <c r="H5" s="302"/>
      <c r="I5" s="302"/>
      <c r="J5" s="302"/>
      <c r="K5" s="302"/>
      <c r="L5" s="302"/>
      <c r="M5" s="305"/>
      <c r="N5" s="307"/>
      <c r="O5" s="307"/>
      <c r="P5" s="303"/>
      <c r="AM5" s="303"/>
      <c r="AN5" s="303"/>
      <c r="AO5" s="303"/>
      <c r="AP5" s="303"/>
      <c r="AQ5" s="303"/>
      <c r="AR5" s="303"/>
      <c r="AS5" s="303"/>
      <c r="AT5" s="303"/>
      <c r="AU5" s="303"/>
      <c r="AV5" s="303"/>
      <c r="AW5" s="303"/>
      <c r="AX5" s="303"/>
      <c r="AY5" s="303"/>
      <c r="AZ5" s="303"/>
      <c r="BA5" s="303"/>
      <c r="BB5" s="303"/>
      <c r="BC5" s="303"/>
      <c r="BD5" s="303"/>
    </row>
    <row r="6" spans="1:56" x14ac:dyDescent="0.2">
      <c r="A6" s="302"/>
      <c r="B6" s="302"/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7"/>
      <c r="N6" s="307"/>
      <c r="O6" s="307"/>
      <c r="P6" s="303"/>
      <c r="AM6" s="303"/>
      <c r="AN6" s="303"/>
      <c r="AO6" s="303"/>
      <c r="AP6" s="303"/>
      <c r="AQ6" s="303"/>
      <c r="AR6" s="303"/>
      <c r="AS6" s="303"/>
      <c r="AT6" s="303"/>
      <c r="AU6" s="303"/>
      <c r="AV6" s="303"/>
      <c r="AW6" s="303"/>
      <c r="AX6" s="303"/>
      <c r="AY6" s="303"/>
      <c r="AZ6" s="303"/>
      <c r="BA6" s="303"/>
      <c r="BB6" s="303"/>
      <c r="BC6" s="303"/>
      <c r="BD6" s="303"/>
    </row>
    <row r="7" spans="1:56" x14ac:dyDescent="0.2">
      <c r="A7" s="302"/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7"/>
      <c r="N7" s="467" t="s">
        <v>135</v>
      </c>
      <c r="O7" s="467"/>
      <c r="P7" s="303"/>
      <c r="AM7" s="303"/>
      <c r="AN7" s="303"/>
      <c r="AO7" s="303"/>
      <c r="AP7" s="303"/>
      <c r="AQ7" s="303"/>
      <c r="AR7" s="303"/>
      <c r="AS7" s="303"/>
      <c r="AT7" s="303"/>
      <c r="AU7" s="303"/>
      <c r="AV7" s="303"/>
      <c r="AW7" s="303"/>
      <c r="AX7" s="303"/>
      <c r="AY7" s="303"/>
      <c r="AZ7" s="303"/>
      <c r="BA7" s="303"/>
      <c r="BB7" s="303"/>
      <c r="BC7" s="303"/>
      <c r="BD7" s="303"/>
    </row>
    <row r="8" spans="1:56" ht="15.75" thickBot="1" x14ac:dyDescent="0.25">
      <c r="A8" s="302"/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7"/>
      <c r="N8" s="468" t="s">
        <v>133</v>
      </c>
      <c r="O8" s="469">
        <f>+L10+L12</f>
        <v>487.35432142857144</v>
      </c>
      <c r="P8" s="303"/>
      <c r="AM8" s="303"/>
      <c r="AN8" s="303"/>
      <c r="AO8" s="303"/>
      <c r="AP8" s="303"/>
      <c r="AQ8" s="303"/>
      <c r="AR8" s="303"/>
      <c r="AS8" s="303"/>
      <c r="AT8" s="303"/>
      <c r="AU8" s="303"/>
      <c r="AV8" s="303"/>
      <c r="AW8" s="303"/>
      <c r="AX8" s="303"/>
      <c r="AY8" s="303"/>
      <c r="AZ8" s="303"/>
      <c r="BA8" s="303"/>
      <c r="BB8" s="303"/>
      <c r="BC8" s="303"/>
      <c r="BD8" s="303"/>
    </row>
    <row r="9" spans="1:56" ht="16.5" thickBot="1" x14ac:dyDescent="0.25">
      <c r="A9" s="302"/>
      <c r="B9" s="208"/>
      <c r="C9" s="208"/>
      <c r="D9" s="209" t="s">
        <v>5</v>
      </c>
      <c r="E9" s="209" t="s">
        <v>6</v>
      </c>
      <c r="F9" s="210" t="s">
        <v>49</v>
      </c>
      <c r="G9" s="209" t="s">
        <v>7</v>
      </c>
      <c r="H9" s="209" t="s">
        <v>8</v>
      </c>
      <c r="I9" s="209" t="s">
        <v>9</v>
      </c>
      <c r="J9" s="209" t="s">
        <v>10</v>
      </c>
      <c r="K9" s="209"/>
      <c r="L9" s="209" t="s">
        <v>11</v>
      </c>
      <c r="M9" s="308"/>
      <c r="N9" s="468" t="s">
        <v>134</v>
      </c>
      <c r="O9" s="469">
        <f>9.55*25500/365</f>
        <v>667.19178082191786</v>
      </c>
      <c r="P9" s="303"/>
      <c r="Q9" s="309">
        <v>2025</v>
      </c>
      <c r="R9" s="310"/>
      <c r="S9" s="310"/>
      <c r="T9" s="310"/>
      <c r="U9" s="310"/>
      <c r="V9" s="310"/>
      <c r="W9" s="310"/>
      <c r="X9" s="310"/>
      <c r="Y9" s="310"/>
      <c r="Z9" s="310"/>
      <c r="AA9" s="310"/>
      <c r="AB9" s="310"/>
      <c r="AC9" s="310"/>
      <c r="AD9" s="310"/>
      <c r="AE9" s="310"/>
      <c r="AF9" s="310"/>
      <c r="AG9" s="310"/>
      <c r="AH9" s="310"/>
      <c r="AI9" s="310"/>
      <c r="AJ9" s="310"/>
      <c r="AK9" s="310"/>
      <c r="AL9" s="310"/>
      <c r="AM9" s="310"/>
      <c r="AN9" s="310"/>
      <c r="AO9" s="310"/>
      <c r="AP9" s="310"/>
      <c r="AQ9" s="310"/>
      <c r="AR9" s="310"/>
      <c r="AS9" s="310"/>
      <c r="AT9" s="310"/>
      <c r="AU9" s="310"/>
      <c r="AV9" s="310"/>
      <c r="AW9" s="310"/>
      <c r="AX9" s="310"/>
      <c r="AY9" s="310"/>
      <c r="AZ9" s="310"/>
      <c r="BA9" s="310"/>
      <c r="BB9" s="311"/>
      <c r="BC9" s="303"/>
      <c r="BD9" s="303"/>
    </row>
    <row r="10" spans="1:56" x14ac:dyDescent="0.2">
      <c r="A10" s="302"/>
      <c r="B10" s="761">
        <v>2025</v>
      </c>
      <c r="C10" s="211">
        <v>45658</v>
      </c>
      <c r="D10" s="212">
        <v>1821.51</v>
      </c>
      <c r="E10" s="213">
        <f>(D10+L10)*0.0483</f>
        <v>102.64184700000001</v>
      </c>
      <c r="F10" s="213">
        <f>(D10+L10)*0.0165</f>
        <v>35.063985000000002</v>
      </c>
      <c r="G10" s="213">
        <f>D10*0.13</f>
        <v>236.7963</v>
      </c>
      <c r="H10" s="214">
        <f t="shared" ref="H10:H24" si="0">D10-E10-G10-F10</f>
        <v>1447.0078679999999</v>
      </c>
      <c r="I10" s="215">
        <v>1447.01</v>
      </c>
      <c r="J10" s="216" t="str">
        <f t="shared" ref="J10:J15" si="1">IF(ISBLANK(I10)," ",IF(I10-H10&lt;0.01,"Correcto ",IF(I10-H10&lt;0.01,"Faltan","Sobran")))</f>
        <v xml:space="preserve">Correcto </v>
      </c>
      <c r="K10" s="217" t="str">
        <f t="shared" ref="K10:K23" si="2">IF(ISBLANK(I10)," ",IF(ABS(I10-H10)&lt;0.01," ",I10-H10))</f>
        <v xml:space="preserve"> </v>
      </c>
      <c r="L10" s="312">
        <f>303.58</f>
        <v>303.58</v>
      </c>
      <c r="M10" s="313"/>
      <c r="N10" s="314"/>
      <c r="O10" s="469">
        <f>SUM(O8:O9)</f>
        <v>1154.5461022504892</v>
      </c>
      <c r="P10" s="303"/>
      <c r="Q10" s="315">
        <v>44562</v>
      </c>
      <c r="R10" s="218" t="s">
        <v>42</v>
      </c>
      <c r="S10" s="218" t="s">
        <v>43</v>
      </c>
      <c r="T10" s="218" t="s">
        <v>44</v>
      </c>
      <c r="U10" s="218" t="s">
        <v>45</v>
      </c>
      <c r="V10" s="218" t="s">
        <v>46</v>
      </c>
      <c r="W10" s="218" t="s">
        <v>47</v>
      </c>
      <c r="X10" s="219" t="s">
        <v>48</v>
      </c>
      <c r="Y10" s="218" t="s">
        <v>42</v>
      </c>
      <c r="Z10" s="218" t="s">
        <v>43</v>
      </c>
      <c r="AA10" s="218" t="s">
        <v>44</v>
      </c>
      <c r="AB10" s="218" t="s">
        <v>45</v>
      </c>
      <c r="AC10" s="218" t="s">
        <v>46</v>
      </c>
      <c r="AD10" s="218" t="s">
        <v>47</v>
      </c>
      <c r="AE10" s="219" t="s">
        <v>48</v>
      </c>
      <c r="AF10" s="218" t="s">
        <v>42</v>
      </c>
      <c r="AG10" s="218" t="s">
        <v>43</v>
      </c>
      <c r="AH10" s="218" t="s">
        <v>44</v>
      </c>
      <c r="AI10" s="218" t="s">
        <v>45</v>
      </c>
      <c r="AJ10" s="218" t="s">
        <v>46</v>
      </c>
      <c r="AK10" s="218" t="s">
        <v>47</v>
      </c>
      <c r="AL10" s="219" t="s">
        <v>48</v>
      </c>
      <c r="AM10" s="218" t="s">
        <v>42</v>
      </c>
      <c r="AN10" s="218" t="s">
        <v>43</v>
      </c>
      <c r="AO10" s="218" t="s">
        <v>44</v>
      </c>
      <c r="AP10" s="218" t="s">
        <v>45</v>
      </c>
      <c r="AQ10" s="218" t="s">
        <v>46</v>
      </c>
      <c r="AR10" s="218" t="s">
        <v>47</v>
      </c>
      <c r="AS10" s="219" t="s">
        <v>48</v>
      </c>
      <c r="AT10" s="218" t="s">
        <v>42</v>
      </c>
      <c r="AU10" s="218" t="s">
        <v>43</v>
      </c>
      <c r="AV10" s="218" t="s">
        <v>44</v>
      </c>
      <c r="AW10" s="218" t="s">
        <v>45</v>
      </c>
      <c r="AX10" s="218" t="s">
        <v>46</v>
      </c>
      <c r="AY10" s="218" t="s">
        <v>47</v>
      </c>
      <c r="AZ10" s="219" t="s">
        <v>48</v>
      </c>
      <c r="BA10" s="218" t="s">
        <v>42</v>
      </c>
      <c r="BB10" s="220" t="s">
        <v>43</v>
      </c>
      <c r="BC10" s="303"/>
      <c r="BD10" s="303"/>
    </row>
    <row r="11" spans="1:56" x14ac:dyDescent="0.2">
      <c r="A11" s="302"/>
      <c r="B11" s="761"/>
      <c r="C11" s="211" t="s">
        <v>77</v>
      </c>
      <c r="D11" s="212">
        <v>1160.1600000000001</v>
      </c>
      <c r="E11" s="213">
        <f t="shared" ref="E11" si="3">(D11+L11)*0.0483</f>
        <v>56.035728000000006</v>
      </c>
      <c r="F11" s="213">
        <f t="shared" ref="F11" si="4">(D11+L11)*0.0165</f>
        <v>19.142640000000004</v>
      </c>
      <c r="G11" s="213">
        <f>D11*0.13</f>
        <v>150.82080000000002</v>
      </c>
      <c r="H11" s="214">
        <f t="shared" si="0"/>
        <v>934.16083200000003</v>
      </c>
      <c r="I11" s="215">
        <v>934.2</v>
      </c>
      <c r="J11" s="216" t="str">
        <f t="shared" si="1"/>
        <v>Sobran</v>
      </c>
      <c r="K11" s="217">
        <f t="shared" si="2"/>
        <v>3.9168000000017855E-2</v>
      </c>
      <c r="L11" s="312"/>
      <c r="M11" s="313"/>
      <c r="N11" s="314"/>
      <c r="O11" s="314"/>
      <c r="P11" s="303"/>
      <c r="Q11" s="316" t="s">
        <v>50</v>
      </c>
      <c r="R11" s="221" t="s">
        <v>67</v>
      </c>
      <c r="S11" s="222" t="s">
        <v>67</v>
      </c>
      <c r="T11" s="223">
        <v>1</v>
      </c>
      <c r="U11" s="222">
        <v>2</v>
      </c>
      <c r="V11" s="222">
        <v>3</v>
      </c>
      <c r="W11" s="224">
        <v>4</v>
      </c>
      <c r="X11" s="224">
        <v>5</v>
      </c>
      <c r="Y11" s="223">
        <v>6</v>
      </c>
      <c r="Z11" s="221">
        <v>7</v>
      </c>
      <c r="AA11" s="221">
        <v>8</v>
      </c>
      <c r="AB11" s="221">
        <v>9</v>
      </c>
      <c r="AC11" s="221">
        <v>10</v>
      </c>
      <c r="AD11" s="224">
        <v>11</v>
      </c>
      <c r="AE11" s="224">
        <v>12</v>
      </c>
      <c r="AF11" s="222">
        <v>13</v>
      </c>
      <c r="AG11" s="222">
        <v>14</v>
      </c>
      <c r="AH11" s="222">
        <v>15</v>
      </c>
      <c r="AI11" s="222">
        <v>16</v>
      </c>
      <c r="AJ11" s="222">
        <v>17</v>
      </c>
      <c r="AK11" s="224">
        <v>18</v>
      </c>
      <c r="AL11" s="224">
        <v>19</v>
      </c>
      <c r="AM11" s="222">
        <v>20</v>
      </c>
      <c r="AN11" s="222">
        <v>21</v>
      </c>
      <c r="AO11" s="222">
        <v>22</v>
      </c>
      <c r="AP11" s="222">
        <v>23</v>
      </c>
      <c r="AQ11" s="222">
        <v>24</v>
      </c>
      <c r="AR11" s="224">
        <v>25</v>
      </c>
      <c r="AS11" s="224">
        <v>26</v>
      </c>
      <c r="AT11" s="222">
        <v>27</v>
      </c>
      <c r="AU11" s="222">
        <v>28</v>
      </c>
      <c r="AV11" s="222">
        <v>29</v>
      </c>
      <c r="AW11" s="222">
        <v>30</v>
      </c>
      <c r="AX11" s="222">
        <v>31</v>
      </c>
      <c r="AY11" s="224" t="s">
        <v>67</v>
      </c>
      <c r="AZ11" s="224" t="s">
        <v>67</v>
      </c>
      <c r="BA11" s="222" t="s">
        <v>67</v>
      </c>
      <c r="BB11" s="225" t="s">
        <v>67</v>
      </c>
      <c r="BC11" s="303"/>
      <c r="BD11" s="303"/>
    </row>
    <row r="12" spans="1:56" x14ac:dyDescent="0.2">
      <c r="A12" s="302"/>
      <c r="B12" s="761"/>
      <c r="C12" s="211">
        <v>45689</v>
      </c>
      <c r="D12" s="226">
        <v>1170.3</v>
      </c>
      <c r="E12" s="213">
        <f>2125.19*0.0483</f>
        <v>102.64667700000001</v>
      </c>
      <c r="F12" s="213">
        <f>2125.19*0.0165</f>
        <v>35.065635</v>
      </c>
      <c r="G12" s="213">
        <f>1170.3*$N$41</f>
        <v>163.84200000000001</v>
      </c>
      <c r="H12" s="214">
        <f t="shared" si="0"/>
        <v>868.74568799999997</v>
      </c>
      <c r="I12" s="215">
        <v>868.74</v>
      </c>
      <c r="J12" s="216" t="str">
        <f t="shared" si="1"/>
        <v xml:space="preserve">Correcto </v>
      </c>
      <c r="K12" s="217" t="str">
        <f t="shared" si="2"/>
        <v xml:space="preserve"> </v>
      </c>
      <c r="L12" s="410">
        <f>+'feb mar 25 baja'!F10</f>
        <v>183.77432142857143</v>
      </c>
      <c r="M12" s="313"/>
      <c r="N12" s="314"/>
      <c r="O12" s="317"/>
      <c r="P12" s="303"/>
      <c r="Q12" s="318" t="s">
        <v>51</v>
      </c>
      <c r="R12" s="221" t="s">
        <v>67</v>
      </c>
      <c r="S12" s="221" t="s">
        <v>67</v>
      </c>
      <c r="T12" s="221" t="s">
        <v>67</v>
      </c>
      <c r="U12" s="221" t="s">
        <v>67</v>
      </c>
      <c r="V12" s="221" t="s">
        <v>67</v>
      </c>
      <c r="W12" s="227">
        <v>1</v>
      </c>
      <c r="X12" s="227">
        <v>2</v>
      </c>
      <c r="Y12" s="221">
        <v>3</v>
      </c>
      <c r="Z12" s="228">
        <v>4</v>
      </c>
      <c r="AA12" s="228">
        <v>5</v>
      </c>
      <c r="AB12" s="228">
        <v>6</v>
      </c>
      <c r="AC12" s="228">
        <v>7</v>
      </c>
      <c r="AD12" s="228">
        <v>8</v>
      </c>
      <c r="AE12" s="228">
        <v>9</v>
      </c>
      <c r="AF12" s="228">
        <v>10</v>
      </c>
      <c r="AG12" s="228">
        <v>11</v>
      </c>
      <c r="AH12" s="228">
        <v>12</v>
      </c>
      <c r="AI12" s="228">
        <v>13</v>
      </c>
      <c r="AJ12" s="228">
        <v>14</v>
      </c>
      <c r="AK12" s="228">
        <v>15</v>
      </c>
      <c r="AL12" s="228">
        <v>16</v>
      </c>
      <c r="AM12" s="228">
        <v>17</v>
      </c>
      <c r="AN12" s="228">
        <v>18</v>
      </c>
      <c r="AO12" s="228">
        <v>19</v>
      </c>
      <c r="AP12" s="228">
        <v>20</v>
      </c>
      <c r="AQ12" s="228">
        <v>21</v>
      </c>
      <c r="AR12" s="228">
        <v>22</v>
      </c>
      <c r="AS12" s="228">
        <v>23</v>
      </c>
      <c r="AT12" s="228">
        <v>24</v>
      </c>
      <c r="AU12" s="228">
        <v>25</v>
      </c>
      <c r="AV12" s="228">
        <v>26</v>
      </c>
      <c r="AW12" s="228">
        <v>27</v>
      </c>
      <c r="AX12" s="228">
        <v>28</v>
      </c>
      <c r="AY12" s="227"/>
      <c r="AZ12" s="227" t="s">
        <v>67</v>
      </c>
      <c r="BA12" s="221" t="s">
        <v>67</v>
      </c>
      <c r="BB12" s="229" t="s">
        <v>67</v>
      </c>
      <c r="BC12" s="303"/>
      <c r="BD12" s="303"/>
    </row>
    <row r="13" spans="1:56" x14ac:dyDescent="0.2">
      <c r="A13" s="302"/>
      <c r="B13" s="761"/>
      <c r="C13" s="211">
        <v>45717</v>
      </c>
      <c r="D13" s="226">
        <f>1647.03</f>
        <v>1647.03</v>
      </c>
      <c r="E13" s="213">
        <f>2125.19*0.0483</f>
        <v>102.64667700000001</v>
      </c>
      <c r="F13" s="213">
        <f>2125.19*0.0165</f>
        <v>35.065635</v>
      </c>
      <c r="G13" s="213">
        <f t="shared" ref="G13" si="5">D13*$N$41</f>
        <v>230.58420000000001</v>
      </c>
      <c r="H13" s="214">
        <f t="shared" si="0"/>
        <v>1278.7334880000001</v>
      </c>
      <c r="I13" s="215">
        <v>1278.73</v>
      </c>
      <c r="J13" s="216" t="str">
        <f t="shared" si="1"/>
        <v xml:space="preserve">Correcto </v>
      </c>
      <c r="K13" s="217" t="str">
        <f t="shared" si="2"/>
        <v xml:space="preserve"> </v>
      </c>
      <c r="L13" s="410"/>
      <c r="M13" s="319"/>
      <c r="N13" s="230" t="s">
        <v>131</v>
      </c>
      <c r="O13" s="231">
        <f>SUM(D10:D24)</f>
        <v>8653.7061022504895</v>
      </c>
      <c r="P13" s="232"/>
      <c r="Q13" s="318" t="s">
        <v>52</v>
      </c>
      <c r="R13" s="221" t="s">
        <v>67</v>
      </c>
      <c r="S13" s="221" t="s">
        <v>67</v>
      </c>
      <c r="T13" s="221" t="s">
        <v>67</v>
      </c>
      <c r="U13" s="221" t="s">
        <v>67</v>
      </c>
      <c r="V13" s="221" t="s">
        <v>67</v>
      </c>
      <c r="W13" s="228">
        <v>1</v>
      </c>
      <c r="X13" s="228">
        <v>2</v>
      </c>
      <c r="Y13" s="228">
        <v>3</v>
      </c>
      <c r="Z13" s="228">
        <v>4</v>
      </c>
      <c r="AA13" s="228">
        <v>5</v>
      </c>
      <c r="AB13" s="228">
        <v>6</v>
      </c>
      <c r="AC13" s="228">
        <v>7</v>
      </c>
      <c r="AD13" s="228">
        <v>8</v>
      </c>
      <c r="AE13" s="228">
        <v>9</v>
      </c>
      <c r="AF13" s="228">
        <v>10</v>
      </c>
      <c r="AG13" s="228">
        <v>11</v>
      </c>
      <c r="AH13" s="228">
        <v>12</v>
      </c>
      <c r="AI13" s="228">
        <v>13</v>
      </c>
      <c r="AJ13" s="228">
        <v>14</v>
      </c>
      <c r="AK13" s="228">
        <v>15</v>
      </c>
      <c r="AL13" s="228">
        <v>16</v>
      </c>
      <c r="AM13" s="228">
        <v>17</v>
      </c>
      <c r="AN13" s="228">
        <v>18</v>
      </c>
      <c r="AO13" s="228">
        <v>19</v>
      </c>
      <c r="AP13" s="228">
        <v>20</v>
      </c>
      <c r="AQ13" s="228">
        <v>21</v>
      </c>
      <c r="AR13" s="228">
        <v>22</v>
      </c>
      <c r="AS13" s="228">
        <v>23</v>
      </c>
      <c r="AT13" s="228">
        <v>24</v>
      </c>
      <c r="AU13" s="228">
        <v>25</v>
      </c>
      <c r="AV13" s="228">
        <v>26</v>
      </c>
      <c r="AW13" s="228">
        <v>27</v>
      </c>
      <c r="AX13" s="228">
        <v>28</v>
      </c>
      <c r="AY13" s="228">
        <v>29</v>
      </c>
      <c r="AZ13" s="228">
        <v>30</v>
      </c>
      <c r="BA13" s="228">
        <v>31</v>
      </c>
      <c r="BB13" s="229" t="s">
        <v>67</v>
      </c>
      <c r="BC13" s="303"/>
      <c r="BD13" s="303"/>
    </row>
    <row r="14" spans="1:56" ht="15.75" thickBot="1" x14ac:dyDescent="0.25">
      <c r="A14" s="302"/>
      <c r="B14" s="761"/>
      <c r="C14" s="211">
        <v>45748</v>
      </c>
      <c r="D14" s="226">
        <f>53.13*30</f>
        <v>1593.9</v>
      </c>
      <c r="E14" s="213">
        <f>2125.19*0.0483</f>
        <v>102.64667700000001</v>
      </c>
      <c r="F14" s="213">
        <f>2125.19*0.0165</f>
        <v>35.065635</v>
      </c>
      <c r="G14" s="213">
        <f>+(D14+L10+L12)*14%</f>
        <v>291.37560500000006</v>
      </c>
      <c r="H14" s="214">
        <f t="shared" si="0"/>
        <v>1164.8120830000003</v>
      </c>
      <c r="I14" s="215">
        <v>1164.81</v>
      </c>
      <c r="J14" s="216" t="str">
        <f t="shared" si="1"/>
        <v xml:space="preserve">Correcto </v>
      </c>
      <c r="K14" s="217" t="str">
        <f t="shared" si="2"/>
        <v xml:space="preserve"> </v>
      </c>
      <c r="L14" s="410"/>
      <c r="M14" s="233"/>
      <c r="N14" s="234" t="s">
        <v>13</v>
      </c>
      <c r="O14" s="235">
        <f>SUM(E10:F24)</f>
        <v>706.21597431723183</v>
      </c>
      <c r="P14" s="236"/>
      <c r="Q14" s="321" t="s">
        <v>53</v>
      </c>
      <c r="R14" s="245"/>
      <c r="S14" s="465">
        <v>1</v>
      </c>
      <c r="T14" s="465">
        <v>2</v>
      </c>
      <c r="U14" s="465">
        <v>3</v>
      </c>
      <c r="V14" s="465">
        <v>4</v>
      </c>
      <c r="W14" s="465">
        <v>5</v>
      </c>
      <c r="X14" s="465">
        <v>6</v>
      </c>
      <c r="Y14" s="465">
        <v>7</v>
      </c>
      <c r="Z14" s="465">
        <v>8</v>
      </c>
      <c r="AA14" s="465">
        <v>9</v>
      </c>
      <c r="AB14" s="465">
        <v>10</v>
      </c>
      <c r="AC14" s="465">
        <v>11</v>
      </c>
      <c r="AD14" s="465">
        <v>12</v>
      </c>
      <c r="AE14" s="465">
        <v>13</v>
      </c>
      <c r="AF14" s="465">
        <v>14</v>
      </c>
      <c r="AG14" s="465">
        <v>15</v>
      </c>
      <c r="AH14" s="465">
        <v>16</v>
      </c>
      <c r="AI14" s="466">
        <v>17</v>
      </c>
      <c r="AJ14" s="466">
        <v>18</v>
      </c>
      <c r="AK14" s="465">
        <v>19</v>
      </c>
      <c r="AL14" s="465">
        <v>20</v>
      </c>
      <c r="AM14" s="466">
        <v>21</v>
      </c>
      <c r="AN14" s="465">
        <v>22</v>
      </c>
      <c r="AO14" s="465">
        <v>23</v>
      </c>
      <c r="AP14" s="465">
        <v>24</v>
      </c>
      <c r="AQ14" s="465">
        <v>25</v>
      </c>
      <c r="AR14" s="465">
        <v>26</v>
      </c>
      <c r="AS14" s="465">
        <v>27</v>
      </c>
      <c r="AT14" s="466">
        <v>28</v>
      </c>
      <c r="AU14" s="465">
        <v>29</v>
      </c>
      <c r="AV14" s="465">
        <v>30</v>
      </c>
      <c r="AW14" s="245" t="s">
        <v>67</v>
      </c>
      <c r="AX14" s="245" t="s">
        <v>67</v>
      </c>
      <c r="AY14" s="246" t="s">
        <v>67</v>
      </c>
      <c r="AZ14" s="246" t="s">
        <v>67</v>
      </c>
      <c r="BA14" s="245" t="s">
        <v>67</v>
      </c>
      <c r="BB14" s="248" t="s">
        <v>67</v>
      </c>
      <c r="BC14" s="303"/>
      <c r="BD14" s="303"/>
    </row>
    <row r="15" spans="1:56" x14ac:dyDescent="0.2">
      <c r="A15" s="302"/>
      <c r="B15" s="761"/>
      <c r="C15" s="211" t="s">
        <v>136</v>
      </c>
      <c r="D15" s="226">
        <f>+O10</f>
        <v>1154.5461022504892</v>
      </c>
      <c r="E15" s="213">
        <f t="shared" ref="E15" si="6">(D15+L15)*0.0483</f>
        <v>55.764576738698629</v>
      </c>
      <c r="F15" s="213">
        <f t="shared" ref="F15" si="7">(D15+L15)*0.0165</f>
        <v>19.050010687133071</v>
      </c>
      <c r="G15" s="213">
        <f>D15*0.13</f>
        <v>150.09099329256361</v>
      </c>
      <c r="H15" s="214">
        <f t="shared" si="0"/>
        <v>929.64052153209389</v>
      </c>
      <c r="I15" s="215">
        <v>929.64</v>
      </c>
      <c r="J15" s="216" t="str">
        <f t="shared" si="1"/>
        <v xml:space="preserve">Correcto </v>
      </c>
      <c r="K15" s="217" t="str">
        <f t="shared" si="2"/>
        <v xml:space="preserve"> </v>
      </c>
      <c r="L15" s="410"/>
      <c r="M15" s="233"/>
      <c r="N15" s="237" t="s">
        <v>7</v>
      </c>
      <c r="O15" s="235">
        <f>SUM(G10:G24)</f>
        <v>1237.3198982925635</v>
      </c>
      <c r="P15" s="238"/>
      <c r="AM15" s="303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3"/>
      <c r="AY15" s="303"/>
      <c r="AZ15" s="303"/>
      <c r="BA15" s="303"/>
      <c r="BB15" s="303"/>
      <c r="BC15" s="303"/>
      <c r="BD15" s="303"/>
    </row>
    <row r="16" spans="1:56" x14ac:dyDescent="0.2">
      <c r="A16" s="302"/>
      <c r="B16" s="761"/>
      <c r="C16" s="211" t="s">
        <v>143</v>
      </c>
      <c r="D16" s="600">
        <v>106.26</v>
      </c>
      <c r="E16" s="601">
        <f>(D16+L16)*0.0483</f>
        <v>5.1323580000000009</v>
      </c>
      <c r="F16" s="601">
        <f>(E16+M16)*0.0483</f>
        <v>0.24789289140000006</v>
      </c>
      <c r="G16" s="601">
        <v>13.81</v>
      </c>
      <c r="H16" s="214">
        <f t="shared" si="0"/>
        <v>87.069749108600007</v>
      </c>
      <c r="I16" s="602">
        <v>92.45</v>
      </c>
      <c r="J16" s="216" t="str">
        <f t="shared" ref="J16:J24" si="8">IF(ISBLANK(I16)," ",IF(ABS(I16-H16)&lt;0.01,"Correcto ",IF(ABS(I16-H16)&gt;0.01,"Faltan","Sobran")))</f>
        <v>Faltan</v>
      </c>
      <c r="K16" s="217">
        <f t="shared" si="2"/>
        <v>5.3802508913999958</v>
      </c>
      <c r="L16" s="312"/>
      <c r="M16" s="255"/>
      <c r="N16" s="239">
        <v>0.14000000000000001</v>
      </c>
      <c r="O16" s="232"/>
      <c r="P16" s="320"/>
      <c r="AM16" s="303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3"/>
      <c r="AY16" s="303"/>
      <c r="AZ16" s="303"/>
      <c r="BA16" s="303"/>
      <c r="BB16" s="303"/>
      <c r="BC16" s="303"/>
      <c r="BD16" s="303"/>
    </row>
    <row r="17" spans="1:56" x14ac:dyDescent="0.2">
      <c r="A17" s="302"/>
      <c r="B17" s="761"/>
      <c r="C17" s="211"/>
      <c r="D17" s="212"/>
      <c r="E17" s="213"/>
      <c r="F17" s="213"/>
      <c r="G17" s="213"/>
      <c r="H17" s="214">
        <f t="shared" si="0"/>
        <v>0</v>
      </c>
      <c r="I17" s="215"/>
      <c r="J17" s="216" t="str">
        <f t="shared" si="8"/>
        <v xml:space="preserve"> </v>
      </c>
      <c r="K17" s="217" t="str">
        <f t="shared" si="2"/>
        <v xml:space="preserve"> </v>
      </c>
      <c r="L17" s="233"/>
      <c r="M17" s="232"/>
      <c r="N17" s="303"/>
      <c r="O17" s="303"/>
      <c r="P17" s="238"/>
      <c r="AM17" s="303"/>
      <c r="AN17" s="303"/>
      <c r="AO17" s="303"/>
      <c r="AP17" s="303"/>
      <c r="AQ17" s="303"/>
      <c r="AR17" s="303"/>
      <c r="AS17" s="303"/>
      <c r="AT17" s="303"/>
      <c r="AU17" s="303"/>
      <c r="AV17" s="303"/>
      <c r="AW17" s="303"/>
      <c r="AX17" s="303"/>
      <c r="AY17" s="303"/>
      <c r="AZ17" s="303"/>
      <c r="BA17" s="303"/>
      <c r="BB17" s="303"/>
      <c r="BC17" s="303"/>
      <c r="BD17" s="303"/>
    </row>
    <row r="18" spans="1:56" ht="15.75" thickBot="1" x14ac:dyDescent="0.25">
      <c r="A18" s="302"/>
      <c r="B18" s="761"/>
      <c r="C18" s="211"/>
      <c r="D18" s="212"/>
      <c r="E18" s="213"/>
      <c r="F18" s="213"/>
      <c r="G18" s="213"/>
      <c r="H18" s="214">
        <f t="shared" si="0"/>
        <v>0</v>
      </c>
      <c r="I18" s="215"/>
      <c r="J18" s="216" t="str">
        <f t="shared" si="8"/>
        <v xml:space="preserve"> </v>
      </c>
      <c r="K18" s="217" t="str">
        <f t="shared" si="2"/>
        <v xml:space="preserve"> </v>
      </c>
      <c r="L18" s="312"/>
      <c r="M18" s="303"/>
      <c r="N18" s="303"/>
      <c r="O18" s="303"/>
      <c r="P18" s="238"/>
      <c r="AM18" s="303"/>
      <c r="AN18" s="303"/>
      <c r="AO18" s="303"/>
      <c r="AP18" s="303"/>
      <c r="AQ18" s="303"/>
      <c r="AR18" s="303"/>
      <c r="AS18" s="303"/>
      <c r="AT18" s="303"/>
      <c r="AU18" s="303"/>
      <c r="AV18" s="303"/>
      <c r="AW18" s="303"/>
      <c r="AX18" s="303"/>
      <c r="AY18" s="303"/>
      <c r="AZ18" s="303"/>
      <c r="BA18" s="303"/>
      <c r="BB18" s="303"/>
      <c r="BC18" s="303"/>
      <c r="BD18" s="303"/>
    </row>
    <row r="19" spans="1:56" ht="15.75" thickBot="1" x14ac:dyDescent="0.25">
      <c r="A19" s="302"/>
      <c r="B19" s="761"/>
      <c r="C19" s="211"/>
      <c r="D19" s="212"/>
      <c r="E19" s="213"/>
      <c r="F19" s="213"/>
      <c r="G19" s="213"/>
      <c r="H19" s="214">
        <f t="shared" si="0"/>
        <v>0</v>
      </c>
      <c r="I19" s="215"/>
      <c r="J19" s="216" t="str">
        <f t="shared" si="8"/>
        <v xml:space="preserve"> </v>
      </c>
      <c r="K19" s="217" t="str">
        <f t="shared" si="2"/>
        <v xml:space="preserve"> </v>
      </c>
      <c r="L19" s="312"/>
      <c r="M19" s="303"/>
      <c r="N19" s="240" t="s">
        <v>69</v>
      </c>
      <c r="O19" s="241">
        <v>22</v>
      </c>
      <c r="P19" s="303"/>
      <c r="AM19" s="303"/>
      <c r="AN19" s="303"/>
      <c r="AO19" s="303"/>
      <c r="AP19" s="303"/>
      <c r="AQ19" s="303"/>
      <c r="AR19" s="303"/>
      <c r="AS19" s="303"/>
      <c r="AT19" s="303"/>
      <c r="AU19" s="303"/>
      <c r="AV19" s="303"/>
      <c r="AW19" s="303"/>
      <c r="AX19" s="303"/>
      <c r="AY19" s="303"/>
      <c r="AZ19" s="303"/>
      <c r="BA19" s="303"/>
      <c r="BB19" s="303"/>
      <c r="BC19" s="303"/>
      <c r="BD19" s="303"/>
    </row>
    <row r="20" spans="1:56" ht="15.75" thickBot="1" x14ac:dyDescent="0.25">
      <c r="A20" s="302"/>
      <c r="B20" s="761"/>
      <c r="C20" s="211"/>
      <c r="D20" s="212"/>
      <c r="E20" s="213"/>
      <c r="F20" s="213"/>
      <c r="G20" s="213"/>
      <c r="H20" s="214">
        <f t="shared" ref="H20" si="9">D20-E20-G20-F20</f>
        <v>0</v>
      </c>
      <c r="I20" s="215"/>
      <c r="J20" s="216" t="str">
        <f t="shared" ref="J20" si="10">IF(ISBLANK(I20)," ",IF(ABS(I20-H20)&lt;0.01,"Correcto ",IF(ABS(I20-H20)&gt;0.01,"Faltan","Sobran")))</f>
        <v xml:space="preserve"> </v>
      </c>
      <c r="K20" s="217" t="str">
        <f t="shared" ref="K20" si="11">IF(ISBLANK(I20)," ",IF(ABS(I20-H20)&lt;0.01," ",I20-H20))</f>
        <v xml:space="preserve"> </v>
      </c>
      <c r="L20" s="312"/>
      <c r="M20" s="303"/>
      <c r="N20" s="242"/>
      <c r="O20" s="243"/>
      <c r="P20" s="303"/>
      <c r="AM20" s="303"/>
      <c r="AN20" s="303"/>
      <c r="AO20" s="303"/>
      <c r="AP20" s="303"/>
      <c r="AQ20" s="303"/>
      <c r="AR20" s="303"/>
      <c r="AS20" s="303"/>
      <c r="AT20" s="303"/>
      <c r="AU20" s="303"/>
      <c r="AV20" s="303"/>
      <c r="AW20" s="303"/>
      <c r="AX20" s="303"/>
      <c r="AY20" s="303"/>
      <c r="AZ20" s="303"/>
      <c r="BA20" s="303"/>
      <c r="BB20" s="303"/>
      <c r="BC20" s="303"/>
      <c r="BD20" s="303"/>
    </row>
    <row r="21" spans="1:56" ht="15.75" thickBot="1" x14ac:dyDescent="0.25">
      <c r="A21" s="302"/>
      <c r="B21" s="761"/>
      <c r="C21" s="211"/>
      <c r="D21" s="212"/>
      <c r="E21" s="213"/>
      <c r="F21" s="213"/>
      <c r="G21" s="213"/>
      <c r="H21" s="214">
        <f t="shared" si="0"/>
        <v>0</v>
      </c>
      <c r="I21" s="215"/>
      <c r="J21" s="216" t="str">
        <f t="shared" si="8"/>
        <v xml:space="preserve"> </v>
      </c>
      <c r="K21" s="217" t="str">
        <f t="shared" si="2"/>
        <v xml:space="preserve"> </v>
      </c>
      <c r="L21" s="312"/>
      <c r="M21" s="303"/>
      <c r="N21" s="244"/>
      <c r="O21" s="243"/>
      <c r="P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</row>
    <row r="22" spans="1:56" ht="15.75" thickBot="1" x14ac:dyDescent="0.25">
      <c r="A22" s="302"/>
      <c r="B22" s="761"/>
      <c r="C22" s="211"/>
      <c r="D22" s="212"/>
      <c r="E22" s="213"/>
      <c r="F22" s="213"/>
      <c r="G22" s="213"/>
      <c r="H22" s="214">
        <f t="shared" si="0"/>
        <v>0</v>
      </c>
      <c r="I22" s="215"/>
      <c r="J22" s="216" t="str">
        <f t="shared" si="8"/>
        <v xml:space="preserve"> </v>
      </c>
      <c r="K22" s="217" t="str">
        <f t="shared" si="2"/>
        <v xml:space="preserve"> </v>
      </c>
      <c r="L22" s="312"/>
      <c r="M22" s="303"/>
      <c r="N22" s="244"/>
      <c r="O22" s="243"/>
      <c r="P22" s="303"/>
      <c r="AM22" s="303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303"/>
    </row>
    <row r="23" spans="1:56" ht="15.75" thickBot="1" x14ac:dyDescent="0.25">
      <c r="A23" s="302"/>
      <c r="B23" s="761"/>
      <c r="C23" s="211"/>
      <c r="D23" s="212"/>
      <c r="E23" s="213"/>
      <c r="F23" s="213"/>
      <c r="G23" s="213"/>
      <c r="H23" s="214">
        <f t="shared" si="0"/>
        <v>0</v>
      </c>
      <c r="I23" s="215"/>
      <c r="J23" s="216" t="str">
        <f t="shared" si="8"/>
        <v xml:space="preserve"> </v>
      </c>
      <c r="K23" s="217" t="str">
        <f t="shared" si="2"/>
        <v xml:space="preserve"> </v>
      </c>
      <c r="L23" s="312"/>
      <c r="M23" s="303"/>
      <c r="N23" s="249"/>
      <c r="O23" s="243"/>
      <c r="P23" s="303"/>
      <c r="AM23" s="303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3"/>
      <c r="AY23" s="303"/>
      <c r="AZ23" s="303"/>
      <c r="BA23" s="303"/>
      <c r="BB23" s="303"/>
      <c r="BC23" s="303"/>
      <c r="BD23" s="303"/>
    </row>
    <row r="24" spans="1:56" x14ac:dyDescent="0.2">
      <c r="A24" s="302"/>
      <c r="B24" s="761"/>
      <c r="C24" s="211"/>
      <c r="D24" s="212"/>
      <c r="E24" s="213"/>
      <c r="F24" s="213"/>
      <c r="G24" s="213"/>
      <c r="H24" s="214">
        <f t="shared" si="0"/>
        <v>0</v>
      </c>
      <c r="I24" s="215"/>
      <c r="J24" s="216" t="str">
        <f t="shared" si="8"/>
        <v xml:space="preserve"> </v>
      </c>
      <c r="K24" s="250" t="str">
        <f t="shared" ref="K24" si="12">IF(ISBLANK(I24)," ",IF(I24-H24&lt;0.01," ",I24-H24))</f>
        <v xml:space="preserve"> </v>
      </c>
      <c r="L24" s="233"/>
      <c r="M24" s="303"/>
      <c r="N24" s="303"/>
      <c r="O24" s="303"/>
      <c r="P24" s="238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303"/>
      <c r="AZ24" s="303"/>
      <c r="BA24" s="303"/>
      <c r="BB24" s="303"/>
      <c r="BC24" s="303"/>
      <c r="BD24" s="303"/>
    </row>
    <row r="25" spans="1:56" x14ac:dyDescent="0.2">
      <c r="A25" s="302"/>
      <c r="B25" s="303"/>
      <c r="C25" s="303"/>
      <c r="D25" s="251">
        <f t="shared" ref="D25:I25" si="13">SUM(D10:D24)</f>
        <v>8653.7061022504895</v>
      </c>
      <c r="E25" s="251">
        <f t="shared" si="13"/>
        <v>527.51454073869866</v>
      </c>
      <c r="F25" s="252">
        <f t="shared" si="13"/>
        <v>178.70143357853306</v>
      </c>
      <c r="G25" s="252">
        <f t="shared" si="13"/>
        <v>1237.3198982925635</v>
      </c>
      <c r="H25" s="253">
        <f t="shared" si="13"/>
        <v>6710.1702296406938</v>
      </c>
      <c r="I25" s="253">
        <f t="shared" si="13"/>
        <v>6715.58</v>
      </c>
      <c r="J25" s="253"/>
      <c r="K25" s="253"/>
      <c r="L25" s="303"/>
      <c r="M25" s="303"/>
      <c r="N25" s="303"/>
      <c r="O25" s="303"/>
      <c r="P25" s="238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Y25" s="303"/>
      <c r="AZ25" s="303"/>
      <c r="BA25" s="303"/>
      <c r="BB25" s="303"/>
      <c r="BC25" s="303"/>
      <c r="BD25" s="303"/>
    </row>
    <row r="26" spans="1:56" x14ac:dyDescent="0.2">
      <c r="A26" s="302"/>
      <c r="B26" s="303"/>
      <c r="C26" s="303"/>
      <c r="D26" s="254">
        <f>D25-E25-G25-F25</f>
        <v>6710.1702296406938</v>
      </c>
      <c r="E26" s="254"/>
      <c r="F26" s="254"/>
      <c r="G26" s="254"/>
      <c r="H26" s="255"/>
      <c r="I26" s="255"/>
      <c r="J26" s="255"/>
      <c r="K26" s="255"/>
      <c r="L26" s="303"/>
      <c r="M26" s="303"/>
      <c r="N26" s="303"/>
      <c r="O26" s="303"/>
      <c r="P26" s="238"/>
      <c r="AM26" s="303"/>
      <c r="AN26" s="303"/>
      <c r="AO26" s="303"/>
      <c r="AP26" s="303"/>
      <c r="AQ26" s="303"/>
      <c r="AR26" s="303"/>
      <c r="AS26" s="303"/>
      <c r="AT26" s="303"/>
      <c r="AU26" s="303"/>
      <c r="AV26" s="303"/>
      <c r="AW26" s="303"/>
      <c r="AX26" s="303"/>
      <c r="AY26" s="303"/>
      <c r="AZ26" s="303"/>
      <c r="BA26" s="303"/>
      <c r="BB26" s="303"/>
      <c r="BC26" s="303"/>
      <c r="BD26" s="303"/>
    </row>
    <row r="27" spans="1:56" x14ac:dyDescent="0.2">
      <c r="A27" s="302"/>
      <c r="B27" s="303"/>
      <c r="C27" s="303"/>
      <c r="D27" s="303"/>
      <c r="E27" s="303"/>
      <c r="F27" s="303"/>
      <c r="G27" s="303"/>
      <c r="H27" s="303"/>
      <c r="I27" s="209">
        <v>2025</v>
      </c>
      <c r="J27" s="256">
        <v>2550</v>
      </c>
      <c r="K27" s="257" t="s">
        <v>76</v>
      </c>
      <c r="L27" s="209"/>
      <c r="M27" s="303"/>
      <c r="N27" s="303"/>
      <c r="O27" s="303"/>
      <c r="P27" s="303"/>
      <c r="AM27" s="303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3"/>
      <c r="AY27" s="303"/>
      <c r="AZ27" s="303"/>
      <c r="BA27" s="303"/>
      <c r="BB27" s="303"/>
      <c r="BC27" s="303"/>
      <c r="BD27" s="303"/>
    </row>
    <row r="28" spans="1:56" x14ac:dyDescent="0.2">
      <c r="A28" s="302"/>
      <c r="B28" s="303"/>
      <c r="C28" s="303"/>
      <c r="D28" s="303"/>
      <c r="E28" s="303"/>
      <c r="F28" s="303"/>
      <c r="G28" s="303"/>
      <c r="H28" s="303"/>
      <c r="I28" s="209" t="s">
        <v>72</v>
      </c>
      <c r="J28" s="258">
        <v>0.4</v>
      </c>
      <c r="K28" s="259">
        <v>0</v>
      </c>
      <c r="L28" s="322">
        <f>J28*K28*$O$52</f>
        <v>0</v>
      </c>
      <c r="M28" s="303"/>
      <c r="N28" s="303"/>
      <c r="O28" s="303"/>
      <c r="P28" s="303"/>
      <c r="AM28" s="303"/>
      <c r="AN28" s="303"/>
      <c r="AO28" s="303"/>
      <c r="AP28" s="303"/>
      <c r="AQ28" s="303"/>
      <c r="AR28" s="303"/>
      <c r="AS28" s="303"/>
      <c r="AT28" s="303"/>
      <c r="AU28" s="303"/>
      <c r="AV28" s="303"/>
      <c r="AW28" s="303"/>
      <c r="AX28" s="303"/>
      <c r="AY28" s="303"/>
      <c r="AZ28" s="303"/>
      <c r="BA28" s="303"/>
      <c r="BB28" s="303"/>
      <c r="BC28" s="303"/>
      <c r="BD28" s="303"/>
    </row>
    <row r="29" spans="1:56" x14ac:dyDescent="0.2">
      <c r="A29" s="302"/>
      <c r="B29" s="303"/>
      <c r="C29" s="303"/>
      <c r="D29" s="303"/>
      <c r="E29" s="303"/>
      <c r="F29" s="303"/>
      <c r="G29" s="303"/>
      <c r="H29" s="303"/>
      <c r="I29" s="209" t="s">
        <v>73</v>
      </c>
      <c r="J29" s="258">
        <v>0.4</v>
      </c>
      <c r="K29" s="259">
        <v>0</v>
      </c>
      <c r="L29" s="322">
        <f>J29*K29*$O$52</f>
        <v>0</v>
      </c>
      <c r="M29" s="303">
        <v>173</v>
      </c>
      <c r="N29" s="303"/>
      <c r="O29" s="303"/>
      <c r="P29" s="303"/>
      <c r="AM29" s="303"/>
      <c r="AN29" s="303"/>
      <c r="AO29" s="303"/>
      <c r="AP29" s="303"/>
      <c r="AQ29" s="303"/>
      <c r="AR29" s="303"/>
      <c r="AS29" s="303"/>
      <c r="AT29" s="303"/>
      <c r="AU29" s="303"/>
      <c r="AV29" s="303"/>
      <c r="AW29" s="303"/>
      <c r="AX29" s="303"/>
      <c r="AY29" s="303"/>
      <c r="AZ29" s="303"/>
      <c r="BA29" s="303"/>
      <c r="BB29" s="303"/>
      <c r="BC29" s="303"/>
      <c r="BD29" s="303"/>
    </row>
    <row r="30" spans="1:56" x14ac:dyDescent="0.2">
      <c r="A30" s="302"/>
      <c r="B30" s="303"/>
      <c r="C30" s="303"/>
      <c r="D30" s="303"/>
      <c r="E30" s="303"/>
      <c r="F30" s="303"/>
      <c r="G30" s="303"/>
      <c r="H30" s="303"/>
      <c r="I30" s="209" t="s">
        <v>74</v>
      </c>
      <c r="J30" s="258">
        <v>0.2</v>
      </c>
      <c r="K30" s="259">
        <v>0</v>
      </c>
      <c r="L30" s="322">
        <f>J30*K30*$O$52</f>
        <v>0</v>
      </c>
      <c r="M30" s="303"/>
      <c r="N30" s="303"/>
      <c r="O30" s="303"/>
      <c r="P30" s="303"/>
      <c r="AM30" s="303"/>
      <c r="AN30" s="303"/>
      <c r="AO30" s="303"/>
      <c r="AP30" s="303"/>
      <c r="AQ30" s="303"/>
      <c r="AR30" s="303"/>
      <c r="AS30" s="303"/>
      <c r="AT30" s="303"/>
      <c r="AU30" s="303"/>
      <c r="AV30" s="303"/>
      <c r="AW30" s="303"/>
      <c r="AX30" s="303"/>
      <c r="AY30" s="303"/>
      <c r="AZ30" s="303"/>
      <c r="BA30" s="303"/>
      <c r="BB30" s="303"/>
      <c r="BC30" s="303"/>
      <c r="BD30" s="303"/>
    </row>
    <row r="31" spans="1:56" x14ac:dyDescent="0.2">
      <c r="A31" s="302"/>
      <c r="B31" s="303"/>
      <c r="C31" s="303"/>
      <c r="D31" s="303"/>
      <c r="E31" s="303"/>
      <c r="F31" s="303"/>
      <c r="G31" s="303"/>
      <c r="H31" s="303"/>
      <c r="I31" s="323"/>
      <c r="J31" s="209"/>
      <c r="K31" s="260" t="s">
        <v>71</v>
      </c>
      <c r="L31" s="261">
        <f>SUM(L28:L30)</f>
        <v>0</v>
      </c>
      <c r="M31" s="303"/>
      <c r="N31" s="303"/>
      <c r="O31" s="303"/>
      <c r="P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</row>
    <row r="32" spans="1:56" x14ac:dyDescent="0.2">
      <c r="A32" s="302"/>
      <c r="B32" s="303"/>
      <c r="C32" s="303"/>
      <c r="D32" s="303"/>
      <c r="E32" s="303"/>
      <c r="F32" s="303"/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AM32" s="303"/>
      <c r="AN32" s="303"/>
      <c r="AO32" s="303"/>
      <c r="AP32" s="303"/>
      <c r="AQ32" s="303"/>
      <c r="AR32" s="303"/>
      <c r="AS32" s="303"/>
      <c r="AT32" s="303"/>
      <c r="AU32" s="303"/>
      <c r="AV32" s="303"/>
      <c r="AW32" s="303"/>
      <c r="AX32" s="303"/>
      <c r="AY32" s="303"/>
      <c r="AZ32" s="303"/>
      <c r="BA32" s="303"/>
      <c r="BB32" s="303"/>
      <c r="BC32" s="303"/>
      <c r="BD32" s="303"/>
    </row>
    <row r="33" spans="1:56" ht="15.75" thickBot="1" x14ac:dyDescent="0.25">
      <c r="A33" s="232"/>
      <c r="B33" s="232"/>
      <c r="C33" s="232"/>
      <c r="D33" s="301"/>
      <c r="E33" s="232"/>
      <c r="F33" s="232"/>
      <c r="G33" s="232"/>
      <c r="H33" s="232"/>
      <c r="I33" s="319"/>
      <c r="J33" s="232"/>
      <c r="K33" s="232"/>
      <c r="L33" s="232"/>
      <c r="M33" s="307"/>
      <c r="N33" s="307"/>
      <c r="O33" s="307"/>
      <c r="P33" s="303"/>
      <c r="AM33" s="303"/>
      <c r="AN33" s="303"/>
      <c r="AO33" s="303"/>
      <c r="AP33" s="303"/>
      <c r="AQ33" s="303"/>
      <c r="AR33" s="303"/>
      <c r="AS33" s="303"/>
      <c r="AT33" s="303"/>
      <c r="AU33" s="303"/>
      <c r="AV33" s="303"/>
      <c r="AW33" s="303"/>
      <c r="AX33" s="303"/>
      <c r="AY33" s="303"/>
      <c r="AZ33" s="303"/>
      <c r="BA33" s="303"/>
      <c r="BB33" s="303"/>
      <c r="BC33" s="303"/>
      <c r="BD33" s="303"/>
    </row>
    <row r="34" spans="1:56" ht="16.5" thickBot="1" x14ac:dyDescent="0.25">
      <c r="A34" s="232"/>
      <c r="B34" s="208"/>
      <c r="C34" s="208"/>
      <c r="D34" s="209" t="s">
        <v>5</v>
      </c>
      <c r="E34" s="209" t="s">
        <v>6</v>
      </c>
      <c r="F34" s="210" t="s">
        <v>49</v>
      </c>
      <c r="G34" s="209" t="s">
        <v>7</v>
      </c>
      <c r="H34" s="209" t="s">
        <v>8</v>
      </c>
      <c r="I34" s="209" t="s">
        <v>9</v>
      </c>
      <c r="J34" s="209" t="s">
        <v>10</v>
      </c>
      <c r="K34" s="209"/>
      <c r="L34" s="209" t="s">
        <v>11</v>
      </c>
      <c r="M34" s="308"/>
      <c r="N34" s="308"/>
      <c r="O34" s="308"/>
      <c r="P34" s="303"/>
      <c r="Q34" s="309">
        <v>2024</v>
      </c>
      <c r="R34" s="310"/>
      <c r="S34" s="310"/>
      <c r="T34" s="310"/>
      <c r="U34" s="310"/>
      <c r="V34" s="310"/>
      <c r="W34" s="310"/>
      <c r="X34" s="310"/>
      <c r="Y34" s="310"/>
      <c r="Z34" s="310"/>
      <c r="AA34" s="310"/>
      <c r="AB34" s="310"/>
      <c r="AC34" s="310"/>
      <c r="AD34" s="310"/>
      <c r="AE34" s="310"/>
      <c r="AF34" s="310"/>
      <c r="AG34" s="310"/>
      <c r="AH34" s="310"/>
      <c r="AI34" s="310"/>
      <c r="AJ34" s="310"/>
      <c r="AK34" s="310"/>
      <c r="AL34" s="310"/>
      <c r="AM34" s="310"/>
      <c r="AN34" s="310"/>
      <c r="AO34" s="310"/>
      <c r="AP34" s="310"/>
      <c r="AQ34" s="310"/>
      <c r="AR34" s="310"/>
      <c r="AS34" s="310"/>
      <c r="AT34" s="310"/>
      <c r="AU34" s="310"/>
      <c r="AV34" s="310"/>
      <c r="AW34" s="310"/>
      <c r="AX34" s="310"/>
      <c r="AY34" s="310"/>
      <c r="AZ34" s="310"/>
      <c r="BA34" s="310"/>
      <c r="BB34" s="311"/>
      <c r="BC34" s="303"/>
      <c r="BD34" s="303"/>
    </row>
    <row r="35" spans="1:56" ht="19.5" customHeight="1" x14ac:dyDescent="0.2">
      <c r="A35" s="208"/>
      <c r="B35" s="761">
        <v>2024</v>
      </c>
      <c r="C35" s="211">
        <v>45292</v>
      </c>
      <c r="D35" s="212">
        <f>24000*1.03/14</f>
        <v>1765.7142857142858</v>
      </c>
      <c r="E35" s="213">
        <f t="shared" ref="E35:E41" si="14">(D35+L35)*0.0482</f>
        <v>99.291965571428562</v>
      </c>
      <c r="F35" s="213">
        <f t="shared" ref="F35:F41" si="15">(D35+L35)*0.0165</f>
        <v>33.989988214285717</v>
      </c>
      <c r="G35" s="213">
        <f>D35*0.12</f>
        <v>211.88571428571427</v>
      </c>
      <c r="H35" s="214">
        <f t="shared" ref="H35:H49" si="16">D35-E35-G35-F35</f>
        <v>1420.5466176428572</v>
      </c>
      <c r="I35" s="215">
        <v>1420.54</v>
      </c>
      <c r="J35" s="216" t="str">
        <f t="shared" ref="J35:J49" si="17">IF(ISBLANK(I35)," ",IF(ABS(I35-H35)&lt;0.01,"Correcto ",IF(ABS(I35-H35)&gt;0.01,"Faltan","Sobran")))</f>
        <v xml:space="preserve">Correcto </v>
      </c>
      <c r="K35" s="217" t="str">
        <f t="shared" ref="K35:K48" si="18">IF(ISBLANK(I35)," ",IF(ABS(I35-H35)&lt;0.01," ",I35-H35))</f>
        <v xml:space="preserve"> </v>
      </c>
      <c r="L35" s="312">
        <f>1765.71/6</f>
        <v>294.28500000000003</v>
      </c>
      <c r="M35" s="313"/>
      <c r="N35" s="314"/>
      <c r="O35" s="314"/>
      <c r="P35" s="303"/>
      <c r="Q35" s="315">
        <v>44562</v>
      </c>
      <c r="R35" s="218" t="s">
        <v>42</v>
      </c>
      <c r="S35" s="218" t="s">
        <v>43</v>
      </c>
      <c r="T35" s="218" t="s">
        <v>44</v>
      </c>
      <c r="U35" s="218" t="s">
        <v>45</v>
      </c>
      <c r="V35" s="218" t="s">
        <v>46</v>
      </c>
      <c r="W35" s="218" t="s">
        <v>47</v>
      </c>
      <c r="X35" s="219" t="s">
        <v>48</v>
      </c>
      <c r="Y35" s="218" t="s">
        <v>42</v>
      </c>
      <c r="Z35" s="218" t="s">
        <v>43</v>
      </c>
      <c r="AA35" s="218" t="s">
        <v>44</v>
      </c>
      <c r="AB35" s="218" t="s">
        <v>45</v>
      </c>
      <c r="AC35" s="218" t="s">
        <v>46</v>
      </c>
      <c r="AD35" s="218" t="s">
        <v>47</v>
      </c>
      <c r="AE35" s="219" t="s">
        <v>48</v>
      </c>
      <c r="AF35" s="218" t="s">
        <v>42</v>
      </c>
      <c r="AG35" s="218" t="s">
        <v>43</v>
      </c>
      <c r="AH35" s="218" t="s">
        <v>44</v>
      </c>
      <c r="AI35" s="218" t="s">
        <v>45</v>
      </c>
      <c r="AJ35" s="218" t="s">
        <v>46</v>
      </c>
      <c r="AK35" s="218" t="s">
        <v>47</v>
      </c>
      <c r="AL35" s="219" t="s">
        <v>48</v>
      </c>
      <c r="AM35" s="218" t="s">
        <v>42</v>
      </c>
      <c r="AN35" s="218" t="s">
        <v>43</v>
      </c>
      <c r="AO35" s="218" t="s">
        <v>44</v>
      </c>
      <c r="AP35" s="218" t="s">
        <v>45</v>
      </c>
      <c r="AQ35" s="218" t="s">
        <v>46</v>
      </c>
      <c r="AR35" s="218" t="s">
        <v>47</v>
      </c>
      <c r="AS35" s="219" t="s">
        <v>48</v>
      </c>
      <c r="AT35" s="218" t="s">
        <v>42</v>
      </c>
      <c r="AU35" s="218" t="s">
        <v>43</v>
      </c>
      <c r="AV35" s="218" t="s">
        <v>44</v>
      </c>
      <c r="AW35" s="218" t="s">
        <v>45</v>
      </c>
      <c r="AX35" s="218" t="s">
        <v>46</v>
      </c>
      <c r="AY35" s="218" t="s">
        <v>47</v>
      </c>
      <c r="AZ35" s="219" t="s">
        <v>48</v>
      </c>
      <c r="BA35" s="218" t="s">
        <v>42</v>
      </c>
      <c r="BB35" s="220" t="s">
        <v>43</v>
      </c>
      <c r="BC35" s="303"/>
      <c r="BD35" s="303"/>
    </row>
    <row r="36" spans="1:56" ht="19.5" customHeight="1" x14ac:dyDescent="0.2">
      <c r="A36" s="208"/>
      <c r="B36" s="761"/>
      <c r="C36" s="211" t="s">
        <v>77</v>
      </c>
      <c r="D36" s="212">
        <v>240.05</v>
      </c>
      <c r="E36" s="213">
        <f t="shared" si="14"/>
        <v>11.570410000000001</v>
      </c>
      <c r="F36" s="213">
        <f t="shared" si="15"/>
        <v>3.9608250000000003</v>
      </c>
      <c r="G36" s="213">
        <f>D36*0.12</f>
        <v>28.806000000000001</v>
      </c>
      <c r="H36" s="214">
        <f t="shared" si="16"/>
        <v>195.71276499999999</v>
      </c>
      <c r="I36" s="215">
        <v>195.72</v>
      </c>
      <c r="J36" s="216" t="str">
        <f t="shared" si="17"/>
        <v xml:space="preserve">Correcto </v>
      </c>
      <c r="K36" s="217" t="str">
        <f t="shared" si="18"/>
        <v xml:space="preserve"> </v>
      </c>
      <c r="L36" s="312"/>
      <c r="M36" s="313"/>
      <c r="N36" s="314"/>
      <c r="O36" s="314"/>
      <c r="P36" s="303"/>
      <c r="Q36" s="316" t="s">
        <v>50</v>
      </c>
      <c r="R36" s="223">
        <v>45292</v>
      </c>
      <c r="S36" s="222">
        <v>45293</v>
      </c>
      <c r="T36" s="222">
        <v>45294</v>
      </c>
      <c r="U36" s="222">
        <v>45295</v>
      </c>
      <c r="V36" s="222">
        <v>45296</v>
      </c>
      <c r="W36" s="224">
        <v>45297</v>
      </c>
      <c r="X36" s="224">
        <v>45298</v>
      </c>
      <c r="Y36" s="221">
        <v>45299</v>
      </c>
      <c r="Z36" s="221">
        <v>45300</v>
      </c>
      <c r="AA36" s="262">
        <v>45301</v>
      </c>
      <c r="AB36" s="262">
        <v>45302</v>
      </c>
      <c r="AC36" s="262">
        <v>45303</v>
      </c>
      <c r="AD36" s="224">
        <v>45304</v>
      </c>
      <c r="AE36" s="224">
        <v>45305</v>
      </c>
      <c r="AF36" s="222">
        <v>45306</v>
      </c>
      <c r="AG36" s="222">
        <v>45307</v>
      </c>
      <c r="AH36" s="222">
        <v>45308</v>
      </c>
      <c r="AI36" s="222">
        <v>45309</v>
      </c>
      <c r="AJ36" s="222">
        <v>45310</v>
      </c>
      <c r="AK36" s="224">
        <v>45311</v>
      </c>
      <c r="AL36" s="224">
        <v>45312</v>
      </c>
      <c r="AM36" s="222">
        <v>45313</v>
      </c>
      <c r="AN36" s="222">
        <v>45314</v>
      </c>
      <c r="AO36" s="222">
        <v>45315</v>
      </c>
      <c r="AP36" s="222">
        <v>45316</v>
      </c>
      <c r="AQ36" s="222">
        <v>45317</v>
      </c>
      <c r="AR36" s="224">
        <v>45318</v>
      </c>
      <c r="AS36" s="224">
        <v>45319</v>
      </c>
      <c r="AT36" s="222">
        <v>45320</v>
      </c>
      <c r="AU36" s="222">
        <v>45321</v>
      </c>
      <c r="AV36" s="222">
        <v>45322</v>
      </c>
      <c r="AW36" s="222"/>
      <c r="AX36" s="222"/>
      <c r="AY36" s="224"/>
      <c r="AZ36" s="224"/>
      <c r="BA36" s="222"/>
      <c r="BB36" s="225"/>
      <c r="BC36" s="303"/>
      <c r="BD36" s="303"/>
    </row>
    <row r="37" spans="1:56" ht="19.5" customHeight="1" x14ac:dyDescent="0.2">
      <c r="A37" s="232"/>
      <c r="B37" s="761"/>
      <c r="C37" s="211">
        <v>45323</v>
      </c>
      <c r="D37" s="212">
        <f t="shared" ref="D37:D49" si="19">24000*1.03/14</f>
        <v>1765.7142857142858</v>
      </c>
      <c r="E37" s="213">
        <f t="shared" si="14"/>
        <v>99.291965571428562</v>
      </c>
      <c r="F37" s="213">
        <f t="shared" si="15"/>
        <v>33.989988214285717</v>
      </c>
      <c r="G37" s="213">
        <f>D37*$N$41</f>
        <v>247.20000000000005</v>
      </c>
      <c r="H37" s="214">
        <f t="shared" si="16"/>
        <v>1385.2323319285715</v>
      </c>
      <c r="I37" s="215">
        <v>1385.23</v>
      </c>
      <c r="J37" s="216" t="str">
        <f t="shared" si="17"/>
        <v xml:space="preserve">Correcto </v>
      </c>
      <c r="K37" s="217" t="str">
        <f t="shared" si="18"/>
        <v xml:space="preserve"> </v>
      </c>
      <c r="L37" s="312">
        <v>294.28500000000003</v>
      </c>
      <c r="M37" s="313"/>
      <c r="N37" s="314"/>
      <c r="O37" s="317"/>
      <c r="P37" s="303"/>
      <c r="Q37" s="318" t="s">
        <v>51</v>
      </c>
      <c r="R37" s="221"/>
      <c r="S37" s="221"/>
      <c r="T37" s="221"/>
      <c r="U37" s="221">
        <v>45323</v>
      </c>
      <c r="V37" s="221">
        <v>45324</v>
      </c>
      <c r="W37" s="227">
        <v>45325</v>
      </c>
      <c r="X37" s="227">
        <v>45326</v>
      </c>
      <c r="Y37" s="221">
        <v>45327</v>
      </c>
      <c r="Z37" s="221">
        <v>45328</v>
      </c>
      <c r="AA37" s="221">
        <v>45329</v>
      </c>
      <c r="AB37" s="221">
        <v>45330</v>
      </c>
      <c r="AC37" s="221">
        <v>45331</v>
      </c>
      <c r="AD37" s="227">
        <v>45332</v>
      </c>
      <c r="AE37" s="227">
        <v>45333</v>
      </c>
      <c r="AF37" s="221">
        <v>45334</v>
      </c>
      <c r="AG37" s="221">
        <v>45335</v>
      </c>
      <c r="AH37" s="221">
        <v>45336</v>
      </c>
      <c r="AI37" s="221">
        <v>45337</v>
      </c>
      <c r="AJ37" s="221">
        <v>45338</v>
      </c>
      <c r="AK37" s="227">
        <v>45339</v>
      </c>
      <c r="AL37" s="227">
        <v>45340</v>
      </c>
      <c r="AM37" s="221">
        <v>45341</v>
      </c>
      <c r="AN37" s="221">
        <v>45342</v>
      </c>
      <c r="AO37" s="221">
        <v>45343</v>
      </c>
      <c r="AP37" s="221">
        <v>45344</v>
      </c>
      <c r="AQ37" s="221">
        <v>45345</v>
      </c>
      <c r="AR37" s="227">
        <v>45346</v>
      </c>
      <c r="AS37" s="227">
        <v>45347</v>
      </c>
      <c r="AT37" s="221">
        <v>45348</v>
      </c>
      <c r="AU37" s="221">
        <v>45349</v>
      </c>
      <c r="AV37" s="221">
        <v>45350</v>
      </c>
      <c r="AW37" s="221">
        <v>45351</v>
      </c>
      <c r="AX37" s="221"/>
      <c r="AY37" s="227"/>
      <c r="AZ37" s="227"/>
      <c r="BA37" s="221"/>
      <c r="BB37" s="229"/>
      <c r="BC37" s="303"/>
      <c r="BD37" s="303"/>
    </row>
    <row r="38" spans="1:56" ht="19.5" customHeight="1" x14ac:dyDescent="0.2">
      <c r="A38" s="232"/>
      <c r="B38" s="761"/>
      <c r="C38" s="211">
        <v>45352</v>
      </c>
      <c r="D38" s="212">
        <f t="shared" si="19"/>
        <v>1765.7142857142858</v>
      </c>
      <c r="E38" s="213">
        <f t="shared" si="14"/>
        <v>99.291965571428562</v>
      </c>
      <c r="F38" s="213">
        <f t="shared" si="15"/>
        <v>33.989988214285717</v>
      </c>
      <c r="G38" s="213">
        <f t="shared" ref="G38:G49" si="20">D38*$N$41</f>
        <v>247.20000000000005</v>
      </c>
      <c r="H38" s="214">
        <f t="shared" si="16"/>
        <v>1385.2323319285715</v>
      </c>
      <c r="I38" s="215">
        <v>1385.23</v>
      </c>
      <c r="J38" s="216" t="str">
        <f t="shared" si="17"/>
        <v xml:space="preserve">Correcto </v>
      </c>
      <c r="K38" s="217" t="str">
        <f t="shared" si="18"/>
        <v xml:space="preserve"> </v>
      </c>
      <c r="L38" s="312">
        <v>294.28500000000003</v>
      </c>
      <c r="M38" s="319"/>
      <c r="N38" s="230" t="s">
        <v>68</v>
      </c>
      <c r="O38" s="231">
        <f>SUM(D35:D49)</f>
        <v>24960.050000000007</v>
      </c>
      <c r="P38" s="232"/>
      <c r="Q38" s="318" t="s">
        <v>52</v>
      </c>
      <c r="R38" s="221"/>
      <c r="S38" s="221"/>
      <c r="T38" s="221"/>
      <c r="U38" s="221"/>
      <c r="V38" s="221">
        <v>45352</v>
      </c>
      <c r="W38" s="227">
        <v>45353</v>
      </c>
      <c r="X38" s="227">
        <v>45354</v>
      </c>
      <c r="Y38" s="221">
        <v>45355</v>
      </c>
      <c r="Z38" s="221">
        <v>45356</v>
      </c>
      <c r="AA38" s="221">
        <v>45357</v>
      </c>
      <c r="AB38" s="221">
        <v>45358</v>
      </c>
      <c r="AC38" s="221">
        <v>45359</v>
      </c>
      <c r="AD38" s="227">
        <v>45360</v>
      </c>
      <c r="AE38" s="227">
        <v>45361</v>
      </c>
      <c r="AF38" s="221">
        <v>45362</v>
      </c>
      <c r="AG38" s="221">
        <v>45363</v>
      </c>
      <c r="AH38" s="221">
        <v>45364</v>
      </c>
      <c r="AI38" s="221">
        <v>45365</v>
      </c>
      <c r="AJ38" s="221">
        <v>45366</v>
      </c>
      <c r="AK38" s="227">
        <v>45367</v>
      </c>
      <c r="AL38" s="227">
        <v>45368</v>
      </c>
      <c r="AM38" s="221">
        <v>45369</v>
      </c>
      <c r="AN38" s="221">
        <v>45370</v>
      </c>
      <c r="AO38" s="221">
        <v>45371</v>
      </c>
      <c r="AP38" s="221">
        <v>45372</v>
      </c>
      <c r="AQ38" s="221">
        <v>45373</v>
      </c>
      <c r="AR38" s="227">
        <v>45374</v>
      </c>
      <c r="AS38" s="227">
        <v>45375</v>
      </c>
      <c r="AT38" s="221">
        <v>45376</v>
      </c>
      <c r="AU38" s="221">
        <v>45377</v>
      </c>
      <c r="AV38" s="221">
        <v>45378</v>
      </c>
      <c r="AW38" s="263">
        <v>45379</v>
      </c>
      <c r="AX38" s="263">
        <v>45380</v>
      </c>
      <c r="AY38" s="227">
        <v>45381</v>
      </c>
      <c r="AZ38" s="227">
        <v>45382</v>
      </c>
      <c r="BA38" s="221"/>
      <c r="BB38" s="229"/>
      <c r="BC38" s="303"/>
      <c r="BD38" s="303"/>
    </row>
    <row r="39" spans="1:56" ht="19.5" customHeight="1" x14ac:dyDescent="0.2">
      <c r="A39" s="232"/>
      <c r="B39" s="761"/>
      <c r="C39" s="211">
        <v>45383</v>
      </c>
      <c r="D39" s="212">
        <f t="shared" si="19"/>
        <v>1765.7142857142858</v>
      </c>
      <c r="E39" s="213">
        <f t="shared" si="14"/>
        <v>99.291965571428562</v>
      </c>
      <c r="F39" s="213">
        <f t="shared" si="15"/>
        <v>33.989988214285717</v>
      </c>
      <c r="G39" s="213">
        <f t="shared" si="20"/>
        <v>247.20000000000005</v>
      </c>
      <c r="H39" s="214">
        <f t="shared" si="16"/>
        <v>1385.2323319285715</v>
      </c>
      <c r="I39" s="215">
        <v>1385.23</v>
      </c>
      <c r="J39" s="216" t="str">
        <f t="shared" si="17"/>
        <v xml:space="preserve">Correcto </v>
      </c>
      <c r="K39" s="217" t="str">
        <f t="shared" si="18"/>
        <v xml:space="preserve"> </v>
      </c>
      <c r="L39" s="312">
        <v>294.28500000000003</v>
      </c>
      <c r="M39" s="233"/>
      <c r="N39" s="234" t="s">
        <v>13</v>
      </c>
      <c r="O39" s="235">
        <f>SUM(E35:F49)</f>
        <v>1614.9146804285713</v>
      </c>
      <c r="P39" s="236"/>
      <c r="Q39" s="318" t="s">
        <v>53</v>
      </c>
      <c r="R39" s="263">
        <v>45383</v>
      </c>
      <c r="S39" s="221">
        <v>45384</v>
      </c>
      <c r="T39" s="221">
        <v>45385</v>
      </c>
      <c r="U39" s="221">
        <v>45386</v>
      </c>
      <c r="V39" s="221">
        <v>45387</v>
      </c>
      <c r="W39" s="227">
        <v>45388</v>
      </c>
      <c r="X39" s="227">
        <v>45389</v>
      </c>
      <c r="Y39" s="221">
        <v>45390</v>
      </c>
      <c r="Z39" s="221">
        <v>45391</v>
      </c>
      <c r="AA39" s="221">
        <v>45392</v>
      </c>
      <c r="AB39" s="221">
        <v>45393</v>
      </c>
      <c r="AC39" s="221">
        <v>45394</v>
      </c>
      <c r="AD39" s="227">
        <v>45395</v>
      </c>
      <c r="AE39" s="227">
        <v>45396</v>
      </c>
      <c r="AF39" s="221">
        <v>45397</v>
      </c>
      <c r="AG39" s="221">
        <v>45398</v>
      </c>
      <c r="AH39" s="221">
        <v>45399</v>
      </c>
      <c r="AI39" s="221">
        <v>45400</v>
      </c>
      <c r="AJ39" s="221">
        <v>45401</v>
      </c>
      <c r="AK39" s="227">
        <v>45402</v>
      </c>
      <c r="AL39" s="227">
        <v>45403</v>
      </c>
      <c r="AM39" s="221">
        <v>45404</v>
      </c>
      <c r="AN39" s="221">
        <v>45405</v>
      </c>
      <c r="AO39" s="221">
        <v>45406</v>
      </c>
      <c r="AP39" s="221">
        <v>45407</v>
      </c>
      <c r="AQ39" s="221">
        <v>45408</v>
      </c>
      <c r="AR39" s="227">
        <v>45409</v>
      </c>
      <c r="AS39" s="227">
        <v>45410</v>
      </c>
      <c r="AT39" s="263">
        <v>45411</v>
      </c>
      <c r="AU39" s="221">
        <v>45412</v>
      </c>
      <c r="AV39" s="221"/>
      <c r="AW39" s="221"/>
      <c r="AX39" s="221"/>
      <c r="AY39" s="227"/>
      <c r="AZ39" s="227"/>
      <c r="BA39" s="221"/>
      <c r="BB39" s="229"/>
      <c r="BC39" s="303"/>
      <c r="BD39" s="303"/>
    </row>
    <row r="40" spans="1:56" ht="19.5" customHeight="1" x14ac:dyDescent="0.2">
      <c r="A40" s="232"/>
      <c r="B40" s="761"/>
      <c r="C40" s="211">
        <v>45413</v>
      </c>
      <c r="D40" s="212">
        <f t="shared" si="19"/>
        <v>1765.7142857142858</v>
      </c>
      <c r="E40" s="213">
        <f t="shared" si="14"/>
        <v>99.291965571428562</v>
      </c>
      <c r="F40" s="213">
        <f t="shared" si="15"/>
        <v>33.989988214285717</v>
      </c>
      <c r="G40" s="213">
        <f t="shared" si="20"/>
        <v>247.20000000000005</v>
      </c>
      <c r="H40" s="214">
        <f t="shared" si="16"/>
        <v>1385.2323319285715</v>
      </c>
      <c r="I40" s="215">
        <v>1385.23</v>
      </c>
      <c r="J40" s="216" t="str">
        <f t="shared" si="17"/>
        <v xml:space="preserve">Correcto </v>
      </c>
      <c r="K40" s="217" t="str">
        <f t="shared" si="18"/>
        <v xml:space="preserve"> </v>
      </c>
      <c r="L40" s="312">
        <v>294.28500000000003</v>
      </c>
      <c r="M40" s="233"/>
      <c r="N40" s="237" t="s">
        <v>7</v>
      </c>
      <c r="O40" s="235">
        <f>SUM(G35:G49)</f>
        <v>3454.2917142857141</v>
      </c>
      <c r="P40" s="238"/>
      <c r="Q40" s="318" t="s">
        <v>54</v>
      </c>
      <c r="R40" s="221"/>
      <c r="S40" s="221"/>
      <c r="T40" s="263">
        <v>45413</v>
      </c>
      <c r="U40" s="221">
        <v>45414</v>
      </c>
      <c r="V40" s="221">
        <v>45415</v>
      </c>
      <c r="W40" s="227">
        <v>45416</v>
      </c>
      <c r="X40" s="227">
        <v>45417</v>
      </c>
      <c r="Y40" s="221">
        <v>45418</v>
      </c>
      <c r="Z40" s="221">
        <v>45419</v>
      </c>
      <c r="AA40" s="221">
        <v>45420</v>
      </c>
      <c r="AB40" s="221">
        <v>45421</v>
      </c>
      <c r="AC40" s="221">
        <v>45422</v>
      </c>
      <c r="AD40" s="227">
        <v>45423</v>
      </c>
      <c r="AE40" s="227">
        <v>45424</v>
      </c>
      <c r="AF40" s="221">
        <v>45425</v>
      </c>
      <c r="AG40" s="221">
        <v>45426</v>
      </c>
      <c r="AH40" s="221">
        <v>45427</v>
      </c>
      <c r="AI40" s="221">
        <v>45428</v>
      </c>
      <c r="AJ40" s="221">
        <v>45429</v>
      </c>
      <c r="AK40" s="227">
        <v>45430</v>
      </c>
      <c r="AL40" s="227">
        <v>45431</v>
      </c>
      <c r="AM40" s="221">
        <v>45432</v>
      </c>
      <c r="AN40" s="221">
        <v>45433</v>
      </c>
      <c r="AO40" s="221">
        <v>45434</v>
      </c>
      <c r="AP40" s="221">
        <v>45435</v>
      </c>
      <c r="AQ40" s="221">
        <v>45436</v>
      </c>
      <c r="AR40" s="227">
        <v>45437</v>
      </c>
      <c r="AS40" s="227">
        <v>45438</v>
      </c>
      <c r="AT40" s="221">
        <v>45439</v>
      </c>
      <c r="AU40" s="221">
        <v>45440</v>
      </c>
      <c r="AV40" s="221">
        <v>45441</v>
      </c>
      <c r="AW40" s="221">
        <v>45442</v>
      </c>
      <c r="AX40" s="221">
        <v>45443</v>
      </c>
      <c r="AY40" s="227"/>
      <c r="AZ40" s="227"/>
      <c r="BA40" s="221"/>
      <c r="BB40" s="229"/>
      <c r="BC40" s="303"/>
      <c r="BD40" s="303"/>
    </row>
    <row r="41" spans="1:56" ht="19.5" customHeight="1" x14ac:dyDescent="0.2">
      <c r="A41" s="232"/>
      <c r="B41" s="761"/>
      <c r="C41" s="211">
        <v>45444</v>
      </c>
      <c r="D41" s="212">
        <f t="shared" si="19"/>
        <v>1765.7142857142858</v>
      </c>
      <c r="E41" s="213">
        <f t="shared" si="14"/>
        <v>99.291965571428562</v>
      </c>
      <c r="F41" s="213">
        <f t="shared" si="15"/>
        <v>33.989988214285717</v>
      </c>
      <c r="G41" s="213">
        <f t="shared" si="20"/>
        <v>247.20000000000005</v>
      </c>
      <c r="H41" s="214">
        <f t="shared" si="16"/>
        <v>1385.2323319285715</v>
      </c>
      <c r="I41" s="215">
        <v>1385.23</v>
      </c>
      <c r="J41" s="216" t="str">
        <f t="shared" si="17"/>
        <v xml:space="preserve">Correcto </v>
      </c>
      <c r="K41" s="217" t="str">
        <f t="shared" si="18"/>
        <v xml:space="preserve"> </v>
      </c>
      <c r="L41" s="312">
        <v>294.28500000000003</v>
      </c>
      <c r="M41" s="255"/>
      <c r="N41" s="239">
        <v>0.14000000000000001</v>
      </c>
      <c r="O41" s="232"/>
      <c r="P41" s="320"/>
      <c r="Q41" s="318" t="s">
        <v>55</v>
      </c>
      <c r="R41" s="221"/>
      <c r="S41" s="221"/>
      <c r="T41" s="221"/>
      <c r="U41" s="221"/>
      <c r="V41" s="221"/>
      <c r="W41" s="227">
        <v>45444</v>
      </c>
      <c r="X41" s="227">
        <v>45445</v>
      </c>
      <c r="Y41" s="221">
        <v>45446</v>
      </c>
      <c r="Z41" s="221">
        <v>45447</v>
      </c>
      <c r="AA41" s="221">
        <v>45448</v>
      </c>
      <c r="AB41" s="221">
        <v>45449</v>
      </c>
      <c r="AC41" s="221">
        <v>45450</v>
      </c>
      <c r="AD41" s="227">
        <v>45451</v>
      </c>
      <c r="AE41" s="227">
        <v>45452</v>
      </c>
      <c r="AF41" s="221">
        <v>45453</v>
      </c>
      <c r="AG41" s="221">
        <v>45454</v>
      </c>
      <c r="AH41" s="221">
        <v>45455</v>
      </c>
      <c r="AI41" s="221">
        <v>45456</v>
      </c>
      <c r="AJ41" s="221">
        <v>45457</v>
      </c>
      <c r="AK41" s="227">
        <v>45458</v>
      </c>
      <c r="AL41" s="227">
        <v>45459</v>
      </c>
      <c r="AM41" s="221">
        <v>45460</v>
      </c>
      <c r="AN41" s="264">
        <v>45461</v>
      </c>
      <c r="AO41" s="264">
        <v>45462</v>
      </c>
      <c r="AP41" s="264">
        <v>45463</v>
      </c>
      <c r="AQ41" s="264">
        <v>45464</v>
      </c>
      <c r="AR41" s="227">
        <v>45465</v>
      </c>
      <c r="AS41" s="227">
        <v>45466</v>
      </c>
      <c r="AT41" s="264">
        <v>45467</v>
      </c>
      <c r="AU41" s="264">
        <v>45468</v>
      </c>
      <c r="AV41" s="221">
        <v>45469</v>
      </c>
      <c r="AW41" s="221">
        <v>45470</v>
      </c>
      <c r="AX41" s="221">
        <v>45471</v>
      </c>
      <c r="AY41" s="227">
        <v>45472</v>
      </c>
      <c r="AZ41" s="227">
        <v>45473</v>
      </c>
      <c r="BA41" s="221"/>
      <c r="BB41" s="229"/>
      <c r="BC41" s="303"/>
      <c r="BD41" s="303"/>
    </row>
    <row r="42" spans="1:56" ht="19.5" customHeight="1" x14ac:dyDescent="0.2">
      <c r="A42" s="232"/>
      <c r="B42" s="761"/>
      <c r="C42" s="211" t="s">
        <v>91</v>
      </c>
      <c r="D42" s="212">
        <f t="shared" si="19"/>
        <v>1765.7142857142858</v>
      </c>
      <c r="E42" s="213"/>
      <c r="F42" s="213"/>
      <c r="G42" s="213">
        <f t="shared" si="20"/>
        <v>247.20000000000005</v>
      </c>
      <c r="H42" s="214">
        <f t="shared" si="16"/>
        <v>1518.5142857142857</v>
      </c>
      <c r="I42" s="215">
        <v>1518.51</v>
      </c>
      <c r="J42" s="216" t="str">
        <f t="shared" si="17"/>
        <v xml:space="preserve">Correcto </v>
      </c>
      <c r="K42" s="217" t="str">
        <f t="shared" si="18"/>
        <v xml:space="preserve"> </v>
      </c>
      <c r="L42" s="233"/>
      <c r="M42" s="232"/>
      <c r="N42" s="303"/>
      <c r="O42" s="303"/>
      <c r="P42" s="238"/>
      <c r="Q42" s="318" t="s">
        <v>56</v>
      </c>
      <c r="R42" s="264">
        <v>45474</v>
      </c>
      <c r="S42" s="221">
        <v>45475</v>
      </c>
      <c r="T42" s="221">
        <v>45476</v>
      </c>
      <c r="U42" s="221">
        <v>45477</v>
      </c>
      <c r="V42" s="221">
        <v>45478</v>
      </c>
      <c r="W42" s="227">
        <v>45479</v>
      </c>
      <c r="X42" s="227">
        <v>45480</v>
      </c>
      <c r="Y42" s="221">
        <v>45481</v>
      </c>
      <c r="Z42" s="221">
        <v>45482</v>
      </c>
      <c r="AA42" s="221">
        <v>45483</v>
      </c>
      <c r="AB42" s="221">
        <v>45484</v>
      </c>
      <c r="AC42" s="221">
        <v>45485</v>
      </c>
      <c r="AD42" s="227">
        <v>45486</v>
      </c>
      <c r="AE42" s="227">
        <v>45487</v>
      </c>
      <c r="AF42" s="221">
        <v>45488</v>
      </c>
      <c r="AG42" s="221">
        <v>45489</v>
      </c>
      <c r="AH42" s="221">
        <v>45490</v>
      </c>
      <c r="AI42" s="221">
        <v>45491</v>
      </c>
      <c r="AJ42" s="221">
        <v>45492</v>
      </c>
      <c r="AK42" s="227">
        <v>45493</v>
      </c>
      <c r="AL42" s="227">
        <v>45494</v>
      </c>
      <c r="AM42" s="221">
        <v>45495</v>
      </c>
      <c r="AN42" s="221">
        <v>45496</v>
      </c>
      <c r="AO42" s="221">
        <v>45497</v>
      </c>
      <c r="AP42" s="263">
        <v>45498</v>
      </c>
      <c r="AQ42" s="221">
        <v>45499</v>
      </c>
      <c r="AR42" s="227">
        <v>45500</v>
      </c>
      <c r="AS42" s="227">
        <v>45501</v>
      </c>
      <c r="AT42" s="221">
        <v>45502</v>
      </c>
      <c r="AU42" s="221">
        <v>45503</v>
      </c>
      <c r="AV42" s="221">
        <v>45504</v>
      </c>
      <c r="AW42" s="221"/>
      <c r="AX42" s="221"/>
      <c r="AY42" s="227"/>
      <c r="AZ42" s="227"/>
      <c r="BA42" s="221"/>
      <c r="BB42" s="229"/>
      <c r="BC42" s="303"/>
      <c r="BD42" s="303"/>
    </row>
    <row r="43" spans="1:56" ht="19.5" customHeight="1" thickBot="1" x14ac:dyDescent="0.25">
      <c r="A43" s="324"/>
      <c r="B43" s="761"/>
      <c r="C43" s="211">
        <v>45474</v>
      </c>
      <c r="D43" s="212">
        <f t="shared" si="19"/>
        <v>1765.7142857142858</v>
      </c>
      <c r="E43" s="213">
        <f t="shared" ref="E43:E48" si="21">(D43+L43)*0.0482</f>
        <v>99.291965571428562</v>
      </c>
      <c r="F43" s="213">
        <f t="shared" ref="F43:F48" si="22">(D43+L43)*0.0165</f>
        <v>33.989988214285717</v>
      </c>
      <c r="G43" s="213">
        <f t="shared" si="20"/>
        <v>247.20000000000005</v>
      </c>
      <c r="H43" s="214">
        <f t="shared" si="16"/>
        <v>1385.2323319285715</v>
      </c>
      <c r="I43" s="215">
        <v>1385.23</v>
      </c>
      <c r="J43" s="216" t="str">
        <f t="shared" si="17"/>
        <v xml:space="preserve">Correcto </v>
      </c>
      <c r="K43" s="217" t="str">
        <f t="shared" si="18"/>
        <v xml:space="preserve"> </v>
      </c>
      <c r="L43" s="312">
        <v>294.28500000000003</v>
      </c>
      <c r="M43" s="303"/>
      <c r="N43" s="303"/>
      <c r="O43" s="303"/>
      <c r="P43" s="238"/>
      <c r="Q43" s="318" t="s">
        <v>57</v>
      </c>
      <c r="R43" s="221"/>
      <c r="S43" s="221"/>
      <c r="T43" s="221"/>
      <c r="U43" s="221">
        <v>45505</v>
      </c>
      <c r="V43" s="221">
        <v>45506</v>
      </c>
      <c r="W43" s="227">
        <v>45507</v>
      </c>
      <c r="X43" s="227">
        <v>45508</v>
      </c>
      <c r="Y43" s="263">
        <v>45509</v>
      </c>
      <c r="Z43" s="264">
        <v>45510</v>
      </c>
      <c r="AA43" s="264">
        <v>45511</v>
      </c>
      <c r="AB43" s="264">
        <v>45512</v>
      </c>
      <c r="AC43" s="264">
        <v>45513</v>
      </c>
      <c r="AD43" s="227">
        <v>45514</v>
      </c>
      <c r="AE43" s="227">
        <v>45515</v>
      </c>
      <c r="AF43" s="264">
        <v>45516</v>
      </c>
      <c r="AG43" s="264">
        <v>45517</v>
      </c>
      <c r="AH43" s="264">
        <v>45518</v>
      </c>
      <c r="AI43" s="263">
        <v>45519</v>
      </c>
      <c r="AJ43" s="264">
        <v>45520</v>
      </c>
      <c r="AK43" s="227">
        <v>45521</v>
      </c>
      <c r="AL43" s="227">
        <v>45522</v>
      </c>
      <c r="AM43" s="264">
        <v>45523</v>
      </c>
      <c r="AN43" s="264">
        <v>45524</v>
      </c>
      <c r="AO43" s="264">
        <v>45525</v>
      </c>
      <c r="AP43" s="264">
        <v>45526</v>
      </c>
      <c r="AQ43" s="221">
        <v>45527</v>
      </c>
      <c r="AR43" s="227">
        <v>45528</v>
      </c>
      <c r="AS43" s="227">
        <v>45529</v>
      </c>
      <c r="AT43" s="221">
        <v>45530</v>
      </c>
      <c r="AU43" s="221">
        <v>45531</v>
      </c>
      <c r="AV43" s="221">
        <v>45532</v>
      </c>
      <c r="AW43" s="221">
        <v>45533</v>
      </c>
      <c r="AX43" s="221">
        <v>45534</v>
      </c>
      <c r="AY43" s="227">
        <v>45535</v>
      </c>
      <c r="AZ43" s="227"/>
      <c r="BA43" s="221"/>
      <c r="BB43" s="229"/>
      <c r="BC43" s="303"/>
      <c r="BD43" s="303"/>
    </row>
    <row r="44" spans="1:56" s="303" customFormat="1" ht="19.5" customHeight="1" thickBot="1" x14ac:dyDescent="0.25">
      <c r="B44" s="761"/>
      <c r="C44" s="211">
        <v>45505</v>
      </c>
      <c r="D44" s="212">
        <f t="shared" si="19"/>
        <v>1765.7142857142858</v>
      </c>
      <c r="E44" s="213">
        <f t="shared" si="21"/>
        <v>99.291965571428562</v>
      </c>
      <c r="F44" s="213">
        <f t="shared" si="22"/>
        <v>33.989988214285717</v>
      </c>
      <c r="G44" s="213">
        <f t="shared" si="20"/>
        <v>247.20000000000005</v>
      </c>
      <c r="H44" s="214">
        <f t="shared" si="16"/>
        <v>1385.2323319285715</v>
      </c>
      <c r="I44" s="215">
        <v>1385.23</v>
      </c>
      <c r="J44" s="216" t="str">
        <f t="shared" si="17"/>
        <v xml:space="preserve">Correcto </v>
      </c>
      <c r="K44" s="217" t="str">
        <f t="shared" si="18"/>
        <v xml:space="preserve"> </v>
      </c>
      <c r="L44" s="312">
        <v>294.28500000000003</v>
      </c>
      <c r="N44" s="240" t="s">
        <v>69</v>
      </c>
      <c r="O44" s="241">
        <f>22+3</f>
        <v>25</v>
      </c>
      <c r="Q44" s="318" t="s">
        <v>58</v>
      </c>
      <c r="R44" s="221"/>
      <c r="S44" s="221"/>
      <c r="T44" s="221"/>
      <c r="U44" s="221"/>
      <c r="V44" s="221"/>
      <c r="W44" s="227"/>
      <c r="X44" s="227">
        <v>45536</v>
      </c>
      <c r="Y44" s="221">
        <v>45537</v>
      </c>
      <c r="Z44" s="221">
        <v>45538</v>
      </c>
      <c r="AA44" s="265">
        <v>45539</v>
      </c>
      <c r="AB44" s="265">
        <v>45540</v>
      </c>
      <c r="AC44" s="265">
        <v>45541</v>
      </c>
      <c r="AD44" s="227">
        <v>45542</v>
      </c>
      <c r="AE44" s="227">
        <v>45543</v>
      </c>
      <c r="AF44" s="221">
        <v>45544</v>
      </c>
      <c r="AG44" s="221">
        <v>45545</v>
      </c>
      <c r="AH44" s="221">
        <v>45546</v>
      </c>
      <c r="AI44" s="221">
        <v>45547</v>
      </c>
      <c r="AJ44" s="221">
        <v>45548</v>
      </c>
      <c r="AK44" s="227">
        <v>45549</v>
      </c>
      <c r="AL44" s="227">
        <v>45550</v>
      </c>
      <c r="AM44" s="221">
        <v>45551</v>
      </c>
      <c r="AN44" s="221">
        <v>45552</v>
      </c>
      <c r="AO44" s="264">
        <v>45553</v>
      </c>
      <c r="AP44" s="264">
        <v>45554</v>
      </c>
      <c r="AQ44" s="264">
        <v>45555</v>
      </c>
      <c r="AR44" s="227">
        <v>45556</v>
      </c>
      <c r="AS44" s="227">
        <v>45557</v>
      </c>
      <c r="AT44" s="264">
        <v>45558</v>
      </c>
      <c r="AU44" s="264">
        <v>45559</v>
      </c>
      <c r="AV44" s="264">
        <v>45560</v>
      </c>
      <c r="AW44" s="221">
        <v>45561</v>
      </c>
      <c r="AX44" s="221">
        <v>45562</v>
      </c>
      <c r="AY44" s="227">
        <v>45563</v>
      </c>
      <c r="AZ44" s="227">
        <v>45564</v>
      </c>
      <c r="BA44" s="221">
        <v>45565</v>
      </c>
      <c r="BB44" s="229"/>
    </row>
    <row r="45" spans="1:56" s="303" customFormat="1" ht="19.5" customHeight="1" thickBot="1" x14ac:dyDescent="0.25">
      <c r="B45" s="761"/>
      <c r="C45" s="211">
        <v>45536</v>
      </c>
      <c r="D45" s="212">
        <f t="shared" si="19"/>
        <v>1765.7142857142858</v>
      </c>
      <c r="E45" s="213">
        <f t="shared" si="21"/>
        <v>99.291965571428562</v>
      </c>
      <c r="F45" s="213">
        <f t="shared" si="22"/>
        <v>33.989988214285717</v>
      </c>
      <c r="G45" s="213">
        <f t="shared" si="20"/>
        <v>247.20000000000005</v>
      </c>
      <c r="H45" s="214">
        <f t="shared" si="16"/>
        <v>1385.2323319285715</v>
      </c>
      <c r="I45" s="215">
        <v>1385.23</v>
      </c>
      <c r="J45" s="216" t="str">
        <f t="shared" si="17"/>
        <v xml:space="preserve">Correcto </v>
      </c>
      <c r="K45" s="217" t="str">
        <f t="shared" si="18"/>
        <v xml:space="preserve"> </v>
      </c>
      <c r="L45" s="312">
        <v>294.28500000000003</v>
      </c>
      <c r="N45" s="242" t="s">
        <v>85</v>
      </c>
      <c r="O45" s="243">
        <v>6</v>
      </c>
      <c r="Q45" s="318" t="s">
        <v>59</v>
      </c>
      <c r="R45" s="221"/>
      <c r="S45" s="221">
        <v>45566</v>
      </c>
      <c r="T45" s="221">
        <v>45567</v>
      </c>
      <c r="U45" s="221">
        <v>45568</v>
      </c>
      <c r="V45" s="221">
        <v>45569</v>
      </c>
      <c r="W45" s="227">
        <v>45570</v>
      </c>
      <c r="X45" s="227">
        <v>45571</v>
      </c>
      <c r="Y45" s="221">
        <v>45572</v>
      </c>
      <c r="Z45" s="221">
        <v>45573</v>
      </c>
      <c r="AA45" s="221">
        <v>45574</v>
      </c>
      <c r="AB45" s="221">
        <v>45575</v>
      </c>
      <c r="AC45" s="221">
        <v>45576</v>
      </c>
      <c r="AD45" s="227">
        <v>45577</v>
      </c>
      <c r="AE45" s="227">
        <v>45578</v>
      </c>
      <c r="AF45" s="221">
        <v>45579</v>
      </c>
      <c r="AG45" s="221">
        <v>45580</v>
      </c>
      <c r="AH45" s="221">
        <v>45581</v>
      </c>
      <c r="AI45" s="221">
        <v>45582</v>
      </c>
      <c r="AJ45" s="221">
        <v>45583</v>
      </c>
      <c r="AK45" s="227">
        <v>45584</v>
      </c>
      <c r="AL45" s="227">
        <v>45585</v>
      </c>
      <c r="AM45" s="221">
        <v>45586</v>
      </c>
      <c r="AN45" s="221">
        <v>45587</v>
      </c>
      <c r="AO45" s="221">
        <v>45588</v>
      </c>
      <c r="AP45" s="221">
        <v>45589</v>
      </c>
      <c r="AQ45" s="263">
        <v>45590</v>
      </c>
      <c r="AR45" s="227">
        <v>45591</v>
      </c>
      <c r="AS45" s="227">
        <v>45592</v>
      </c>
      <c r="AT45" s="221">
        <v>45593</v>
      </c>
      <c r="AU45" s="221">
        <v>45594</v>
      </c>
      <c r="AV45" s="221">
        <v>45595</v>
      </c>
      <c r="AW45" s="221">
        <v>45596</v>
      </c>
      <c r="AX45" s="221"/>
      <c r="AY45" s="227"/>
      <c r="AZ45" s="227"/>
      <c r="BA45" s="221"/>
      <c r="BB45" s="229"/>
    </row>
    <row r="46" spans="1:56" s="303" customFormat="1" ht="19.5" customHeight="1" thickBot="1" x14ac:dyDescent="0.25">
      <c r="B46" s="761"/>
      <c r="C46" s="211">
        <v>45566</v>
      </c>
      <c r="D46" s="212">
        <f t="shared" si="19"/>
        <v>1765.7142857142858</v>
      </c>
      <c r="E46" s="213">
        <f t="shared" si="21"/>
        <v>99.291965571428562</v>
      </c>
      <c r="F46" s="213">
        <f t="shared" si="22"/>
        <v>33.989988214285717</v>
      </c>
      <c r="G46" s="213">
        <f t="shared" si="20"/>
        <v>247.20000000000005</v>
      </c>
      <c r="H46" s="214">
        <f t="shared" si="16"/>
        <v>1385.2323319285715</v>
      </c>
      <c r="I46" s="215">
        <v>1385.23</v>
      </c>
      <c r="J46" s="216" t="str">
        <f t="shared" si="17"/>
        <v xml:space="preserve">Correcto </v>
      </c>
      <c r="K46" s="217" t="str">
        <f t="shared" si="18"/>
        <v xml:space="preserve"> </v>
      </c>
      <c r="L46" s="312">
        <v>294.28500000000003</v>
      </c>
      <c r="N46" s="244" t="s">
        <v>39</v>
      </c>
      <c r="O46" s="243">
        <v>12</v>
      </c>
      <c r="Q46" s="318" t="s">
        <v>60</v>
      </c>
      <c r="R46" s="221"/>
      <c r="S46" s="221"/>
      <c r="T46" s="221"/>
      <c r="U46" s="221"/>
      <c r="V46" s="263">
        <v>45597</v>
      </c>
      <c r="W46" s="227">
        <v>45598</v>
      </c>
      <c r="X46" s="227">
        <v>45599</v>
      </c>
      <c r="Y46" s="221">
        <v>45600</v>
      </c>
      <c r="Z46" s="221">
        <v>45601</v>
      </c>
      <c r="AA46" s="221">
        <v>45602</v>
      </c>
      <c r="AB46" s="221">
        <v>45603</v>
      </c>
      <c r="AC46" s="221">
        <v>45604</v>
      </c>
      <c r="AD46" s="227">
        <v>45605</v>
      </c>
      <c r="AE46" s="227">
        <v>45606</v>
      </c>
      <c r="AF46" s="221">
        <v>45607</v>
      </c>
      <c r="AG46" s="221">
        <v>45608</v>
      </c>
      <c r="AH46" s="221">
        <v>45609</v>
      </c>
      <c r="AI46" s="221">
        <v>45610</v>
      </c>
      <c r="AJ46" s="221">
        <v>45611</v>
      </c>
      <c r="AK46" s="227">
        <v>45612</v>
      </c>
      <c r="AL46" s="227">
        <v>45613</v>
      </c>
      <c r="AM46" s="221">
        <v>45614</v>
      </c>
      <c r="AN46" s="221">
        <v>45615</v>
      </c>
      <c r="AO46" s="221">
        <v>45616</v>
      </c>
      <c r="AP46" s="221">
        <v>45617</v>
      </c>
      <c r="AQ46" s="221">
        <v>45618</v>
      </c>
      <c r="AR46" s="227">
        <v>45619</v>
      </c>
      <c r="AS46" s="227">
        <v>45620</v>
      </c>
      <c r="AT46" s="221">
        <v>45621</v>
      </c>
      <c r="AU46" s="221">
        <v>45622</v>
      </c>
      <c r="AV46" s="221">
        <v>45623</v>
      </c>
      <c r="AW46" s="221">
        <v>45624</v>
      </c>
      <c r="AX46" s="221">
        <v>45625</v>
      </c>
      <c r="AY46" s="227">
        <v>45626</v>
      </c>
      <c r="AZ46" s="227"/>
      <c r="BA46" s="221"/>
      <c r="BB46" s="229"/>
    </row>
    <row r="47" spans="1:56" s="303" customFormat="1" ht="19.5" customHeight="1" thickBot="1" x14ac:dyDescent="0.25">
      <c r="B47" s="761"/>
      <c r="C47" s="211">
        <v>45597</v>
      </c>
      <c r="D47" s="212">
        <f t="shared" si="19"/>
        <v>1765.7142857142858</v>
      </c>
      <c r="E47" s="213">
        <f t="shared" si="21"/>
        <v>99.291965571428562</v>
      </c>
      <c r="F47" s="213">
        <f t="shared" si="22"/>
        <v>33.989988214285717</v>
      </c>
      <c r="G47" s="213">
        <f t="shared" si="20"/>
        <v>247.20000000000005</v>
      </c>
      <c r="H47" s="214">
        <f t="shared" si="16"/>
        <v>1385.2323319285715</v>
      </c>
      <c r="I47" s="215">
        <v>1385.23</v>
      </c>
      <c r="J47" s="216" t="str">
        <f t="shared" si="17"/>
        <v xml:space="preserve">Correcto </v>
      </c>
      <c r="K47" s="217" t="str">
        <f t="shared" si="18"/>
        <v xml:space="preserve"> </v>
      </c>
      <c r="L47" s="312">
        <v>294.28500000000003</v>
      </c>
      <c r="N47" s="244" t="s">
        <v>88</v>
      </c>
      <c r="O47" s="243">
        <v>6</v>
      </c>
      <c r="Q47" s="321" t="s">
        <v>61</v>
      </c>
      <c r="R47" s="245"/>
      <c r="S47" s="245"/>
      <c r="T47" s="245"/>
      <c r="U47" s="245"/>
      <c r="V47" s="245"/>
      <c r="W47" s="246"/>
      <c r="X47" s="246">
        <v>45627</v>
      </c>
      <c r="Y47" s="245">
        <v>45628</v>
      </c>
      <c r="Z47" s="245">
        <v>45629</v>
      </c>
      <c r="AA47" s="245">
        <v>45630</v>
      </c>
      <c r="AB47" s="245">
        <v>45631</v>
      </c>
      <c r="AC47" s="247">
        <v>45632</v>
      </c>
      <c r="AD47" s="246">
        <v>45633</v>
      </c>
      <c r="AE47" s="246">
        <v>45634</v>
      </c>
      <c r="AF47" s="245">
        <v>45635</v>
      </c>
      <c r="AG47" s="245">
        <v>45636</v>
      </c>
      <c r="AH47" s="245">
        <v>45637</v>
      </c>
      <c r="AI47" s="245">
        <v>45638</v>
      </c>
      <c r="AJ47" s="245">
        <v>45639</v>
      </c>
      <c r="AK47" s="246">
        <v>45640</v>
      </c>
      <c r="AL47" s="246">
        <v>45641</v>
      </c>
      <c r="AM47" s="245">
        <v>45642</v>
      </c>
      <c r="AN47" s="245">
        <v>45643</v>
      </c>
      <c r="AO47" s="245">
        <v>45644</v>
      </c>
      <c r="AP47" s="245">
        <v>45645</v>
      </c>
      <c r="AQ47" s="245">
        <v>45646</v>
      </c>
      <c r="AR47" s="246">
        <v>45647</v>
      </c>
      <c r="AS47" s="246">
        <v>45648</v>
      </c>
      <c r="AT47" s="245">
        <v>45649</v>
      </c>
      <c r="AU47" s="245">
        <v>45650</v>
      </c>
      <c r="AV47" s="247">
        <v>45651</v>
      </c>
      <c r="AW47" s="245">
        <v>45652</v>
      </c>
      <c r="AX47" s="245">
        <v>45653</v>
      </c>
      <c r="AY47" s="246">
        <v>45654</v>
      </c>
      <c r="AZ47" s="246">
        <v>45655</v>
      </c>
      <c r="BA47" s="245">
        <v>45656</v>
      </c>
      <c r="BB47" s="248">
        <v>45657</v>
      </c>
    </row>
    <row r="48" spans="1:56" s="303" customFormat="1" ht="19.5" customHeight="1" thickBot="1" x14ac:dyDescent="0.25">
      <c r="B48" s="761"/>
      <c r="C48" s="211">
        <v>45627</v>
      </c>
      <c r="D48" s="212">
        <f t="shared" si="19"/>
        <v>1765.7142857142858</v>
      </c>
      <c r="E48" s="213">
        <f t="shared" si="21"/>
        <v>99.291965571428562</v>
      </c>
      <c r="F48" s="213">
        <f t="shared" si="22"/>
        <v>33.989988214285717</v>
      </c>
      <c r="G48" s="213">
        <f t="shared" si="20"/>
        <v>247.20000000000005</v>
      </c>
      <c r="H48" s="214">
        <f t="shared" si="16"/>
        <v>1385.2323319285715</v>
      </c>
      <c r="I48" s="215">
        <v>1385.23</v>
      </c>
      <c r="J48" s="216" t="str">
        <f t="shared" si="17"/>
        <v xml:space="preserve">Correcto </v>
      </c>
      <c r="K48" s="217" t="str">
        <f t="shared" si="18"/>
        <v xml:space="preserve"> </v>
      </c>
      <c r="L48" s="312">
        <v>294.28500000000003</v>
      </c>
      <c r="N48" s="249" t="s">
        <v>26</v>
      </c>
      <c r="O48" s="243">
        <f>O44-O45-O46-O47</f>
        <v>1</v>
      </c>
      <c r="R48" s="325"/>
      <c r="S48" s="325"/>
      <c r="T48" s="325"/>
      <c r="U48" s="325"/>
      <c r="V48" s="325"/>
      <c r="W48" s="325"/>
      <c r="X48" s="325"/>
      <c r="Y48" s="325"/>
      <c r="Z48" s="325"/>
      <c r="AA48" s="325"/>
      <c r="AB48" s="325"/>
      <c r="AC48" s="325"/>
      <c r="AD48" s="325"/>
      <c r="AE48" s="325"/>
      <c r="AF48" s="325"/>
      <c r="AG48" s="325"/>
      <c r="AH48" s="325"/>
      <c r="AI48" s="325"/>
      <c r="AJ48" s="325"/>
      <c r="AK48" s="325"/>
      <c r="AL48" s="325"/>
      <c r="AM48" s="325"/>
      <c r="AN48" s="325"/>
      <c r="AO48" s="325"/>
      <c r="AP48" s="325"/>
      <c r="AQ48" s="325"/>
      <c r="AR48" s="325"/>
      <c r="AS48" s="325"/>
      <c r="AT48" s="325"/>
      <c r="AU48" s="325"/>
      <c r="AV48" s="325"/>
      <c r="AW48" s="325"/>
      <c r="AX48" s="325"/>
      <c r="AY48" s="325"/>
      <c r="AZ48" s="325"/>
      <c r="BA48" s="325"/>
      <c r="BB48" s="325"/>
    </row>
    <row r="49" spans="1:56" s="303" customFormat="1" ht="19.5" customHeight="1" x14ac:dyDescent="0.2">
      <c r="B49" s="761"/>
      <c r="C49" s="211" t="s">
        <v>92</v>
      </c>
      <c r="D49" s="212">
        <f t="shared" si="19"/>
        <v>1765.7142857142858</v>
      </c>
      <c r="E49" s="213"/>
      <c r="F49" s="213"/>
      <c r="G49" s="213">
        <f t="shared" si="20"/>
        <v>247.20000000000005</v>
      </c>
      <c r="H49" s="214">
        <f t="shared" si="16"/>
        <v>1518.5142857142857</v>
      </c>
      <c r="I49" s="215">
        <v>1518.51</v>
      </c>
      <c r="J49" s="216" t="str">
        <f t="shared" si="17"/>
        <v xml:space="preserve">Correcto </v>
      </c>
      <c r="K49" s="250" t="str">
        <f t="shared" ref="K49" si="23">IF(ISBLANK(I49)," ",IF(I49-H49&lt;0.01," ",I49-H49))</f>
        <v xml:space="preserve"> </v>
      </c>
      <c r="L49" s="233"/>
      <c r="P49" s="238"/>
      <c r="R49" s="325"/>
      <c r="S49" s="325"/>
      <c r="T49" s="325"/>
      <c r="U49" s="325"/>
      <c r="V49" s="325"/>
      <c r="W49" s="325"/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25"/>
      <c r="AI49" s="325"/>
      <c r="AJ49" s="325"/>
      <c r="AK49" s="325"/>
      <c r="AL49" s="325"/>
      <c r="AM49" s="325"/>
      <c r="AN49" s="325"/>
      <c r="AO49" s="325"/>
      <c r="AP49" s="325"/>
      <c r="AQ49" s="325"/>
      <c r="AR49" s="325"/>
      <c r="AS49" s="325"/>
      <c r="AT49" s="325"/>
      <c r="AU49" s="325"/>
      <c r="AV49" s="325"/>
      <c r="AW49" s="325"/>
      <c r="AX49" s="325"/>
      <c r="AY49" s="325"/>
      <c r="AZ49" s="325"/>
      <c r="BA49" s="325"/>
      <c r="BB49" s="325"/>
      <c r="BC49" s="326"/>
    </row>
    <row r="50" spans="1:56" s="303" customFormat="1" x14ac:dyDescent="0.2">
      <c r="D50" s="251">
        <f t="shared" ref="D50:I50" si="24">SUM(D35:D49)</f>
        <v>24960.050000000007</v>
      </c>
      <c r="E50" s="251">
        <f t="shared" si="24"/>
        <v>1203.0739968571429</v>
      </c>
      <c r="F50" s="252">
        <f t="shared" si="24"/>
        <v>411.84068357142871</v>
      </c>
      <c r="G50" s="252">
        <f t="shared" si="24"/>
        <v>3454.2917142857141</v>
      </c>
      <c r="H50" s="253">
        <f t="shared" si="24"/>
        <v>19890.843605285714</v>
      </c>
      <c r="I50" s="253">
        <f t="shared" si="24"/>
        <v>19890.809999999994</v>
      </c>
      <c r="J50" s="253"/>
      <c r="K50" s="253"/>
      <c r="P50" s="238"/>
    </row>
    <row r="51" spans="1:56" s="303" customFormat="1" x14ac:dyDescent="0.2">
      <c r="D51" s="254">
        <f>D50-E50-G50-F50</f>
        <v>19890.843605285718</v>
      </c>
      <c r="E51" s="254"/>
      <c r="F51" s="254"/>
      <c r="G51" s="254"/>
      <c r="H51" s="255"/>
      <c r="I51" s="255"/>
      <c r="J51" s="255"/>
      <c r="K51" s="255"/>
      <c r="P51" s="238"/>
    </row>
    <row r="52" spans="1:56" s="303" customFormat="1" x14ac:dyDescent="0.2">
      <c r="I52" s="209">
        <v>2023</v>
      </c>
      <c r="J52" s="210">
        <v>1714.29</v>
      </c>
      <c r="K52" s="257" t="s">
        <v>76</v>
      </c>
      <c r="L52" s="209"/>
      <c r="N52" s="209">
        <v>2024</v>
      </c>
      <c r="O52" s="256">
        <v>2472</v>
      </c>
      <c r="P52" s="257" t="s">
        <v>76</v>
      </c>
      <c r="Q52" s="209"/>
    </row>
    <row r="53" spans="1:56" s="303" customFormat="1" x14ac:dyDescent="0.2">
      <c r="I53" s="209" t="s">
        <v>72</v>
      </c>
      <c r="J53" s="266">
        <v>0.25</v>
      </c>
      <c r="K53" s="267">
        <v>0.39329999999999998</v>
      </c>
      <c r="L53" s="327">
        <f>J53*K53*$J$52</f>
        <v>168.55756424999998</v>
      </c>
      <c r="N53" s="209" t="s">
        <v>72</v>
      </c>
      <c r="O53" s="258">
        <v>0.4</v>
      </c>
      <c r="P53" s="259">
        <v>0.67330000000000001</v>
      </c>
      <c r="Q53" s="322">
        <f>O53*P53*$O$52</f>
        <v>665.75904000000003</v>
      </c>
    </row>
    <row r="54" spans="1:56" s="303" customFormat="1" x14ac:dyDescent="0.2">
      <c r="I54" s="209" t="s">
        <v>73</v>
      </c>
      <c r="J54" s="258">
        <v>0.25</v>
      </c>
      <c r="K54" s="259">
        <v>0</v>
      </c>
      <c r="L54" s="322">
        <f>J54*K54*$J$52</f>
        <v>0</v>
      </c>
      <c r="N54" s="209" t="s">
        <v>73</v>
      </c>
      <c r="O54" s="258">
        <v>0.4</v>
      </c>
      <c r="P54" s="259">
        <v>0</v>
      </c>
      <c r="Q54" s="322">
        <f>O54*P54*$O$52</f>
        <v>0</v>
      </c>
    </row>
    <row r="55" spans="1:56" s="303" customFormat="1" x14ac:dyDescent="0.2">
      <c r="I55" s="209" t="s">
        <v>74</v>
      </c>
      <c r="J55" s="258">
        <v>0.25</v>
      </c>
      <c r="K55" s="259">
        <v>0</v>
      </c>
      <c r="L55" s="322">
        <f>J55*K55*$J$52</f>
        <v>0</v>
      </c>
      <c r="N55" s="209" t="s">
        <v>74</v>
      </c>
      <c r="O55" s="258">
        <v>0.2</v>
      </c>
      <c r="P55" s="259">
        <v>1</v>
      </c>
      <c r="Q55" s="328">
        <f>O55*P55*$O$52</f>
        <v>494.40000000000003</v>
      </c>
    </row>
    <row r="56" spans="1:56" s="303" customFormat="1" x14ac:dyDescent="0.2">
      <c r="I56" s="209" t="s">
        <v>75</v>
      </c>
      <c r="J56" s="268">
        <v>0.25</v>
      </c>
      <c r="K56" s="269">
        <v>0</v>
      </c>
      <c r="L56" s="329">
        <f>J56*K56*$J$52</f>
        <v>0</v>
      </c>
      <c r="N56" s="323"/>
      <c r="O56" s="209"/>
      <c r="P56" s="260" t="s">
        <v>71</v>
      </c>
      <c r="Q56" s="261">
        <f>SUM(Q53:Q55)</f>
        <v>1160.15904</v>
      </c>
    </row>
    <row r="57" spans="1:56" s="303" customFormat="1" x14ac:dyDescent="0.2">
      <c r="I57" s="323"/>
      <c r="J57" s="209"/>
      <c r="K57" s="260" t="s">
        <v>71</v>
      </c>
      <c r="L57" s="261">
        <f>SUM(L53:L56)</f>
        <v>168.55756424999998</v>
      </c>
    </row>
    <row r="58" spans="1:56" s="303" customFormat="1" x14ac:dyDescent="0.2">
      <c r="P58" s="238"/>
    </row>
    <row r="59" spans="1:56" ht="15.75" thickBot="1" x14ac:dyDescent="0.25">
      <c r="A59" s="232"/>
      <c r="B59" s="232"/>
      <c r="C59" s="232"/>
      <c r="D59" s="301"/>
      <c r="E59" s="232"/>
      <c r="F59" s="232"/>
      <c r="G59" s="232"/>
      <c r="H59" s="232"/>
      <c r="I59" s="232"/>
      <c r="J59" s="232"/>
      <c r="K59" s="232"/>
      <c r="L59" s="232"/>
      <c r="M59" s="307"/>
      <c r="N59" s="307"/>
      <c r="O59" s="307"/>
      <c r="P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</row>
    <row r="60" spans="1:56" ht="16.5" thickBot="1" x14ac:dyDescent="0.25">
      <c r="A60" s="232"/>
      <c r="B60" s="208"/>
      <c r="C60" s="208"/>
      <c r="D60" s="209" t="s">
        <v>5</v>
      </c>
      <c r="E60" s="209" t="s">
        <v>6</v>
      </c>
      <c r="F60" s="210" t="s">
        <v>49</v>
      </c>
      <c r="G60" s="209" t="s">
        <v>7</v>
      </c>
      <c r="H60" s="209" t="s">
        <v>8</v>
      </c>
      <c r="I60" s="209" t="s">
        <v>9</v>
      </c>
      <c r="J60" s="209" t="s">
        <v>10</v>
      </c>
      <c r="K60" s="209"/>
      <c r="L60" s="209" t="s">
        <v>11</v>
      </c>
      <c r="M60" s="308"/>
      <c r="N60" s="308"/>
      <c r="O60" s="308"/>
      <c r="P60" s="303"/>
      <c r="Q60" s="309">
        <v>2023</v>
      </c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310"/>
      <c r="AF60" s="310"/>
      <c r="AG60" s="310"/>
      <c r="AH60" s="310"/>
      <c r="AI60" s="310"/>
      <c r="AJ60" s="310"/>
      <c r="AK60" s="310"/>
      <c r="AL60" s="310"/>
      <c r="AM60" s="310"/>
      <c r="AN60" s="310"/>
      <c r="AO60" s="310"/>
      <c r="AP60" s="310"/>
      <c r="AQ60" s="310"/>
      <c r="AR60" s="310"/>
      <c r="AS60" s="310"/>
      <c r="AT60" s="310"/>
      <c r="AU60" s="310"/>
      <c r="AV60" s="310"/>
      <c r="AW60" s="310"/>
      <c r="AX60" s="310"/>
      <c r="AY60" s="310"/>
      <c r="AZ60" s="310"/>
      <c r="BA60" s="310"/>
      <c r="BB60" s="311"/>
      <c r="BC60" s="303"/>
      <c r="BD60" s="303"/>
    </row>
    <row r="61" spans="1:56" ht="15.75" x14ac:dyDescent="0.2">
      <c r="A61" s="208"/>
      <c r="B61" s="761">
        <v>2023</v>
      </c>
      <c r="C61" s="211">
        <v>44927</v>
      </c>
      <c r="D61" s="212">
        <v>1714.29</v>
      </c>
      <c r="E61" s="213">
        <f t="shared" ref="E61:E66" si="25">(D61+L61)*0.048</f>
        <v>96.000239999999991</v>
      </c>
      <c r="F61" s="213">
        <f t="shared" ref="F61:F67" si="26">(D61+L61)*0.0165</f>
        <v>33.000082499999998</v>
      </c>
      <c r="G61" s="213">
        <f>D61*0.12</f>
        <v>205.7148</v>
      </c>
      <c r="H61" s="214">
        <f t="shared" ref="H61:H75" si="27">D61-E61-G61-F61</f>
        <v>1379.5748775</v>
      </c>
      <c r="I61" s="215">
        <v>1379.58</v>
      </c>
      <c r="J61" s="216" t="str">
        <f t="shared" ref="J61:J75" si="28">IF(ISBLANK(I61)," ",IF(I61-H61&lt;0.01,"Correcto ",IF(I61-H61&lt;0.01,"Faltan","Sobran")))</f>
        <v xml:space="preserve">Correcto </v>
      </c>
      <c r="K61" s="217" t="str">
        <f t="shared" ref="K61:K75" si="29">IF(ISBLANK(I61)," ",IF(I61-H61&lt;0.01," ",I61-H61))</f>
        <v xml:space="preserve"> </v>
      </c>
      <c r="L61" s="312">
        <f>1714.29/6</f>
        <v>285.71499999999997</v>
      </c>
      <c r="M61" s="313"/>
      <c r="N61" s="314"/>
      <c r="O61" s="314"/>
      <c r="P61" s="303"/>
      <c r="Q61" s="315">
        <v>44562</v>
      </c>
      <c r="R61" s="218" t="s">
        <v>42</v>
      </c>
      <c r="S61" s="218" t="s">
        <v>43</v>
      </c>
      <c r="T61" s="218" t="s">
        <v>44</v>
      </c>
      <c r="U61" s="218" t="s">
        <v>45</v>
      </c>
      <c r="V61" s="218" t="s">
        <v>46</v>
      </c>
      <c r="W61" s="218" t="s">
        <v>47</v>
      </c>
      <c r="X61" s="219" t="s">
        <v>48</v>
      </c>
      <c r="Y61" s="218" t="s">
        <v>42</v>
      </c>
      <c r="Z61" s="218" t="s">
        <v>43</v>
      </c>
      <c r="AA61" s="218" t="s">
        <v>44</v>
      </c>
      <c r="AB61" s="218" t="s">
        <v>45</v>
      </c>
      <c r="AC61" s="218" t="s">
        <v>46</v>
      </c>
      <c r="AD61" s="218" t="s">
        <v>47</v>
      </c>
      <c r="AE61" s="219" t="s">
        <v>48</v>
      </c>
      <c r="AF61" s="218" t="s">
        <v>42</v>
      </c>
      <c r="AG61" s="218" t="s">
        <v>43</v>
      </c>
      <c r="AH61" s="218" t="s">
        <v>44</v>
      </c>
      <c r="AI61" s="218" t="s">
        <v>45</v>
      </c>
      <c r="AJ61" s="218" t="s">
        <v>46</v>
      </c>
      <c r="AK61" s="218" t="s">
        <v>47</v>
      </c>
      <c r="AL61" s="219" t="s">
        <v>48</v>
      </c>
      <c r="AM61" s="218" t="s">
        <v>42</v>
      </c>
      <c r="AN61" s="218" t="s">
        <v>43</v>
      </c>
      <c r="AO61" s="218" t="s">
        <v>44</v>
      </c>
      <c r="AP61" s="218" t="s">
        <v>45</v>
      </c>
      <c r="AQ61" s="218" t="s">
        <v>46</v>
      </c>
      <c r="AR61" s="218" t="s">
        <v>47</v>
      </c>
      <c r="AS61" s="219" t="s">
        <v>48</v>
      </c>
      <c r="AT61" s="218" t="s">
        <v>42</v>
      </c>
      <c r="AU61" s="218" t="s">
        <v>43</v>
      </c>
      <c r="AV61" s="218" t="s">
        <v>44</v>
      </c>
      <c r="AW61" s="218" t="s">
        <v>45</v>
      </c>
      <c r="AX61" s="218" t="s">
        <v>46</v>
      </c>
      <c r="AY61" s="218" t="s">
        <v>47</v>
      </c>
      <c r="AZ61" s="219" t="s">
        <v>48</v>
      </c>
      <c r="BA61" s="218" t="s">
        <v>42</v>
      </c>
      <c r="BB61" s="220" t="s">
        <v>43</v>
      </c>
      <c r="BC61" s="303"/>
      <c r="BD61" s="303"/>
    </row>
    <row r="62" spans="1:56" ht="16.5" customHeight="1" x14ac:dyDescent="0.2">
      <c r="A62" s="208"/>
      <c r="B62" s="761"/>
      <c r="C62" s="211" t="s">
        <v>77</v>
      </c>
      <c r="D62" s="212">
        <v>333.46</v>
      </c>
      <c r="E62" s="213">
        <f t="shared" si="25"/>
        <v>16.006080000000001</v>
      </c>
      <c r="F62" s="213">
        <f t="shared" si="26"/>
        <v>5.5020899999999999</v>
      </c>
      <c r="G62" s="213">
        <f>D62*0.12</f>
        <v>40.015199999999993</v>
      </c>
      <c r="H62" s="214">
        <f t="shared" si="27"/>
        <v>271.93662999999998</v>
      </c>
      <c r="I62" s="215">
        <v>272.7</v>
      </c>
      <c r="J62" s="216" t="str">
        <f t="shared" si="28"/>
        <v>Sobran</v>
      </c>
      <c r="K62" s="217">
        <f t="shared" si="29"/>
        <v>0.76337000000000899</v>
      </c>
      <c r="L62" s="312"/>
      <c r="M62" s="313"/>
      <c r="N62" s="314"/>
      <c r="O62" s="314"/>
      <c r="P62" s="303"/>
      <c r="Q62" s="330"/>
      <c r="R62" s="270"/>
      <c r="S62" s="270"/>
      <c r="T62" s="270"/>
      <c r="U62" s="270"/>
      <c r="V62" s="270"/>
      <c r="W62" s="270"/>
      <c r="X62" s="271"/>
      <c r="Y62" s="270"/>
      <c r="Z62" s="270"/>
      <c r="AA62" s="270"/>
      <c r="AB62" s="270"/>
      <c r="AC62" s="270"/>
      <c r="AD62" s="270"/>
      <c r="AE62" s="271"/>
      <c r="AF62" s="270"/>
      <c r="AG62" s="270"/>
      <c r="AH62" s="270"/>
      <c r="AI62" s="270"/>
      <c r="AJ62" s="270"/>
      <c r="AK62" s="270"/>
      <c r="AL62" s="271"/>
      <c r="AM62" s="270"/>
      <c r="AN62" s="270"/>
      <c r="AO62" s="270"/>
      <c r="AP62" s="270"/>
      <c r="AQ62" s="270"/>
      <c r="AR62" s="270"/>
      <c r="AS62" s="271"/>
      <c r="AT62" s="270"/>
      <c r="AU62" s="270"/>
      <c r="AV62" s="270"/>
      <c r="AW62" s="270"/>
      <c r="AX62" s="270"/>
      <c r="AY62" s="270"/>
      <c r="AZ62" s="271"/>
      <c r="BA62" s="270"/>
      <c r="BB62" s="272"/>
      <c r="BC62" s="303"/>
      <c r="BD62" s="303"/>
    </row>
    <row r="63" spans="1:56" ht="16.5" customHeight="1" x14ac:dyDescent="0.2">
      <c r="A63" s="232"/>
      <c r="B63" s="761"/>
      <c r="C63" s="211">
        <v>44958</v>
      </c>
      <c r="D63" s="212">
        <v>1714.29</v>
      </c>
      <c r="E63" s="213">
        <f t="shared" si="25"/>
        <v>96.000239999999991</v>
      </c>
      <c r="F63" s="213">
        <f t="shared" si="26"/>
        <v>33.000082499999998</v>
      </c>
      <c r="G63" s="213">
        <f t="shared" ref="G63:G75" si="30">D63*$N$67</f>
        <v>240.00060000000002</v>
      </c>
      <c r="H63" s="214">
        <f t="shared" si="27"/>
        <v>1345.2890774999998</v>
      </c>
      <c r="I63" s="215">
        <v>1345.29</v>
      </c>
      <c r="J63" s="216" t="str">
        <f t="shared" si="28"/>
        <v xml:space="preserve">Correcto </v>
      </c>
      <c r="K63" s="250" t="str">
        <f t="shared" si="29"/>
        <v xml:space="preserve"> </v>
      </c>
      <c r="L63" s="312">
        <f>1714.29/6</f>
        <v>285.71499999999997</v>
      </c>
      <c r="M63" s="313"/>
      <c r="N63" s="314"/>
      <c r="O63" s="317"/>
      <c r="P63" s="303"/>
      <c r="Q63" s="316" t="s">
        <v>50</v>
      </c>
      <c r="R63" s="222" t="s">
        <v>67</v>
      </c>
      <c r="S63" s="222" t="s">
        <v>67</v>
      </c>
      <c r="T63" s="222" t="s">
        <v>67</v>
      </c>
      <c r="U63" s="222" t="s">
        <v>67</v>
      </c>
      <c r="V63" s="222" t="s">
        <v>67</v>
      </c>
      <c r="W63" s="224" t="s">
        <v>67</v>
      </c>
      <c r="X63" s="263"/>
      <c r="Y63" s="273">
        <v>2</v>
      </c>
      <c r="Z63" s="273">
        <v>3</v>
      </c>
      <c r="AA63" s="222">
        <v>4</v>
      </c>
      <c r="AB63" s="273">
        <v>5</v>
      </c>
      <c r="AC63" s="263"/>
      <c r="AD63" s="224"/>
      <c r="AE63" s="224"/>
      <c r="AF63" s="222">
        <v>9</v>
      </c>
      <c r="AG63" s="222">
        <v>10</v>
      </c>
      <c r="AH63" s="222">
        <v>11</v>
      </c>
      <c r="AI63" s="222">
        <v>12</v>
      </c>
      <c r="AJ63" s="222">
        <v>13</v>
      </c>
      <c r="AK63" s="224"/>
      <c r="AL63" s="224"/>
      <c r="AM63" s="222">
        <v>16</v>
      </c>
      <c r="AN63" s="222">
        <v>17</v>
      </c>
      <c r="AO63" s="222">
        <v>18</v>
      </c>
      <c r="AP63" s="222">
        <v>19</v>
      </c>
      <c r="AQ63" s="222">
        <v>20</v>
      </c>
      <c r="AR63" s="224"/>
      <c r="AS63" s="224"/>
      <c r="AT63" s="222">
        <v>23</v>
      </c>
      <c r="AU63" s="222">
        <v>24</v>
      </c>
      <c r="AV63" s="222">
        <v>25</v>
      </c>
      <c r="AW63" s="222">
        <v>26</v>
      </c>
      <c r="AX63" s="222">
        <v>27</v>
      </c>
      <c r="AY63" s="224"/>
      <c r="AZ63" s="224"/>
      <c r="BA63" s="222">
        <v>30</v>
      </c>
      <c r="BB63" s="225">
        <v>31</v>
      </c>
      <c r="BC63" s="303"/>
      <c r="BD63" s="303"/>
    </row>
    <row r="64" spans="1:56" ht="20.100000000000001" customHeight="1" x14ac:dyDescent="0.2">
      <c r="A64" s="232"/>
      <c r="B64" s="761"/>
      <c r="C64" s="211">
        <v>44986</v>
      </c>
      <c r="D64" s="212">
        <f>1714.29</f>
        <v>1714.29</v>
      </c>
      <c r="E64" s="213">
        <f t="shared" si="25"/>
        <v>96.000239999999991</v>
      </c>
      <c r="F64" s="213">
        <f t="shared" si="26"/>
        <v>33.000082499999998</v>
      </c>
      <c r="G64" s="213">
        <f t="shared" si="30"/>
        <v>240.00060000000002</v>
      </c>
      <c r="H64" s="214">
        <f t="shared" si="27"/>
        <v>1345.2890774999998</v>
      </c>
      <c r="I64" s="215">
        <v>1345.29</v>
      </c>
      <c r="J64" s="216" t="str">
        <f t="shared" si="28"/>
        <v xml:space="preserve">Correcto </v>
      </c>
      <c r="K64" s="217" t="str">
        <f t="shared" si="29"/>
        <v xml:space="preserve"> </v>
      </c>
      <c r="L64" s="312">
        <f>1714.29/6</f>
        <v>285.71499999999997</v>
      </c>
      <c r="M64" s="319"/>
      <c r="N64" s="230" t="s">
        <v>68</v>
      </c>
      <c r="O64" s="231">
        <f>SUM(D61:D75)</f>
        <v>24333.520000000008</v>
      </c>
      <c r="P64" s="232"/>
      <c r="Q64" s="318" t="s">
        <v>51</v>
      </c>
      <c r="R64" s="221" t="s">
        <v>67</v>
      </c>
      <c r="S64" s="221" t="s">
        <v>67</v>
      </c>
      <c r="T64" s="221">
        <v>1</v>
      </c>
      <c r="U64" s="221">
        <v>2</v>
      </c>
      <c r="V64" s="221">
        <v>3</v>
      </c>
      <c r="W64" s="227"/>
      <c r="X64" s="227"/>
      <c r="Y64" s="221">
        <v>6</v>
      </c>
      <c r="Z64" s="221">
        <v>7</v>
      </c>
      <c r="AA64" s="221">
        <v>8</v>
      </c>
      <c r="AB64" s="221">
        <v>9</v>
      </c>
      <c r="AC64" s="221">
        <v>10</v>
      </c>
      <c r="AD64" s="227"/>
      <c r="AE64" s="227"/>
      <c r="AF64" s="221">
        <v>13</v>
      </c>
      <c r="AG64" s="221">
        <v>14</v>
      </c>
      <c r="AH64" s="221">
        <v>15</v>
      </c>
      <c r="AI64" s="221">
        <v>16</v>
      </c>
      <c r="AJ64" s="221">
        <v>17</v>
      </c>
      <c r="AK64" s="227"/>
      <c r="AL64" s="227"/>
      <c r="AM64" s="221">
        <v>20</v>
      </c>
      <c r="AN64" s="221">
        <v>21</v>
      </c>
      <c r="AO64" s="221">
        <v>22</v>
      </c>
      <c r="AP64" s="221">
        <v>23</v>
      </c>
      <c r="AQ64" s="221">
        <v>24</v>
      </c>
      <c r="AR64" s="227"/>
      <c r="AS64" s="227"/>
      <c r="AT64" s="221">
        <v>27</v>
      </c>
      <c r="AU64" s="221">
        <v>28</v>
      </c>
      <c r="AV64" s="221" t="s">
        <v>67</v>
      </c>
      <c r="AW64" s="221" t="s">
        <v>67</v>
      </c>
      <c r="AX64" s="221" t="s">
        <v>67</v>
      </c>
      <c r="AY64" s="227"/>
      <c r="AZ64" s="227"/>
      <c r="BA64" s="221" t="s">
        <v>67</v>
      </c>
      <c r="BB64" s="229" t="s">
        <v>67</v>
      </c>
      <c r="BC64" s="303"/>
      <c r="BD64" s="303"/>
    </row>
    <row r="65" spans="1:56" ht="20.100000000000001" customHeight="1" x14ac:dyDescent="0.2">
      <c r="A65" s="232"/>
      <c r="B65" s="761"/>
      <c r="C65" s="211">
        <v>45017</v>
      </c>
      <c r="D65" s="212">
        <v>1714.29</v>
      </c>
      <c r="E65" s="213">
        <f t="shared" si="25"/>
        <v>96.000239999999991</v>
      </c>
      <c r="F65" s="213">
        <f t="shared" si="26"/>
        <v>33.000082499999998</v>
      </c>
      <c r="G65" s="213">
        <f t="shared" si="30"/>
        <v>240.00060000000002</v>
      </c>
      <c r="H65" s="214">
        <f t="shared" si="27"/>
        <v>1345.2890774999998</v>
      </c>
      <c r="I65" s="215">
        <v>1345.29</v>
      </c>
      <c r="J65" s="216" t="str">
        <f t="shared" si="28"/>
        <v xml:space="preserve">Correcto </v>
      </c>
      <c r="K65" s="250" t="str">
        <f t="shared" si="29"/>
        <v xml:space="preserve"> </v>
      </c>
      <c r="L65" s="312">
        <f>1714.29/6</f>
        <v>285.71499999999997</v>
      </c>
      <c r="M65" s="233"/>
      <c r="N65" s="234" t="s">
        <v>13</v>
      </c>
      <c r="O65" s="235">
        <f>SUM(E61:F75)</f>
        <v>1565.5120299999999</v>
      </c>
      <c r="P65" s="236"/>
      <c r="Q65" s="318" t="s">
        <v>52</v>
      </c>
      <c r="R65" s="221" t="s">
        <v>67</v>
      </c>
      <c r="S65" s="221" t="s">
        <v>67</v>
      </c>
      <c r="T65" s="221">
        <v>1</v>
      </c>
      <c r="U65" s="221">
        <v>2</v>
      </c>
      <c r="V65" s="221">
        <v>3</v>
      </c>
      <c r="W65" s="227"/>
      <c r="X65" s="227"/>
      <c r="Y65" s="221">
        <v>6</v>
      </c>
      <c r="Z65" s="221">
        <v>7</v>
      </c>
      <c r="AA65" s="221">
        <v>8</v>
      </c>
      <c r="AB65" s="221">
        <v>9</v>
      </c>
      <c r="AC65" s="221">
        <v>10</v>
      </c>
      <c r="AD65" s="227"/>
      <c r="AE65" s="227"/>
      <c r="AF65" s="221">
        <v>13</v>
      </c>
      <c r="AG65" s="221">
        <v>14</v>
      </c>
      <c r="AH65" s="221">
        <v>15</v>
      </c>
      <c r="AI65" s="221">
        <v>16</v>
      </c>
      <c r="AJ65" s="221">
        <v>17</v>
      </c>
      <c r="AK65" s="227"/>
      <c r="AL65" s="227"/>
      <c r="AM65" s="221">
        <v>20</v>
      </c>
      <c r="AN65" s="221">
        <v>21</v>
      </c>
      <c r="AO65" s="221">
        <v>22</v>
      </c>
      <c r="AP65" s="221">
        <v>23</v>
      </c>
      <c r="AQ65" s="221">
        <v>24</v>
      </c>
      <c r="AR65" s="227"/>
      <c r="AS65" s="227"/>
      <c r="AT65" s="221">
        <v>27</v>
      </c>
      <c r="AU65" s="221">
        <v>28</v>
      </c>
      <c r="AV65" s="221">
        <v>29</v>
      </c>
      <c r="AW65" s="221">
        <v>30</v>
      </c>
      <c r="AX65" s="221">
        <v>31</v>
      </c>
      <c r="AY65" s="227"/>
      <c r="AZ65" s="227"/>
      <c r="BA65" s="221" t="s">
        <v>67</v>
      </c>
      <c r="BB65" s="229" t="s">
        <v>67</v>
      </c>
      <c r="BC65" s="303"/>
      <c r="BD65" s="303"/>
    </row>
    <row r="66" spans="1:56" ht="20.100000000000001" customHeight="1" x14ac:dyDescent="0.2">
      <c r="A66" s="232"/>
      <c r="B66" s="761"/>
      <c r="C66" s="211">
        <v>45047</v>
      </c>
      <c r="D66" s="212">
        <v>1714.29</v>
      </c>
      <c r="E66" s="213">
        <f t="shared" si="25"/>
        <v>96.000239999999991</v>
      </c>
      <c r="F66" s="213">
        <f t="shared" si="26"/>
        <v>33.000082499999998</v>
      </c>
      <c r="G66" s="213">
        <f t="shared" si="30"/>
        <v>240.00060000000002</v>
      </c>
      <c r="H66" s="214">
        <f t="shared" si="27"/>
        <v>1345.2890774999998</v>
      </c>
      <c r="I66" s="215">
        <v>1345.29</v>
      </c>
      <c r="J66" s="216" t="str">
        <f t="shared" si="28"/>
        <v xml:space="preserve">Correcto </v>
      </c>
      <c r="K66" s="250" t="str">
        <f t="shared" si="29"/>
        <v xml:space="preserve"> </v>
      </c>
      <c r="L66" s="312">
        <f>1714.29/6</f>
        <v>285.71499999999997</v>
      </c>
      <c r="M66" s="233"/>
      <c r="N66" s="237" t="s">
        <v>7</v>
      </c>
      <c r="O66" s="235">
        <f>SUM(G61:G75)</f>
        <v>3365.7377999999994</v>
      </c>
      <c r="P66" s="238"/>
      <c r="Q66" s="318" t="s">
        <v>53</v>
      </c>
      <c r="R66" s="221" t="s">
        <v>67</v>
      </c>
      <c r="S66" s="221" t="s">
        <v>67</v>
      </c>
      <c r="T66" s="221" t="s">
        <v>67</v>
      </c>
      <c r="U66" s="221" t="s">
        <v>67</v>
      </c>
      <c r="V66" s="221" t="s">
        <v>67</v>
      </c>
      <c r="W66" s="227"/>
      <c r="X66" s="227"/>
      <c r="Y66" s="221">
        <v>3</v>
      </c>
      <c r="Z66" s="221">
        <v>4</v>
      </c>
      <c r="AA66" s="221">
        <v>5</v>
      </c>
      <c r="AB66" s="263"/>
      <c r="AC66" s="263"/>
      <c r="AD66" s="227"/>
      <c r="AE66" s="227"/>
      <c r="AF66" s="263"/>
      <c r="AG66" s="221">
        <v>11</v>
      </c>
      <c r="AH66" s="221">
        <v>12</v>
      </c>
      <c r="AI66" s="221">
        <v>13</v>
      </c>
      <c r="AJ66" s="221">
        <v>14</v>
      </c>
      <c r="AK66" s="227"/>
      <c r="AL66" s="227"/>
      <c r="AM66" s="221">
        <v>17</v>
      </c>
      <c r="AN66" s="221">
        <v>18</v>
      </c>
      <c r="AO66" s="221">
        <v>19</v>
      </c>
      <c r="AP66" s="221">
        <v>20</v>
      </c>
      <c r="AQ66" s="221">
        <v>21</v>
      </c>
      <c r="AR66" s="227"/>
      <c r="AS66" s="227"/>
      <c r="AT66" s="221">
        <v>24</v>
      </c>
      <c r="AU66" s="221">
        <v>25</v>
      </c>
      <c r="AV66" s="221">
        <v>26</v>
      </c>
      <c r="AW66" s="221">
        <v>27</v>
      </c>
      <c r="AX66" s="263"/>
      <c r="AY66" s="227"/>
      <c r="AZ66" s="227"/>
      <c r="BA66" s="221" t="s">
        <v>67</v>
      </c>
      <c r="BB66" s="229" t="s">
        <v>67</v>
      </c>
      <c r="BC66" s="303"/>
      <c r="BD66" s="303"/>
    </row>
    <row r="67" spans="1:56" ht="20.100000000000001" customHeight="1" x14ac:dyDescent="0.2">
      <c r="A67" s="232"/>
      <c r="B67" s="761"/>
      <c r="C67" s="211">
        <v>45078</v>
      </c>
      <c r="D67" s="212">
        <v>1714.29</v>
      </c>
      <c r="E67" s="213">
        <f>(D67+L67)*0.046</f>
        <v>92.000229999999988</v>
      </c>
      <c r="F67" s="213">
        <f t="shared" si="26"/>
        <v>33.000082499999998</v>
      </c>
      <c r="G67" s="213">
        <f t="shared" si="30"/>
        <v>240.00060000000002</v>
      </c>
      <c r="H67" s="214">
        <f t="shared" si="27"/>
        <v>1349.2890874999998</v>
      </c>
      <c r="I67" s="215">
        <v>1345.29</v>
      </c>
      <c r="J67" s="216" t="str">
        <f t="shared" si="28"/>
        <v xml:space="preserve">Correcto </v>
      </c>
      <c r="K67" s="250" t="str">
        <f t="shared" si="29"/>
        <v xml:space="preserve"> </v>
      </c>
      <c r="L67" s="312">
        <f>1714.29/6</f>
        <v>285.71499999999997</v>
      </c>
      <c r="M67" s="255"/>
      <c r="N67" s="239">
        <v>0.14000000000000001</v>
      </c>
      <c r="O67" s="232"/>
      <c r="P67" s="320"/>
      <c r="Q67" s="318" t="s">
        <v>54</v>
      </c>
      <c r="R67" s="263"/>
      <c r="S67" s="221">
        <v>2</v>
      </c>
      <c r="T67" s="221">
        <v>3</v>
      </c>
      <c r="U67" s="221">
        <v>4</v>
      </c>
      <c r="V67" s="221">
        <v>5</v>
      </c>
      <c r="W67" s="227"/>
      <c r="X67" s="227"/>
      <c r="Y67" s="221">
        <v>8</v>
      </c>
      <c r="Z67" s="221">
        <v>9</v>
      </c>
      <c r="AA67" s="221">
        <v>10</v>
      </c>
      <c r="AB67" s="221">
        <v>11</v>
      </c>
      <c r="AC67" s="221">
        <v>12</v>
      </c>
      <c r="AD67" s="227"/>
      <c r="AE67" s="227"/>
      <c r="AF67" s="221">
        <v>15</v>
      </c>
      <c r="AG67" s="221">
        <v>16</v>
      </c>
      <c r="AH67" s="221">
        <v>17</v>
      </c>
      <c r="AI67" s="221">
        <v>18</v>
      </c>
      <c r="AJ67" s="221">
        <v>19</v>
      </c>
      <c r="AK67" s="227"/>
      <c r="AL67" s="227"/>
      <c r="AM67" s="221">
        <v>22</v>
      </c>
      <c r="AN67" s="221">
        <v>23</v>
      </c>
      <c r="AO67" s="221">
        <v>24</v>
      </c>
      <c r="AP67" s="221">
        <v>25</v>
      </c>
      <c r="AQ67" s="221">
        <v>26</v>
      </c>
      <c r="AR67" s="227"/>
      <c r="AS67" s="227"/>
      <c r="AT67" s="221">
        <v>29</v>
      </c>
      <c r="AU67" s="221">
        <v>30</v>
      </c>
      <c r="AV67" s="221">
        <v>31</v>
      </c>
      <c r="AW67" s="221" t="s">
        <v>67</v>
      </c>
      <c r="AX67" s="221" t="s">
        <v>67</v>
      </c>
      <c r="AY67" s="227"/>
      <c r="AZ67" s="227"/>
      <c r="BA67" s="221" t="s">
        <v>67</v>
      </c>
      <c r="BB67" s="229" t="s">
        <v>67</v>
      </c>
      <c r="BC67" s="303"/>
      <c r="BD67" s="303"/>
    </row>
    <row r="68" spans="1:56" ht="20.100000000000001" customHeight="1" x14ac:dyDescent="0.2">
      <c r="A68" s="232"/>
      <c r="B68" s="761"/>
      <c r="C68" s="211" t="s">
        <v>95</v>
      </c>
      <c r="D68" s="212">
        <v>1714.29</v>
      </c>
      <c r="E68" s="213"/>
      <c r="F68" s="213"/>
      <c r="G68" s="213">
        <f t="shared" si="30"/>
        <v>240.00060000000002</v>
      </c>
      <c r="H68" s="214">
        <f t="shared" si="27"/>
        <v>1474.2893999999999</v>
      </c>
      <c r="I68" s="215">
        <v>1474.29</v>
      </c>
      <c r="J68" s="216" t="str">
        <f t="shared" si="28"/>
        <v xml:space="preserve">Correcto </v>
      </c>
      <c r="K68" s="250" t="str">
        <f t="shared" si="29"/>
        <v xml:space="preserve"> </v>
      </c>
      <c r="L68" s="233"/>
      <c r="M68" s="232"/>
      <c r="N68" s="303"/>
      <c r="O68" s="303"/>
      <c r="P68" s="238"/>
      <c r="Q68" s="318" t="s">
        <v>55</v>
      </c>
      <c r="R68" s="221" t="s">
        <v>67</v>
      </c>
      <c r="S68" s="221" t="s">
        <v>67</v>
      </c>
      <c r="T68" s="221" t="s">
        <v>67</v>
      </c>
      <c r="U68" s="221">
        <v>1</v>
      </c>
      <c r="V68" s="221">
        <v>2</v>
      </c>
      <c r="W68" s="227"/>
      <c r="X68" s="227"/>
      <c r="Y68" s="221">
        <v>5</v>
      </c>
      <c r="Z68" s="221">
        <v>6</v>
      </c>
      <c r="AA68" s="221">
        <v>7</v>
      </c>
      <c r="AB68" s="221">
        <v>8</v>
      </c>
      <c r="AC68" s="221">
        <v>9</v>
      </c>
      <c r="AD68" s="227"/>
      <c r="AE68" s="227"/>
      <c r="AF68" s="221">
        <v>12</v>
      </c>
      <c r="AG68" s="221">
        <v>13</v>
      </c>
      <c r="AH68" s="221">
        <v>14</v>
      </c>
      <c r="AI68" s="221">
        <v>15</v>
      </c>
      <c r="AJ68" s="221">
        <v>16</v>
      </c>
      <c r="AK68" s="227"/>
      <c r="AL68" s="227"/>
      <c r="AM68" s="221">
        <v>19</v>
      </c>
      <c r="AN68" s="221">
        <v>20</v>
      </c>
      <c r="AO68" s="221">
        <v>21</v>
      </c>
      <c r="AP68" s="221">
        <v>22</v>
      </c>
      <c r="AQ68" s="221">
        <v>23</v>
      </c>
      <c r="AR68" s="227"/>
      <c r="AS68" s="227"/>
      <c r="AT68" s="221">
        <v>26</v>
      </c>
      <c r="AU68" s="221">
        <v>27</v>
      </c>
      <c r="AV68" s="221">
        <v>28</v>
      </c>
      <c r="AW68" s="221">
        <v>29</v>
      </c>
      <c r="AX68" s="221">
        <v>30</v>
      </c>
      <c r="AY68" s="227"/>
      <c r="AZ68" s="227"/>
      <c r="BA68" s="221" t="s">
        <v>67</v>
      </c>
      <c r="BB68" s="229" t="s">
        <v>67</v>
      </c>
      <c r="BC68" s="303"/>
      <c r="BD68" s="303"/>
    </row>
    <row r="69" spans="1:56" ht="20.100000000000001" customHeight="1" thickBot="1" x14ac:dyDescent="0.25">
      <c r="A69" s="324"/>
      <c r="B69" s="761"/>
      <c r="C69" s="211">
        <v>45108</v>
      </c>
      <c r="D69" s="212">
        <v>1714.29</v>
      </c>
      <c r="E69" s="213">
        <f t="shared" ref="E69:E74" si="31">(D69+L69)*0.048</f>
        <v>96.000239999999991</v>
      </c>
      <c r="F69" s="213">
        <f t="shared" ref="F69:F74" si="32">(D69+L69)*0.0165</f>
        <v>33.000082499999998</v>
      </c>
      <c r="G69" s="213">
        <f t="shared" si="30"/>
        <v>240.00060000000002</v>
      </c>
      <c r="H69" s="214">
        <f t="shared" si="27"/>
        <v>1345.2890774999998</v>
      </c>
      <c r="I69" s="215">
        <v>1345.29</v>
      </c>
      <c r="J69" s="216" t="str">
        <f t="shared" si="28"/>
        <v xml:space="preserve">Correcto </v>
      </c>
      <c r="K69" s="250" t="str">
        <f t="shared" si="29"/>
        <v xml:space="preserve"> </v>
      </c>
      <c r="L69" s="312">
        <f t="shared" ref="L69:L74" si="33">1714.29/6</f>
        <v>285.71499999999997</v>
      </c>
      <c r="M69" s="303"/>
      <c r="N69" s="303"/>
      <c r="O69" s="303"/>
      <c r="P69" s="238"/>
      <c r="Q69" s="318" t="s">
        <v>56</v>
      </c>
      <c r="R69" s="221" t="s">
        <v>67</v>
      </c>
      <c r="S69" s="221" t="s">
        <v>67</v>
      </c>
      <c r="T69" s="221" t="s">
        <v>67</v>
      </c>
      <c r="U69" s="221" t="s">
        <v>67</v>
      </c>
      <c r="V69" s="221" t="s">
        <v>67</v>
      </c>
      <c r="W69" s="227"/>
      <c r="X69" s="227"/>
      <c r="Y69" s="221">
        <v>3</v>
      </c>
      <c r="Z69" s="221">
        <v>4</v>
      </c>
      <c r="AA69" s="221">
        <v>5</v>
      </c>
      <c r="AB69" s="221">
        <v>6</v>
      </c>
      <c r="AC69" s="221">
        <v>7</v>
      </c>
      <c r="AD69" s="227"/>
      <c r="AE69" s="227"/>
      <c r="AF69" s="221">
        <v>10</v>
      </c>
      <c r="AG69" s="221">
        <v>11</v>
      </c>
      <c r="AH69" s="221">
        <v>12</v>
      </c>
      <c r="AI69" s="221">
        <v>13</v>
      </c>
      <c r="AJ69" s="221">
        <v>14</v>
      </c>
      <c r="AK69" s="227"/>
      <c r="AL69" s="227"/>
      <c r="AM69" s="221">
        <v>17</v>
      </c>
      <c r="AN69" s="221">
        <v>18</v>
      </c>
      <c r="AO69" s="221">
        <v>19</v>
      </c>
      <c r="AP69" s="221">
        <v>20</v>
      </c>
      <c r="AQ69" s="221">
        <v>21</v>
      </c>
      <c r="AR69" s="227"/>
      <c r="AS69" s="227"/>
      <c r="AT69" s="221">
        <v>24</v>
      </c>
      <c r="AU69" s="263"/>
      <c r="AV69" s="221">
        <v>26</v>
      </c>
      <c r="AW69" s="221">
        <v>27</v>
      </c>
      <c r="AX69" s="221">
        <v>28</v>
      </c>
      <c r="AY69" s="227"/>
      <c r="AZ69" s="227"/>
      <c r="BA69" s="221">
        <v>31</v>
      </c>
      <c r="BB69" s="229" t="s">
        <v>67</v>
      </c>
      <c r="BC69" s="303"/>
      <c r="BD69" s="303"/>
    </row>
    <row r="70" spans="1:56" s="303" customFormat="1" ht="20.100000000000001" customHeight="1" thickBot="1" x14ac:dyDescent="0.25">
      <c r="B70" s="761"/>
      <c r="C70" s="211">
        <v>45139</v>
      </c>
      <c r="D70" s="212">
        <v>1714.29</v>
      </c>
      <c r="E70" s="213">
        <f t="shared" si="31"/>
        <v>96.000239999999991</v>
      </c>
      <c r="F70" s="213">
        <f t="shared" si="32"/>
        <v>33.000082499999998</v>
      </c>
      <c r="G70" s="213">
        <f t="shared" si="30"/>
        <v>240.00060000000002</v>
      </c>
      <c r="H70" s="214">
        <f t="shared" si="27"/>
        <v>1345.2890774999998</v>
      </c>
      <c r="I70" s="215">
        <v>1345.29</v>
      </c>
      <c r="J70" s="216" t="str">
        <f t="shared" si="28"/>
        <v xml:space="preserve">Correcto </v>
      </c>
      <c r="K70" s="250" t="str">
        <f t="shared" si="29"/>
        <v xml:space="preserve"> </v>
      </c>
      <c r="L70" s="312">
        <f t="shared" si="33"/>
        <v>285.71499999999997</v>
      </c>
      <c r="N70" s="240" t="s">
        <v>69</v>
      </c>
      <c r="O70" s="241">
        <v>22</v>
      </c>
      <c r="Q70" s="318" t="s">
        <v>57</v>
      </c>
      <c r="R70" s="221" t="s">
        <v>67</v>
      </c>
      <c r="S70" s="221">
        <v>1</v>
      </c>
      <c r="T70" s="221">
        <v>2</v>
      </c>
      <c r="U70" s="221">
        <v>3</v>
      </c>
      <c r="V70" s="221">
        <v>4</v>
      </c>
      <c r="W70" s="263"/>
      <c r="X70" s="227"/>
      <c r="Y70" s="274">
        <v>7</v>
      </c>
      <c r="Z70" s="274">
        <v>8</v>
      </c>
      <c r="AA70" s="274">
        <v>9</v>
      </c>
      <c r="AB70" s="274">
        <v>10</v>
      </c>
      <c r="AC70" s="274">
        <v>11</v>
      </c>
      <c r="AD70" s="227"/>
      <c r="AE70" s="227"/>
      <c r="AF70" s="274">
        <v>14</v>
      </c>
      <c r="AG70" s="263"/>
      <c r="AH70" s="274">
        <v>16</v>
      </c>
      <c r="AI70" s="274">
        <v>17</v>
      </c>
      <c r="AJ70" s="274">
        <v>18</v>
      </c>
      <c r="AK70" s="227"/>
      <c r="AL70" s="227"/>
      <c r="AM70" s="221">
        <v>21</v>
      </c>
      <c r="AN70" s="221">
        <v>22</v>
      </c>
      <c r="AO70" s="221">
        <v>23</v>
      </c>
      <c r="AP70" s="221">
        <v>24</v>
      </c>
      <c r="AQ70" s="221">
        <v>25</v>
      </c>
      <c r="AR70" s="227"/>
      <c r="AS70" s="227"/>
      <c r="AT70" s="221">
        <v>28</v>
      </c>
      <c r="AU70" s="221">
        <v>29</v>
      </c>
      <c r="AV70" s="221">
        <v>30</v>
      </c>
      <c r="AW70" s="221">
        <v>31</v>
      </c>
      <c r="AX70" s="221" t="s">
        <v>67</v>
      </c>
      <c r="AY70" s="227"/>
      <c r="AZ70" s="227"/>
      <c r="BA70" s="221" t="s">
        <v>67</v>
      </c>
      <c r="BB70" s="229" t="s">
        <v>67</v>
      </c>
    </row>
    <row r="71" spans="1:56" s="303" customFormat="1" ht="20.100000000000001" customHeight="1" thickBot="1" x14ac:dyDescent="0.25">
      <c r="B71" s="761"/>
      <c r="C71" s="211">
        <v>45170</v>
      </c>
      <c r="D71" s="212">
        <v>1714.29</v>
      </c>
      <c r="E71" s="213">
        <f t="shared" si="31"/>
        <v>96.000239999999991</v>
      </c>
      <c r="F71" s="213">
        <f t="shared" si="32"/>
        <v>33.000082499999998</v>
      </c>
      <c r="G71" s="213">
        <f t="shared" si="30"/>
        <v>240.00060000000002</v>
      </c>
      <c r="H71" s="214">
        <f t="shared" si="27"/>
        <v>1345.2890774999998</v>
      </c>
      <c r="I71" s="215">
        <v>1345.29</v>
      </c>
      <c r="J71" s="216" t="str">
        <f t="shared" si="28"/>
        <v xml:space="preserve">Correcto </v>
      </c>
      <c r="K71" s="250" t="str">
        <f t="shared" si="29"/>
        <v xml:space="preserve"> </v>
      </c>
      <c r="L71" s="312">
        <f t="shared" si="33"/>
        <v>285.71499999999997</v>
      </c>
      <c r="N71" s="242" t="s">
        <v>14</v>
      </c>
      <c r="O71" s="243">
        <v>10</v>
      </c>
      <c r="Q71" s="318" t="s">
        <v>58</v>
      </c>
      <c r="R71" s="221" t="s">
        <v>67</v>
      </c>
      <c r="S71" s="221" t="s">
        <v>67</v>
      </c>
      <c r="T71" s="221" t="s">
        <v>67</v>
      </c>
      <c r="U71" s="221" t="s">
        <v>67</v>
      </c>
      <c r="V71" s="221">
        <v>1</v>
      </c>
      <c r="W71" s="227"/>
      <c r="X71" s="227"/>
      <c r="Y71" s="221">
        <v>4</v>
      </c>
      <c r="Z71" s="221">
        <v>5</v>
      </c>
      <c r="AA71" s="262">
        <v>6</v>
      </c>
      <c r="AB71" s="262">
        <v>7</v>
      </c>
      <c r="AC71" s="262">
        <v>8</v>
      </c>
      <c r="AD71" s="227"/>
      <c r="AE71" s="227"/>
      <c r="AF71" s="274">
        <v>11</v>
      </c>
      <c r="AG71" s="274">
        <v>12</v>
      </c>
      <c r="AH71" s="274">
        <v>13</v>
      </c>
      <c r="AI71" s="274">
        <v>14</v>
      </c>
      <c r="AJ71" s="274">
        <v>15</v>
      </c>
      <c r="AK71" s="227"/>
      <c r="AL71" s="227"/>
      <c r="AM71" s="274">
        <v>18</v>
      </c>
      <c r="AN71" s="274">
        <v>19</v>
      </c>
      <c r="AO71" s="274">
        <v>20</v>
      </c>
      <c r="AP71" s="274">
        <v>21</v>
      </c>
      <c r="AQ71" s="274">
        <v>22</v>
      </c>
      <c r="AR71" s="227"/>
      <c r="AS71" s="227"/>
      <c r="AT71" s="221">
        <v>25</v>
      </c>
      <c r="AU71" s="221">
        <v>26</v>
      </c>
      <c r="AV71" s="221">
        <v>27</v>
      </c>
      <c r="AW71" s="221">
        <v>28</v>
      </c>
      <c r="AX71" s="221">
        <v>29</v>
      </c>
      <c r="AY71" s="227"/>
      <c r="AZ71" s="227"/>
      <c r="BA71" s="221" t="s">
        <v>67</v>
      </c>
      <c r="BB71" s="229" t="s">
        <v>67</v>
      </c>
    </row>
    <row r="72" spans="1:56" s="303" customFormat="1" ht="20.100000000000001" customHeight="1" thickBot="1" x14ac:dyDescent="0.25">
      <c r="B72" s="761"/>
      <c r="C72" s="211">
        <v>45200</v>
      </c>
      <c r="D72" s="212">
        <v>1714.29</v>
      </c>
      <c r="E72" s="213">
        <f t="shared" si="31"/>
        <v>96.000239999999991</v>
      </c>
      <c r="F72" s="213">
        <f t="shared" si="32"/>
        <v>33.000082499999998</v>
      </c>
      <c r="G72" s="213">
        <f t="shared" si="30"/>
        <v>240.00060000000002</v>
      </c>
      <c r="H72" s="214">
        <f t="shared" si="27"/>
        <v>1345.2890774999998</v>
      </c>
      <c r="I72" s="215">
        <v>1345.29</v>
      </c>
      <c r="J72" s="216" t="str">
        <f t="shared" si="28"/>
        <v xml:space="preserve">Correcto </v>
      </c>
      <c r="K72" s="250" t="str">
        <f t="shared" si="29"/>
        <v xml:space="preserve"> </v>
      </c>
      <c r="L72" s="312">
        <f t="shared" si="33"/>
        <v>285.71499999999997</v>
      </c>
      <c r="N72" s="244" t="s">
        <v>39</v>
      </c>
      <c r="O72" s="243">
        <v>9</v>
      </c>
      <c r="Q72" s="318" t="s">
        <v>59</v>
      </c>
      <c r="R72" s="221" t="s">
        <v>67</v>
      </c>
      <c r="S72" s="221" t="s">
        <v>67</v>
      </c>
      <c r="T72" s="221" t="s">
        <v>67</v>
      </c>
      <c r="U72" s="221" t="s">
        <v>67</v>
      </c>
      <c r="V72" s="221" t="s">
        <v>67</v>
      </c>
      <c r="W72" s="227"/>
      <c r="X72" s="227"/>
      <c r="Y72" s="221">
        <v>2</v>
      </c>
      <c r="Z72" s="221">
        <v>3</v>
      </c>
      <c r="AA72" s="221">
        <v>4</v>
      </c>
      <c r="AB72" s="221">
        <v>5</v>
      </c>
      <c r="AC72" s="221">
        <v>6</v>
      </c>
      <c r="AD72" s="227"/>
      <c r="AE72" s="227"/>
      <c r="AF72" s="221">
        <v>9</v>
      </c>
      <c r="AG72" s="221">
        <v>10</v>
      </c>
      <c r="AH72" s="221">
        <v>11</v>
      </c>
      <c r="AI72" s="263"/>
      <c r="AJ72" s="221">
        <v>13</v>
      </c>
      <c r="AK72" s="227"/>
      <c r="AL72" s="227"/>
      <c r="AM72" s="221">
        <v>16</v>
      </c>
      <c r="AN72" s="221">
        <v>17</v>
      </c>
      <c r="AO72" s="221">
        <v>18</v>
      </c>
      <c r="AP72" s="221">
        <v>19</v>
      </c>
      <c r="AQ72" s="221">
        <v>20</v>
      </c>
      <c r="AR72" s="227"/>
      <c r="AS72" s="227"/>
      <c r="AT72" s="221">
        <v>23</v>
      </c>
      <c r="AU72" s="221">
        <v>24</v>
      </c>
      <c r="AV72" s="221">
        <v>25</v>
      </c>
      <c r="AW72" s="221">
        <v>26</v>
      </c>
      <c r="AX72" s="221">
        <v>27</v>
      </c>
      <c r="AY72" s="227"/>
      <c r="AZ72" s="227"/>
      <c r="BA72" s="221">
        <v>30</v>
      </c>
      <c r="BB72" s="229">
        <v>31</v>
      </c>
    </row>
    <row r="73" spans="1:56" s="303" customFormat="1" ht="20.100000000000001" customHeight="1" thickBot="1" x14ac:dyDescent="0.25">
      <c r="B73" s="761"/>
      <c r="C73" s="211">
        <v>45231</v>
      </c>
      <c r="D73" s="212">
        <v>1714.29</v>
      </c>
      <c r="E73" s="213">
        <f t="shared" si="31"/>
        <v>96.000239999999991</v>
      </c>
      <c r="F73" s="213">
        <f t="shared" si="32"/>
        <v>33.000082499999998</v>
      </c>
      <c r="G73" s="213">
        <f t="shared" si="30"/>
        <v>240.00060000000002</v>
      </c>
      <c r="H73" s="214">
        <f t="shared" si="27"/>
        <v>1345.2890774999998</v>
      </c>
      <c r="I73" s="215">
        <v>1345.29</v>
      </c>
      <c r="J73" s="216" t="str">
        <f t="shared" si="28"/>
        <v xml:space="preserve">Correcto </v>
      </c>
      <c r="K73" s="250" t="str">
        <f t="shared" si="29"/>
        <v xml:space="preserve"> </v>
      </c>
      <c r="L73" s="312">
        <f t="shared" si="33"/>
        <v>285.71499999999997</v>
      </c>
      <c r="N73" s="275"/>
      <c r="O73" s="243"/>
      <c r="Q73" s="318" t="s">
        <v>60</v>
      </c>
      <c r="R73" s="221" t="s">
        <v>67</v>
      </c>
      <c r="S73" s="221" t="s">
        <v>67</v>
      </c>
      <c r="T73" s="263"/>
      <c r="U73" s="221">
        <v>2</v>
      </c>
      <c r="V73" s="221">
        <v>3</v>
      </c>
      <c r="W73" s="227"/>
      <c r="X73" s="227"/>
      <c r="Y73" s="221">
        <v>6</v>
      </c>
      <c r="Z73" s="221">
        <v>7</v>
      </c>
      <c r="AA73" s="221">
        <v>8</v>
      </c>
      <c r="AB73" s="221">
        <v>9</v>
      </c>
      <c r="AC73" s="221">
        <v>10</v>
      </c>
      <c r="AD73" s="227"/>
      <c r="AE73" s="227"/>
      <c r="AF73" s="221">
        <v>13</v>
      </c>
      <c r="AG73" s="221">
        <v>14</v>
      </c>
      <c r="AH73" s="221">
        <v>15</v>
      </c>
      <c r="AI73" s="221">
        <v>16</v>
      </c>
      <c r="AJ73" s="221">
        <v>17</v>
      </c>
      <c r="AK73" s="227"/>
      <c r="AL73" s="227"/>
      <c r="AM73" s="221">
        <v>20</v>
      </c>
      <c r="AN73" s="221">
        <v>21</v>
      </c>
      <c r="AO73" s="221">
        <v>22</v>
      </c>
      <c r="AP73" s="221">
        <v>23</v>
      </c>
      <c r="AQ73" s="221">
        <v>24</v>
      </c>
      <c r="AR73" s="227"/>
      <c r="AS73" s="227"/>
      <c r="AT73" s="221">
        <v>27</v>
      </c>
      <c r="AU73" s="221">
        <v>28</v>
      </c>
      <c r="AV73" s="221">
        <v>29</v>
      </c>
      <c r="AW73" s="221">
        <v>30</v>
      </c>
      <c r="AX73" s="221" t="s">
        <v>67</v>
      </c>
      <c r="AY73" s="227"/>
      <c r="AZ73" s="227"/>
      <c r="BA73" s="221" t="s">
        <v>67</v>
      </c>
      <c r="BB73" s="229" t="s">
        <v>67</v>
      </c>
    </row>
    <row r="74" spans="1:56" s="303" customFormat="1" ht="20.100000000000001" customHeight="1" thickBot="1" x14ac:dyDescent="0.25">
      <c r="B74" s="761"/>
      <c r="C74" s="211">
        <v>45261</v>
      </c>
      <c r="D74" s="212">
        <v>1714.29</v>
      </c>
      <c r="E74" s="213">
        <f t="shared" si="31"/>
        <v>96.000239999999991</v>
      </c>
      <c r="F74" s="213">
        <f t="shared" si="32"/>
        <v>33.000082499999998</v>
      </c>
      <c r="G74" s="213">
        <f t="shared" si="30"/>
        <v>240.00060000000002</v>
      </c>
      <c r="H74" s="214">
        <f t="shared" si="27"/>
        <v>1345.2890774999998</v>
      </c>
      <c r="I74" s="215">
        <v>1345.29</v>
      </c>
      <c r="J74" s="216" t="str">
        <f t="shared" si="28"/>
        <v xml:space="preserve">Correcto </v>
      </c>
      <c r="K74" s="250" t="str">
        <f t="shared" si="29"/>
        <v xml:space="preserve"> </v>
      </c>
      <c r="L74" s="312">
        <f t="shared" si="33"/>
        <v>285.71499999999997</v>
      </c>
      <c r="N74" s="276" t="s">
        <v>70</v>
      </c>
      <c r="O74" s="277">
        <f>O70-O71-O72-O73</f>
        <v>3</v>
      </c>
      <c r="Q74" s="321" t="s">
        <v>61</v>
      </c>
      <c r="R74" s="245" t="s">
        <v>67</v>
      </c>
      <c r="S74" s="245" t="s">
        <v>67</v>
      </c>
      <c r="T74" s="245" t="s">
        <v>67</v>
      </c>
      <c r="U74" s="245" t="s">
        <v>67</v>
      </c>
      <c r="V74" s="245">
        <v>1</v>
      </c>
      <c r="W74" s="246"/>
      <c r="X74" s="246"/>
      <c r="Y74" s="245">
        <v>4</v>
      </c>
      <c r="Z74" s="245">
        <v>5</v>
      </c>
      <c r="AA74" s="247"/>
      <c r="AB74" s="245">
        <v>7</v>
      </c>
      <c r="AC74" s="247"/>
      <c r="AD74" s="246"/>
      <c r="AE74" s="246"/>
      <c r="AF74" s="245">
        <v>11</v>
      </c>
      <c r="AG74" s="245">
        <v>12</v>
      </c>
      <c r="AH74" s="245">
        <v>13</v>
      </c>
      <c r="AI74" s="245">
        <v>14</v>
      </c>
      <c r="AJ74" s="245">
        <v>15</v>
      </c>
      <c r="AK74" s="246"/>
      <c r="AL74" s="246"/>
      <c r="AM74" s="245">
        <v>18</v>
      </c>
      <c r="AN74" s="245">
        <v>19</v>
      </c>
      <c r="AO74" s="245">
        <v>20</v>
      </c>
      <c r="AP74" s="245">
        <v>21</v>
      </c>
      <c r="AQ74" s="245">
        <v>22</v>
      </c>
      <c r="AR74" s="246"/>
      <c r="AS74" s="246"/>
      <c r="AT74" s="247"/>
      <c r="AU74" s="245">
        <v>26</v>
      </c>
      <c r="AV74" s="245">
        <v>27</v>
      </c>
      <c r="AW74" s="245">
        <v>28</v>
      </c>
      <c r="AX74" s="245">
        <v>29</v>
      </c>
      <c r="AY74" s="246"/>
      <c r="AZ74" s="246"/>
      <c r="BA74" s="245" t="s">
        <v>67</v>
      </c>
      <c r="BB74" s="248" t="s">
        <v>67</v>
      </c>
    </row>
    <row r="75" spans="1:56" s="303" customFormat="1" ht="20.100000000000001" customHeight="1" x14ac:dyDescent="0.2">
      <c r="B75" s="761"/>
      <c r="C75" s="211" t="s">
        <v>96</v>
      </c>
      <c r="D75" s="212">
        <f>SUM(L69:L74)</f>
        <v>1714.2899999999997</v>
      </c>
      <c r="E75" s="213"/>
      <c r="F75" s="213"/>
      <c r="G75" s="213">
        <f t="shared" si="30"/>
        <v>240.00059999999999</v>
      </c>
      <c r="H75" s="214">
        <f t="shared" si="27"/>
        <v>1474.2893999999997</v>
      </c>
      <c r="I75" s="215">
        <v>1474.29</v>
      </c>
      <c r="J75" s="216" t="str">
        <f t="shared" si="28"/>
        <v xml:space="preserve">Correcto </v>
      </c>
      <c r="K75" s="250" t="str">
        <f t="shared" si="29"/>
        <v xml:space="preserve"> </v>
      </c>
      <c r="L75" s="233"/>
      <c r="P75" s="238"/>
    </row>
    <row r="76" spans="1:56" s="303" customFormat="1" x14ac:dyDescent="0.2">
      <c r="D76" s="251">
        <f t="shared" ref="D76:I76" si="34">SUM(D61:D75)</f>
        <v>24333.520000000008</v>
      </c>
      <c r="E76" s="251">
        <f t="shared" si="34"/>
        <v>1164.0089499999999</v>
      </c>
      <c r="F76" s="252">
        <f t="shared" si="34"/>
        <v>401.50308000000001</v>
      </c>
      <c r="G76" s="252">
        <f t="shared" si="34"/>
        <v>3365.7377999999994</v>
      </c>
      <c r="H76" s="253">
        <f t="shared" si="34"/>
        <v>19402.270169999996</v>
      </c>
      <c r="I76" s="253">
        <f t="shared" si="34"/>
        <v>19399.050000000007</v>
      </c>
      <c r="J76" s="253"/>
      <c r="K76" s="253"/>
      <c r="P76" s="238"/>
    </row>
    <row r="77" spans="1:56" s="303" customFormat="1" x14ac:dyDescent="0.2">
      <c r="D77" s="254">
        <f>D76-E76-G76-F76</f>
        <v>19402.270170000011</v>
      </c>
      <c r="E77" s="254"/>
      <c r="F77" s="254"/>
      <c r="G77" s="254"/>
      <c r="H77" s="255"/>
      <c r="I77" s="255"/>
      <c r="J77" s="255"/>
      <c r="K77" s="255"/>
      <c r="P77" s="238"/>
    </row>
    <row r="78" spans="1:56" s="303" customFormat="1" x14ac:dyDescent="0.2">
      <c r="I78" s="209">
        <v>2022</v>
      </c>
      <c r="J78" s="210">
        <v>1714.29</v>
      </c>
      <c r="K78" s="257" t="s">
        <v>76</v>
      </c>
      <c r="L78" s="209"/>
      <c r="P78" s="238"/>
    </row>
    <row r="79" spans="1:56" s="303" customFormat="1" x14ac:dyDescent="0.2">
      <c r="I79" s="209" t="s">
        <v>72</v>
      </c>
      <c r="J79" s="266">
        <v>0.25</v>
      </c>
      <c r="K79" s="267">
        <v>0</v>
      </c>
      <c r="L79" s="331">
        <f>J79*$J$79*K79</f>
        <v>0</v>
      </c>
      <c r="P79" s="238"/>
    </row>
    <row r="80" spans="1:56" s="303" customFormat="1" x14ac:dyDescent="0.2">
      <c r="I80" s="209" t="s">
        <v>73</v>
      </c>
      <c r="J80" s="258">
        <v>0.25</v>
      </c>
      <c r="K80" s="259">
        <v>0</v>
      </c>
      <c r="L80" s="322">
        <f>J80*$J$79*K80</f>
        <v>0</v>
      </c>
      <c r="P80" s="238"/>
    </row>
    <row r="81" spans="2:54" s="303" customFormat="1" x14ac:dyDescent="0.2">
      <c r="I81" s="209" t="s">
        <v>74</v>
      </c>
      <c r="J81" s="258">
        <v>0.25</v>
      </c>
      <c r="K81" s="259">
        <v>1</v>
      </c>
      <c r="L81" s="332">
        <f>J81*$J$79*K81</f>
        <v>6.25E-2</v>
      </c>
      <c r="P81" s="238"/>
    </row>
    <row r="82" spans="2:54" s="303" customFormat="1" x14ac:dyDescent="0.2">
      <c r="I82" s="209" t="s">
        <v>75</v>
      </c>
      <c r="J82" s="268">
        <v>0.25</v>
      </c>
      <c r="K82" s="269">
        <v>0</v>
      </c>
      <c r="L82" s="329">
        <f>J82*$J$79*K82</f>
        <v>0</v>
      </c>
      <c r="P82" s="238"/>
    </row>
    <row r="83" spans="2:54" s="303" customFormat="1" x14ac:dyDescent="0.2">
      <c r="I83" s="323"/>
      <c r="J83" s="209"/>
      <c r="K83" s="260" t="s">
        <v>71</v>
      </c>
      <c r="L83" s="261">
        <f>SUM(L79:L82)</f>
        <v>6.25E-2</v>
      </c>
      <c r="P83" s="238"/>
    </row>
    <row r="84" spans="2:54" s="303" customFormat="1" x14ac:dyDescent="0.2">
      <c r="P84" s="238"/>
    </row>
    <row r="85" spans="2:54" s="303" customFormat="1" x14ac:dyDescent="0.2">
      <c r="P85" s="278"/>
    </row>
    <row r="86" spans="2:54" s="303" customFormat="1" ht="15.75" thickBot="1" x14ac:dyDescent="0.25">
      <c r="P86" s="278"/>
    </row>
    <row r="87" spans="2:54" s="303" customFormat="1" ht="16.5" thickBot="1" x14ac:dyDescent="0.25">
      <c r="B87" s="279"/>
      <c r="C87" s="279"/>
      <c r="D87" s="280" t="s">
        <v>5</v>
      </c>
      <c r="E87" s="280" t="s">
        <v>6</v>
      </c>
      <c r="F87" s="281" t="s">
        <v>49</v>
      </c>
      <c r="G87" s="280" t="s">
        <v>7</v>
      </c>
      <c r="H87" s="280" t="s">
        <v>8</v>
      </c>
      <c r="I87" s="280" t="s">
        <v>9</v>
      </c>
      <c r="J87" s="280" t="s">
        <v>10</v>
      </c>
      <c r="K87" s="280"/>
      <c r="L87" s="280" t="s">
        <v>11</v>
      </c>
      <c r="M87" s="333"/>
      <c r="N87" s="333"/>
      <c r="O87" s="333"/>
      <c r="P87" s="278"/>
      <c r="Q87" s="755">
        <v>2022</v>
      </c>
      <c r="R87" s="756"/>
      <c r="S87" s="756"/>
      <c r="T87" s="756"/>
      <c r="U87" s="756"/>
      <c r="V87" s="756"/>
      <c r="W87" s="756"/>
      <c r="X87" s="756"/>
      <c r="Y87" s="756"/>
      <c r="Z87" s="756"/>
      <c r="AA87" s="756"/>
      <c r="AB87" s="756"/>
      <c r="AC87" s="756"/>
      <c r="AD87" s="756"/>
      <c r="AE87" s="756"/>
      <c r="AF87" s="756"/>
      <c r="AG87" s="756"/>
      <c r="AH87" s="756"/>
      <c r="AI87" s="756"/>
      <c r="AJ87" s="756"/>
      <c r="AK87" s="756"/>
      <c r="AL87" s="756"/>
      <c r="AM87" s="756"/>
      <c r="AN87" s="756"/>
      <c r="AO87" s="756"/>
      <c r="AP87" s="756"/>
      <c r="AQ87" s="756"/>
      <c r="AR87" s="756"/>
      <c r="AS87" s="756"/>
      <c r="AT87" s="756"/>
      <c r="AU87" s="756"/>
      <c r="AV87" s="756"/>
      <c r="AW87" s="756"/>
      <c r="AX87" s="756"/>
      <c r="AY87" s="756"/>
      <c r="AZ87" s="756"/>
      <c r="BA87" s="756"/>
      <c r="BB87" s="757"/>
    </row>
    <row r="88" spans="2:54" s="303" customFormat="1" x14ac:dyDescent="0.2">
      <c r="B88" s="758">
        <v>2022</v>
      </c>
      <c r="C88" s="282">
        <v>44621</v>
      </c>
      <c r="D88" s="283">
        <f>1714.29/30*9</f>
        <v>514.28700000000003</v>
      </c>
      <c r="E88" s="284">
        <f>(D88+L88)*0.047</f>
        <v>28.200070500000002</v>
      </c>
      <c r="F88" s="284">
        <f>(D88+L88)*0.0165</f>
        <v>9.9000247500000018</v>
      </c>
      <c r="G88" s="284">
        <f>D88*$N$93</f>
        <v>66.857310000000012</v>
      </c>
      <c r="H88" s="285">
        <f>D88-E88-G88-F88</f>
        <v>409.32959475000001</v>
      </c>
      <c r="I88" s="286">
        <v>409.33</v>
      </c>
      <c r="J88" s="287" t="str">
        <f>IF(ISBLANK(I88)," ",IF(I88-H88&lt;0.01,"Correcto ",IF(I88-H88&lt;0.01,"Faltan","Sobran")))</f>
        <v xml:space="preserve">Correcto </v>
      </c>
      <c r="K88" s="288" t="str">
        <f>IF(ISBLANK(I88)," ",IF(I88-H88&lt;0.01," ",I88-H88))</f>
        <v xml:space="preserve"> </v>
      </c>
      <c r="L88" s="334">
        <f>1714.29/6/30*9</f>
        <v>85.714499999999987</v>
      </c>
      <c r="M88" s="335"/>
      <c r="N88" s="336"/>
      <c r="O88" s="336"/>
      <c r="P88" s="323"/>
      <c r="Q88" s="315">
        <v>44562</v>
      </c>
      <c r="R88" s="218" t="s">
        <v>42</v>
      </c>
      <c r="S88" s="218" t="s">
        <v>43</v>
      </c>
      <c r="T88" s="218" t="s">
        <v>44</v>
      </c>
      <c r="U88" s="218" t="s">
        <v>45</v>
      </c>
      <c r="V88" s="218" t="s">
        <v>46</v>
      </c>
      <c r="W88" s="218" t="s">
        <v>47</v>
      </c>
      <c r="X88" s="219" t="s">
        <v>48</v>
      </c>
      <c r="Y88" s="218" t="s">
        <v>42</v>
      </c>
      <c r="Z88" s="218" t="s">
        <v>43</v>
      </c>
      <c r="AA88" s="218" t="s">
        <v>44</v>
      </c>
      <c r="AB88" s="218" t="s">
        <v>45</v>
      </c>
      <c r="AC88" s="218" t="s">
        <v>46</v>
      </c>
      <c r="AD88" s="218" t="s">
        <v>47</v>
      </c>
      <c r="AE88" s="219" t="s">
        <v>48</v>
      </c>
      <c r="AF88" s="218" t="s">
        <v>42</v>
      </c>
      <c r="AG88" s="218" t="s">
        <v>43</v>
      </c>
      <c r="AH88" s="218" t="s">
        <v>44</v>
      </c>
      <c r="AI88" s="218" t="s">
        <v>45</v>
      </c>
      <c r="AJ88" s="218" t="s">
        <v>46</v>
      </c>
      <c r="AK88" s="218" t="s">
        <v>47</v>
      </c>
      <c r="AL88" s="219" t="s">
        <v>48</v>
      </c>
      <c r="AM88" s="218" t="s">
        <v>42</v>
      </c>
      <c r="AN88" s="218" t="s">
        <v>43</v>
      </c>
      <c r="AO88" s="218" t="s">
        <v>44</v>
      </c>
      <c r="AP88" s="218" t="s">
        <v>45</v>
      </c>
      <c r="AQ88" s="218" t="s">
        <v>46</v>
      </c>
      <c r="AR88" s="218" t="s">
        <v>47</v>
      </c>
      <c r="AS88" s="219" t="s">
        <v>48</v>
      </c>
      <c r="AT88" s="218" t="s">
        <v>42</v>
      </c>
      <c r="AU88" s="218" t="s">
        <v>43</v>
      </c>
      <c r="AV88" s="218" t="s">
        <v>44</v>
      </c>
      <c r="AW88" s="218" t="s">
        <v>45</v>
      </c>
      <c r="AX88" s="218" t="s">
        <v>46</v>
      </c>
      <c r="AY88" s="218" t="s">
        <v>47</v>
      </c>
      <c r="AZ88" s="219" t="s">
        <v>48</v>
      </c>
      <c r="BA88" s="218" t="s">
        <v>42</v>
      </c>
      <c r="BB88" s="220" t="s">
        <v>43</v>
      </c>
    </row>
    <row r="89" spans="2:54" s="303" customFormat="1" x14ac:dyDescent="0.2">
      <c r="B89" s="758"/>
      <c r="C89" s="282">
        <v>44652</v>
      </c>
      <c r="D89" s="283">
        <v>1714.29</v>
      </c>
      <c r="E89" s="284">
        <f t="shared" ref="E89:E97" si="35">(D89+L89)*0.047</f>
        <v>94.000234999999989</v>
      </c>
      <c r="F89" s="284">
        <f t="shared" ref="F89:F98" si="36">(D89+L89)*0.0165</f>
        <v>33.000082499999998</v>
      </c>
      <c r="G89" s="284">
        <f t="shared" ref="G89:G99" si="37">D89*$N$93</f>
        <v>222.85769999999999</v>
      </c>
      <c r="H89" s="285">
        <f t="shared" ref="H89:H97" si="38">D89-E89-G89-F89</f>
        <v>1364.4319825</v>
      </c>
      <c r="I89" s="286">
        <v>1364.43</v>
      </c>
      <c r="J89" s="287" t="str">
        <f t="shared" ref="J89:J99" si="39">IF(ISBLANK(I89)," ",IF(I89-H89&lt;0.01,"Correcto ",IF(I89-H89&lt;0.01,"Faltan","Sobran")))</f>
        <v xml:space="preserve">Correcto </v>
      </c>
      <c r="K89" s="289" t="str">
        <f>IF(ISBLANK(I89)," ",IF(I89-H89&lt;0.01," ",I89-H89))</f>
        <v xml:space="preserve"> </v>
      </c>
      <c r="L89" s="334">
        <f t="shared" ref="L89:L98" si="40">1714.29/6</f>
        <v>285.71499999999997</v>
      </c>
      <c r="M89" s="335"/>
      <c r="N89" s="336"/>
      <c r="O89" s="337"/>
      <c r="Q89" s="316" t="s">
        <v>50</v>
      </c>
      <c r="R89" s="222"/>
      <c r="S89" s="222"/>
      <c r="T89" s="222"/>
      <c r="U89" s="222"/>
      <c r="V89" s="222"/>
      <c r="W89" s="224"/>
      <c r="X89" s="224"/>
      <c r="Y89" s="222"/>
      <c r="Z89" s="222"/>
      <c r="AA89" s="222"/>
      <c r="AB89" s="222"/>
      <c r="AC89" s="222"/>
      <c r="AD89" s="224"/>
      <c r="AE89" s="224"/>
      <c r="AF89" s="222"/>
      <c r="AG89" s="222"/>
      <c r="AH89" s="222"/>
      <c r="AI89" s="222"/>
      <c r="AJ89" s="222"/>
      <c r="AK89" s="224"/>
      <c r="AL89" s="224"/>
      <c r="AM89" s="222"/>
      <c r="AN89" s="222"/>
      <c r="AO89" s="222"/>
      <c r="AP89" s="222"/>
      <c r="AQ89" s="222"/>
      <c r="AR89" s="224"/>
      <c r="AS89" s="224"/>
      <c r="AT89" s="222"/>
      <c r="AU89" s="222"/>
      <c r="AV89" s="222"/>
      <c r="AW89" s="222"/>
      <c r="AX89" s="222"/>
      <c r="AY89" s="224"/>
      <c r="AZ89" s="224"/>
      <c r="BA89" s="222"/>
      <c r="BB89" s="225"/>
    </row>
    <row r="90" spans="2:54" s="303" customFormat="1" x14ac:dyDescent="0.2">
      <c r="B90" s="758"/>
      <c r="C90" s="282">
        <v>44682</v>
      </c>
      <c r="D90" s="283">
        <v>1714.29</v>
      </c>
      <c r="E90" s="284">
        <f t="shared" si="35"/>
        <v>94.000234999999989</v>
      </c>
      <c r="F90" s="284">
        <f t="shared" si="36"/>
        <v>33.000082499999998</v>
      </c>
      <c r="G90" s="284">
        <f t="shared" si="37"/>
        <v>222.85769999999999</v>
      </c>
      <c r="H90" s="285">
        <f t="shared" si="38"/>
        <v>1364.4319825</v>
      </c>
      <c r="I90" s="286">
        <v>1364.43</v>
      </c>
      <c r="J90" s="287" t="str">
        <f t="shared" si="39"/>
        <v xml:space="preserve">Correcto </v>
      </c>
      <c r="K90" s="289" t="str">
        <f t="shared" ref="K90:K99" si="41">IF(ISBLANK(I90)," ",IF(I90-H90&lt;0.01," ",I90-H90))</f>
        <v xml:space="preserve"> </v>
      </c>
      <c r="L90" s="334">
        <f t="shared" si="40"/>
        <v>285.71499999999997</v>
      </c>
      <c r="M90" s="338"/>
      <c r="N90" s="230" t="s">
        <v>12</v>
      </c>
      <c r="O90" s="231">
        <f>SUM(D88:D99)</f>
        <v>18600.046500000004</v>
      </c>
      <c r="Q90" s="318" t="s">
        <v>51</v>
      </c>
      <c r="R90" s="221"/>
      <c r="S90" s="221"/>
      <c r="T90" s="221"/>
      <c r="U90" s="221"/>
      <c r="V90" s="221"/>
      <c r="W90" s="227"/>
      <c r="X90" s="227"/>
      <c r="Y90" s="221"/>
      <c r="Z90" s="221"/>
      <c r="AA90" s="221"/>
      <c r="AB90" s="221"/>
      <c r="AC90" s="221"/>
      <c r="AD90" s="227"/>
      <c r="AE90" s="227"/>
      <c r="AF90" s="221"/>
      <c r="AG90" s="221"/>
      <c r="AH90" s="221"/>
      <c r="AI90" s="221"/>
      <c r="AJ90" s="221"/>
      <c r="AK90" s="227"/>
      <c r="AL90" s="227"/>
      <c r="AM90" s="221"/>
      <c r="AN90" s="221"/>
      <c r="AO90" s="221"/>
      <c r="AP90" s="221"/>
      <c r="AQ90" s="221"/>
      <c r="AR90" s="227"/>
      <c r="AS90" s="227"/>
      <c r="AT90" s="221"/>
      <c r="AU90" s="221"/>
      <c r="AV90" s="221"/>
      <c r="AW90" s="221"/>
      <c r="AX90" s="221"/>
      <c r="AY90" s="227"/>
      <c r="AZ90" s="227"/>
      <c r="BA90" s="221"/>
      <c r="BB90" s="229"/>
    </row>
    <row r="91" spans="2:54" s="303" customFormat="1" x14ac:dyDescent="0.2">
      <c r="B91" s="758"/>
      <c r="C91" s="282">
        <v>44713</v>
      </c>
      <c r="D91" s="283">
        <v>1714.29</v>
      </c>
      <c r="E91" s="284">
        <f t="shared" si="35"/>
        <v>94.000234999999989</v>
      </c>
      <c r="F91" s="284">
        <f t="shared" si="36"/>
        <v>33.000082499999998</v>
      </c>
      <c r="G91" s="284">
        <f t="shared" si="37"/>
        <v>222.85769999999999</v>
      </c>
      <c r="H91" s="285">
        <f t="shared" si="38"/>
        <v>1364.4319825</v>
      </c>
      <c r="I91" s="286">
        <v>1364.43</v>
      </c>
      <c r="J91" s="287" t="str">
        <f t="shared" si="39"/>
        <v xml:space="preserve">Correcto </v>
      </c>
      <c r="K91" s="289" t="str">
        <f t="shared" si="41"/>
        <v xml:space="preserve"> </v>
      </c>
      <c r="L91" s="334">
        <f t="shared" si="40"/>
        <v>285.71499999999997</v>
      </c>
      <c r="M91" s="290"/>
      <c r="N91" s="234" t="s">
        <v>13</v>
      </c>
      <c r="O91" s="235">
        <f>SUM(E88:F98)</f>
        <v>1181.1029527499998</v>
      </c>
      <c r="Q91" s="318" t="s">
        <v>52</v>
      </c>
      <c r="R91" s="221"/>
      <c r="S91" s="221"/>
      <c r="T91" s="221"/>
      <c r="U91" s="221"/>
      <c r="V91" s="221"/>
      <c r="W91" s="227"/>
      <c r="X91" s="227"/>
      <c r="Y91" s="221"/>
      <c r="Z91" s="221"/>
      <c r="AA91" s="221"/>
      <c r="AB91" s="221"/>
      <c r="AC91" s="221"/>
      <c r="AD91" s="227"/>
      <c r="AE91" s="227"/>
      <c r="AF91" s="221"/>
      <c r="AG91" s="221"/>
      <c r="AH91" s="221"/>
      <c r="AI91" s="221"/>
      <c r="AJ91" s="221"/>
      <c r="AK91" s="227"/>
      <c r="AL91" s="227"/>
      <c r="AM91" s="221"/>
      <c r="AN91" s="221"/>
      <c r="AO91" s="221">
        <v>44643</v>
      </c>
      <c r="AP91" s="221">
        <v>44644</v>
      </c>
      <c r="AQ91" s="221">
        <v>44645</v>
      </c>
      <c r="AR91" s="227"/>
      <c r="AS91" s="227"/>
      <c r="AT91" s="221">
        <v>44648</v>
      </c>
      <c r="AU91" s="221">
        <v>44649</v>
      </c>
      <c r="AV91" s="221">
        <v>44650</v>
      </c>
      <c r="AW91" s="221">
        <v>44651</v>
      </c>
      <c r="AX91" s="221"/>
      <c r="AY91" s="227"/>
      <c r="AZ91" s="227"/>
      <c r="BA91" s="221"/>
      <c r="BB91" s="229"/>
    </row>
    <row r="92" spans="2:54" s="303" customFormat="1" x14ac:dyDescent="0.2">
      <c r="B92" s="758"/>
      <c r="C92" s="282" t="s">
        <v>41</v>
      </c>
      <c r="D92" s="283">
        <f>SUM(L88:L91)</f>
        <v>942.8594999999998</v>
      </c>
      <c r="E92" s="284"/>
      <c r="F92" s="284"/>
      <c r="G92" s="284">
        <f t="shared" si="37"/>
        <v>122.57173499999998</v>
      </c>
      <c r="H92" s="285">
        <f>D92-E92-G92-F92</f>
        <v>820.28776499999981</v>
      </c>
      <c r="I92" s="286">
        <v>820.29</v>
      </c>
      <c r="J92" s="287" t="str">
        <f t="shared" si="39"/>
        <v xml:space="preserve">Correcto </v>
      </c>
      <c r="K92" s="289" t="str">
        <f t="shared" si="41"/>
        <v xml:space="preserve"> </v>
      </c>
      <c r="L92" s="290"/>
      <c r="M92" s="290"/>
      <c r="N92" s="237" t="s">
        <v>7</v>
      </c>
      <c r="O92" s="235">
        <f>SUM(G88:G99)+0.02</f>
        <v>2418.0260450000001</v>
      </c>
      <c r="Q92" s="318" t="s">
        <v>53</v>
      </c>
      <c r="R92" s="221"/>
      <c r="S92" s="221"/>
      <c r="T92" s="221"/>
      <c r="U92" s="221"/>
      <c r="V92" s="221"/>
      <c r="W92" s="227"/>
      <c r="X92" s="227"/>
      <c r="Y92" s="221">
        <v>44655</v>
      </c>
      <c r="Z92" s="221">
        <v>44656</v>
      </c>
      <c r="AA92" s="221">
        <v>44657</v>
      </c>
      <c r="AB92" s="221">
        <v>44658</v>
      </c>
      <c r="AC92" s="221">
        <v>44659</v>
      </c>
      <c r="AD92" s="227"/>
      <c r="AE92" s="227"/>
      <c r="AF92" s="221">
        <v>44662</v>
      </c>
      <c r="AG92" s="221">
        <v>44663</v>
      </c>
      <c r="AH92" s="221">
        <v>44664</v>
      </c>
      <c r="AI92" s="221">
        <v>44665</v>
      </c>
      <c r="AJ92" s="221">
        <v>44666</v>
      </c>
      <c r="AK92" s="227"/>
      <c r="AL92" s="227"/>
      <c r="AM92" s="221">
        <v>44669</v>
      </c>
      <c r="AN92" s="221">
        <v>44670</v>
      </c>
      <c r="AO92" s="221">
        <v>44671</v>
      </c>
      <c r="AP92" s="221">
        <v>44672</v>
      </c>
      <c r="AQ92" s="221">
        <v>44673</v>
      </c>
      <c r="AR92" s="227"/>
      <c r="AS92" s="227"/>
      <c r="AT92" s="221">
        <v>44676</v>
      </c>
      <c r="AU92" s="221">
        <v>44677</v>
      </c>
      <c r="AV92" s="221">
        <v>44678</v>
      </c>
      <c r="AW92" s="263"/>
      <c r="AX92" s="221">
        <v>44680</v>
      </c>
      <c r="AY92" s="227"/>
      <c r="AZ92" s="227"/>
      <c r="BA92" s="221"/>
      <c r="BB92" s="229"/>
    </row>
    <row r="93" spans="2:54" s="303" customFormat="1" x14ac:dyDescent="0.2">
      <c r="B93" s="758"/>
      <c r="C93" s="282">
        <v>44743</v>
      </c>
      <c r="D93" s="283">
        <v>1714.29</v>
      </c>
      <c r="E93" s="284">
        <f t="shared" si="35"/>
        <v>94.000234999999989</v>
      </c>
      <c r="F93" s="284">
        <f t="shared" si="36"/>
        <v>33.000082499999998</v>
      </c>
      <c r="G93" s="284">
        <f t="shared" si="37"/>
        <v>222.85769999999999</v>
      </c>
      <c r="H93" s="285">
        <f t="shared" si="38"/>
        <v>1364.4319825</v>
      </c>
      <c r="I93" s="286">
        <v>1364.43</v>
      </c>
      <c r="J93" s="287" t="str">
        <f t="shared" si="39"/>
        <v xml:space="preserve">Correcto </v>
      </c>
      <c r="K93" s="289" t="str">
        <f t="shared" si="41"/>
        <v xml:space="preserve"> </v>
      </c>
      <c r="L93" s="334">
        <f t="shared" si="40"/>
        <v>285.71499999999997</v>
      </c>
      <c r="M93" s="296"/>
      <c r="N93" s="239">
        <v>0.13</v>
      </c>
      <c r="O93" s="302"/>
      <c r="Q93" s="318" t="s">
        <v>54</v>
      </c>
      <c r="R93" s="221"/>
      <c r="S93" s="221"/>
      <c r="T93" s="221"/>
      <c r="U93" s="221"/>
      <c r="V93" s="221"/>
      <c r="W93" s="227"/>
      <c r="X93" s="227"/>
      <c r="Y93" s="221">
        <v>44683</v>
      </c>
      <c r="Z93" s="221">
        <v>44684</v>
      </c>
      <c r="AA93" s="221">
        <v>44685</v>
      </c>
      <c r="AB93" s="221">
        <v>44686</v>
      </c>
      <c r="AC93" s="221">
        <v>44687</v>
      </c>
      <c r="AD93" s="227"/>
      <c r="AE93" s="227"/>
      <c r="AF93" s="221">
        <v>44690</v>
      </c>
      <c r="AG93" s="221">
        <v>44691</v>
      </c>
      <c r="AH93" s="221">
        <v>44692</v>
      </c>
      <c r="AI93" s="221">
        <v>44693</v>
      </c>
      <c r="AJ93" s="221">
        <v>44694</v>
      </c>
      <c r="AK93" s="227"/>
      <c r="AL93" s="227"/>
      <c r="AM93" s="221">
        <v>44697</v>
      </c>
      <c r="AN93" s="221">
        <v>44698</v>
      </c>
      <c r="AO93" s="221">
        <v>44699</v>
      </c>
      <c r="AP93" s="221">
        <v>44700</v>
      </c>
      <c r="AQ93" s="221">
        <v>44701</v>
      </c>
      <c r="AR93" s="227"/>
      <c r="AS93" s="227"/>
      <c r="AT93" s="221">
        <v>44704</v>
      </c>
      <c r="AU93" s="221">
        <v>44705</v>
      </c>
      <c r="AV93" s="221">
        <v>44706</v>
      </c>
      <c r="AW93" s="221">
        <v>44707</v>
      </c>
      <c r="AX93" s="221">
        <v>44708</v>
      </c>
      <c r="AY93" s="227"/>
      <c r="AZ93" s="227"/>
      <c r="BA93" s="221">
        <v>44711</v>
      </c>
      <c r="BB93" s="229">
        <v>44712</v>
      </c>
    </row>
    <row r="94" spans="2:54" s="303" customFormat="1" x14ac:dyDescent="0.2">
      <c r="B94" s="758"/>
      <c r="C94" s="282">
        <v>44774</v>
      </c>
      <c r="D94" s="283">
        <v>1714.29</v>
      </c>
      <c r="E94" s="284">
        <f t="shared" si="35"/>
        <v>94.000234999999989</v>
      </c>
      <c r="F94" s="284">
        <f t="shared" si="36"/>
        <v>33.000082499999998</v>
      </c>
      <c r="G94" s="284">
        <f t="shared" si="37"/>
        <v>222.85769999999999</v>
      </c>
      <c r="H94" s="285">
        <f t="shared" si="38"/>
        <v>1364.4319825</v>
      </c>
      <c r="I94" s="286">
        <v>1364.43</v>
      </c>
      <c r="J94" s="287" t="str">
        <f t="shared" si="39"/>
        <v xml:space="preserve">Correcto </v>
      </c>
      <c r="K94" s="289" t="str">
        <f t="shared" si="41"/>
        <v xml:space="preserve"> </v>
      </c>
      <c r="L94" s="334">
        <f t="shared" si="40"/>
        <v>285.71499999999997</v>
      </c>
      <c r="M94" s="302"/>
      <c r="Q94" s="318" t="s">
        <v>55</v>
      </c>
      <c r="R94" s="221"/>
      <c r="S94" s="221"/>
      <c r="T94" s="221">
        <v>44713</v>
      </c>
      <c r="U94" s="221">
        <v>44714</v>
      </c>
      <c r="V94" s="221">
        <v>44715</v>
      </c>
      <c r="W94" s="227"/>
      <c r="X94" s="227"/>
      <c r="Y94" s="221">
        <v>44718</v>
      </c>
      <c r="Z94" s="221">
        <v>44719</v>
      </c>
      <c r="AA94" s="221">
        <v>44720</v>
      </c>
      <c r="AB94" s="221">
        <v>44721</v>
      </c>
      <c r="AC94" s="221">
        <v>44722</v>
      </c>
      <c r="AD94" s="227"/>
      <c r="AE94" s="227"/>
      <c r="AF94" s="221">
        <v>44725</v>
      </c>
      <c r="AG94" s="221">
        <v>44726</v>
      </c>
      <c r="AH94" s="221">
        <v>44727</v>
      </c>
      <c r="AI94" s="221">
        <v>44728</v>
      </c>
      <c r="AJ94" s="221">
        <v>44729</v>
      </c>
      <c r="AK94" s="227"/>
      <c r="AL94" s="227"/>
      <c r="AM94" s="221">
        <v>44732</v>
      </c>
      <c r="AN94" s="221">
        <v>44733</v>
      </c>
      <c r="AO94" s="221">
        <v>44734</v>
      </c>
      <c r="AP94" s="221">
        <v>44735</v>
      </c>
      <c r="AQ94" s="221">
        <v>44736</v>
      </c>
      <c r="AR94" s="227"/>
      <c r="AS94" s="227"/>
      <c r="AT94" s="221">
        <v>44739</v>
      </c>
      <c r="AU94" s="221">
        <v>44740</v>
      </c>
      <c r="AV94" s="221">
        <v>44741</v>
      </c>
      <c r="AW94" s="221">
        <v>44742</v>
      </c>
      <c r="AX94" s="221"/>
      <c r="AY94" s="227"/>
      <c r="AZ94" s="227"/>
      <c r="BA94" s="221"/>
      <c r="BB94" s="229"/>
    </row>
    <row r="95" spans="2:54" s="303" customFormat="1" ht="15.75" thickBot="1" x14ac:dyDescent="0.25">
      <c r="B95" s="758"/>
      <c r="C95" s="282">
        <v>44805</v>
      </c>
      <c r="D95" s="283">
        <v>1714.29</v>
      </c>
      <c r="E95" s="284">
        <f t="shared" si="35"/>
        <v>94.000234999999989</v>
      </c>
      <c r="F95" s="284">
        <f t="shared" si="36"/>
        <v>33.000082499999998</v>
      </c>
      <c r="G95" s="284">
        <f t="shared" si="37"/>
        <v>222.85769999999999</v>
      </c>
      <c r="H95" s="285">
        <f t="shared" si="38"/>
        <v>1364.4319825</v>
      </c>
      <c r="I95" s="286">
        <v>1364.43</v>
      </c>
      <c r="J95" s="287" t="str">
        <f t="shared" si="39"/>
        <v xml:space="preserve">Correcto </v>
      </c>
      <c r="K95" s="289" t="str">
        <f t="shared" si="41"/>
        <v xml:space="preserve"> </v>
      </c>
      <c r="L95" s="334">
        <f t="shared" si="40"/>
        <v>285.71499999999997</v>
      </c>
      <c r="Q95" s="318" t="s">
        <v>56</v>
      </c>
      <c r="R95" s="221"/>
      <c r="S95" s="221"/>
      <c r="T95" s="221"/>
      <c r="U95" s="221"/>
      <c r="V95" s="221">
        <v>44743</v>
      </c>
      <c r="W95" s="227"/>
      <c r="X95" s="227"/>
      <c r="Y95" s="221">
        <v>44746</v>
      </c>
      <c r="Z95" s="221">
        <v>44747</v>
      </c>
      <c r="AA95" s="221">
        <v>44748</v>
      </c>
      <c r="AB95" s="221">
        <v>44749</v>
      </c>
      <c r="AC95" s="221">
        <v>44750</v>
      </c>
      <c r="AD95" s="227"/>
      <c r="AE95" s="227"/>
      <c r="AF95" s="221">
        <v>44753</v>
      </c>
      <c r="AG95" s="221">
        <v>44754</v>
      </c>
      <c r="AH95" s="221">
        <v>44755</v>
      </c>
      <c r="AI95" s="221">
        <v>44756</v>
      </c>
      <c r="AJ95" s="221">
        <v>44757</v>
      </c>
      <c r="AK95" s="227"/>
      <c r="AL95" s="227"/>
      <c r="AM95" s="221">
        <v>44760</v>
      </c>
      <c r="AN95" s="221">
        <v>44761</v>
      </c>
      <c r="AO95" s="221">
        <v>44762</v>
      </c>
      <c r="AP95" s="221">
        <v>44763</v>
      </c>
      <c r="AQ95" s="221">
        <v>44764</v>
      </c>
      <c r="AR95" s="227"/>
      <c r="AS95" s="227"/>
      <c r="AT95" s="221">
        <v>44767</v>
      </c>
      <c r="AU95" s="221">
        <v>44768</v>
      </c>
      <c r="AV95" s="221">
        <v>44769</v>
      </c>
      <c r="AW95" s="221">
        <v>44770</v>
      </c>
      <c r="AX95" s="221">
        <v>44771</v>
      </c>
      <c r="AY95" s="227"/>
      <c r="AZ95" s="227"/>
      <c r="BA95" s="221"/>
      <c r="BB95" s="229"/>
    </row>
    <row r="96" spans="2:54" s="303" customFormat="1" ht="15.75" thickBot="1" x14ac:dyDescent="0.25">
      <c r="B96" s="758"/>
      <c r="C96" s="282">
        <v>44835</v>
      </c>
      <c r="D96" s="283">
        <v>1714.29</v>
      </c>
      <c r="E96" s="284">
        <f t="shared" si="35"/>
        <v>94.000234999999989</v>
      </c>
      <c r="F96" s="284">
        <f t="shared" si="36"/>
        <v>33.000082499999998</v>
      </c>
      <c r="G96" s="284">
        <f t="shared" si="37"/>
        <v>222.85769999999999</v>
      </c>
      <c r="H96" s="285">
        <f t="shared" si="38"/>
        <v>1364.4319825</v>
      </c>
      <c r="I96" s="286">
        <v>1364.43</v>
      </c>
      <c r="J96" s="287" t="str">
        <f t="shared" si="39"/>
        <v xml:space="preserve">Correcto </v>
      </c>
      <c r="K96" s="289" t="str">
        <f t="shared" si="41"/>
        <v xml:space="preserve"> </v>
      </c>
      <c r="L96" s="334">
        <f t="shared" si="40"/>
        <v>285.71499999999997</v>
      </c>
      <c r="N96" s="240" t="s">
        <v>69</v>
      </c>
      <c r="O96" s="241">
        <v>17</v>
      </c>
      <c r="P96" s="339"/>
      <c r="Q96" s="318" t="s">
        <v>57</v>
      </c>
      <c r="R96" s="291">
        <v>44774</v>
      </c>
      <c r="S96" s="291">
        <v>44775</v>
      </c>
      <c r="T96" s="291">
        <v>44776</v>
      </c>
      <c r="U96" s="291">
        <v>44777</v>
      </c>
      <c r="V96" s="263"/>
      <c r="W96" s="227"/>
      <c r="X96" s="227"/>
      <c r="Y96" s="221">
        <v>44781</v>
      </c>
      <c r="Z96" s="221">
        <v>44782</v>
      </c>
      <c r="AA96" s="221">
        <v>44783</v>
      </c>
      <c r="AB96" s="221">
        <v>44784</v>
      </c>
      <c r="AC96" s="221">
        <v>44785</v>
      </c>
      <c r="AD96" s="227"/>
      <c r="AE96" s="227"/>
      <c r="AF96" s="263"/>
      <c r="AG96" s="221">
        <v>44789</v>
      </c>
      <c r="AH96" s="221">
        <v>44790</v>
      </c>
      <c r="AI96" s="221">
        <v>44791</v>
      </c>
      <c r="AJ96" s="221">
        <v>44792</v>
      </c>
      <c r="AK96" s="227"/>
      <c r="AL96" s="227"/>
      <c r="AM96" s="221">
        <v>44795</v>
      </c>
      <c r="AN96" s="221">
        <v>44796</v>
      </c>
      <c r="AO96" s="221">
        <v>44797</v>
      </c>
      <c r="AP96" s="221">
        <v>44798</v>
      </c>
      <c r="AQ96" s="221">
        <v>44799</v>
      </c>
      <c r="AR96" s="227"/>
      <c r="AS96" s="227"/>
      <c r="AT96" s="221">
        <v>44802</v>
      </c>
      <c r="AU96" s="221">
        <v>44803</v>
      </c>
      <c r="AV96" s="221">
        <v>44804</v>
      </c>
      <c r="AW96" s="221"/>
      <c r="AX96" s="221"/>
      <c r="AY96" s="227"/>
      <c r="AZ96" s="227"/>
      <c r="BA96" s="221"/>
      <c r="BB96" s="229"/>
    </row>
    <row r="97" spans="2:54" s="303" customFormat="1" ht="15.75" thickBot="1" x14ac:dyDescent="0.25">
      <c r="B97" s="758"/>
      <c r="C97" s="282">
        <v>44866</v>
      </c>
      <c r="D97" s="283">
        <v>1714.29</v>
      </c>
      <c r="E97" s="284">
        <f t="shared" si="35"/>
        <v>94.000234999999989</v>
      </c>
      <c r="F97" s="284">
        <f t="shared" si="36"/>
        <v>33.000082499999998</v>
      </c>
      <c r="G97" s="284">
        <f t="shared" si="37"/>
        <v>222.85769999999999</v>
      </c>
      <c r="H97" s="285">
        <f t="shared" si="38"/>
        <v>1364.4319825</v>
      </c>
      <c r="I97" s="286">
        <v>1364.43</v>
      </c>
      <c r="J97" s="287" t="str">
        <f t="shared" si="39"/>
        <v xml:space="preserve">Correcto </v>
      </c>
      <c r="K97" s="289" t="str">
        <f t="shared" si="41"/>
        <v xml:space="preserve"> </v>
      </c>
      <c r="L97" s="334">
        <f t="shared" si="40"/>
        <v>285.71499999999997</v>
      </c>
      <c r="N97" s="242" t="s">
        <v>14</v>
      </c>
      <c r="O97" s="243">
        <f>COUNTA(Y97:AM97)</f>
        <v>10</v>
      </c>
      <c r="Q97" s="318" t="s">
        <v>58</v>
      </c>
      <c r="R97" s="221"/>
      <c r="S97" s="221"/>
      <c r="T97" s="221"/>
      <c r="U97" s="221">
        <v>44805</v>
      </c>
      <c r="V97" s="221">
        <v>44806</v>
      </c>
      <c r="W97" s="227"/>
      <c r="X97" s="227"/>
      <c r="Y97" s="291">
        <v>44809</v>
      </c>
      <c r="Z97" s="292"/>
      <c r="AA97" s="291">
        <v>44811</v>
      </c>
      <c r="AB97" s="291">
        <v>44812</v>
      </c>
      <c r="AC97" s="291">
        <v>44813</v>
      </c>
      <c r="AD97" s="291"/>
      <c r="AE97" s="291"/>
      <c r="AF97" s="291">
        <v>44816</v>
      </c>
      <c r="AG97" s="291">
        <v>44817</v>
      </c>
      <c r="AH97" s="291">
        <v>44818</v>
      </c>
      <c r="AI97" s="291">
        <v>44819</v>
      </c>
      <c r="AJ97" s="291">
        <v>44820</v>
      </c>
      <c r="AK97" s="291"/>
      <c r="AL97" s="291"/>
      <c r="AM97" s="221">
        <v>44823</v>
      </c>
      <c r="AN97" s="221">
        <v>44824</v>
      </c>
      <c r="AO97" s="221">
        <v>44825</v>
      </c>
      <c r="AP97" s="221">
        <v>44826</v>
      </c>
      <c r="AQ97" s="221">
        <v>44827</v>
      </c>
      <c r="AR97" s="227"/>
      <c r="AS97" s="227"/>
      <c r="AT97" s="221">
        <v>44830</v>
      </c>
      <c r="AU97" s="221">
        <v>44831</v>
      </c>
      <c r="AV97" s="221">
        <v>44832</v>
      </c>
      <c r="AW97" s="221">
        <v>44833</v>
      </c>
      <c r="AX97" s="221">
        <v>44834</v>
      </c>
      <c r="AY97" s="227"/>
      <c r="AZ97" s="227"/>
      <c r="BA97" s="221"/>
      <c r="BB97" s="229"/>
    </row>
    <row r="98" spans="2:54" s="303" customFormat="1" ht="15.75" thickBot="1" x14ac:dyDescent="0.25">
      <c r="B98" s="758"/>
      <c r="C98" s="282">
        <v>44896</v>
      </c>
      <c r="D98" s="283">
        <v>1714.29</v>
      </c>
      <c r="E98" s="284">
        <f>(D98+L98)*0.047</f>
        <v>94.000234999999989</v>
      </c>
      <c r="F98" s="284">
        <f t="shared" si="36"/>
        <v>33.000082499999998</v>
      </c>
      <c r="G98" s="284">
        <f t="shared" si="37"/>
        <v>222.85769999999999</v>
      </c>
      <c r="H98" s="285">
        <f>D98-E98-G98-F98</f>
        <v>1364.4319825</v>
      </c>
      <c r="I98" s="286">
        <v>1364.43</v>
      </c>
      <c r="J98" s="287" t="str">
        <f t="shared" si="39"/>
        <v xml:space="preserve">Correcto </v>
      </c>
      <c r="K98" s="289" t="str">
        <f t="shared" si="41"/>
        <v xml:space="preserve"> </v>
      </c>
      <c r="L98" s="334">
        <f t="shared" si="40"/>
        <v>285.71499999999997</v>
      </c>
      <c r="N98" s="244" t="s">
        <v>39</v>
      </c>
      <c r="O98" s="243">
        <f>COUNTA(R96:U96)</f>
        <v>4</v>
      </c>
      <c r="Q98" s="318" t="s">
        <v>59</v>
      </c>
      <c r="R98" s="221"/>
      <c r="S98" s="221"/>
      <c r="T98" s="221"/>
      <c r="U98" s="221"/>
      <c r="V98" s="221"/>
      <c r="W98" s="227"/>
      <c r="X98" s="227"/>
      <c r="Y98" s="221">
        <v>44837</v>
      </c>
      <c r="Z98" s="221">
        <v>44838</v>
      </c>
      <c r="AA98" s="221">
        <v>44839</v>
      </c>
      <c r="AB98" s="221">
        <v>44840</v>
      </c>
      <c r="AC98" s="221">
        <v>44841</v>
      </c>
      <c r="AD98" s="227"/>
      <c r="AE98" s="227"/>
      <c r="AF98" s="221">
        <v>44844</v>
      </c>
      <c r="AG98" s="221">
        <v>44845</v>
      </c>
      <c r="AH98" s="263"/>
      <c r="AI98" s="221">
        <v>44847</v>
      </c>
      <c r="AJ98" s="221">
        <v>44848</v>
      </c>
      <c r="AK98" s="227"/>
      <c r="AL98" s="227"/>
      <c r="AM98" s="221">
        <v>44851</v>
      </c>
      <c r="AN98" s="221">
        <v>44852</v>
      </c>
      <c r="AO98" s="221">
        <v>44853</v>
      </c>
      <c r="AP98" s="221">
        <v>44854</v>
      </c>
      <c r="AQ98" s="221">
        <v>44855</v>
      </c>
      <c r="AR98" s="227"/>
      <c r="AS98" s="227"/>
      <c r="AT98" s="221">
        <v>44858</v>
      </c>
      <c r="AU98" s="221">
        <v>44859</v>
      </c>
      <c r="AV98" s="221">
        <v>44860</v>
      </c>
      <c r="AW98" s="221">
        <v>44861</v>
      </c>
      <c r="AX98" s="221">
        <v>44862</v>
      </c>
      <c r="AY98" s="227"/>
      <c r="AZ98" s="227"/>
      <c r="BA98" s="221">
        <v>44865</v>
      </c>
      <c r="BB98" s="229"/>
    </row>
    <row r="99" spans="2:54" s="303" customFormat="1" ht="15.75" thickBot="1" x14ac:dyDescent="0.25">
      <c r="B99" s="758"/>
      <c r="C99" s="282" t="s">
        <v>15</v>
      </c>
      <c r="D99" s="283">
        <f>SUM(L93:L98)</f>
        <v>1714.2899999999997</v>
      </c>
      <c r="E99" s="284"/>
      <c r="F99" s="284"/>
      <c r="G99" s="284">
        <f t="shared" si="37"/>
        <v>222.85769999999997</v>
      </c>
      <c r="H99" s="285">
        <f>D99-E99-G99-F99</f>
        <v>1491.4322999999997</v>
      </c>
      <c r="I99" s="286">
        <v>1491.43</v>
      </c>
      <c r="J99" s="287" t="str">
        <f t="shared" si="39"/>
        <v xml:space="preserve">Correcto </v>
      </c>
      <c r="K99" s="289" t="str">
        <f t="shared" si="41"/>
        <v xml:space="preserve"> </v>
      </c>
      <c r="L99" s="290"/>
      <c r="N99" s="275">
        <v>44927</v>
      </c>
      <c r="O99" s="243">
        <f>O96-O97-O98</f>
        <v>3</v>
      </c>
      <c r="Q99" s="318" t="s">
        <v>60</v>
      </c>
      <c r="R99" s="221"/>
      <c r="S99" s="263"/>
      <c r="T99" s="221">
        <v>44867</v>
      </c>
      <c r="U99" s="221">
        <v>44868</v>
      </c>
      <c r="V99" s="221">
        <v>44869</v>
      </c>
      <c r="W99" s="227"/>
      <c r="X99" s="227"/>
      <c r="Y99" s="221">
        <v>44872</v>
      </c>
      <c r="Z99" s="221">
        <v>44873</v>
      </c>
      <c r="AA99" s="221">
        <v>44874</v>
      </c>
      <c r="AB99" s="221">
        <v>44875</v>
      </c>
      <c r="AC99" s="221">
        <v>44876</v>
      </c>
      <c r="AD99" s="227"/>
      <c r="AE99" s="227"/>
      <c r="AF99" s="221">
        <v>44879</v>
      </c>
      <c r="AG99" s="221">
        <v>44880</v>
      </c>
      <c r="AH99" s="221">
        <v>44881</v>
      </c>
      <c r="AI99" s="221">
        <v>44882</v>
      </c>
      <c r="AJ99" s="221">
        <v>44883</v>
      </c>
      <c r="AK99" s="227"/>
      <c r="AL99" s="227"/>
      <c r="AM99" s="221">
        <v>44886</v>
      </c>
      <c r="AN99" s="221">
        <v>44887</v>
      </c>
      <c r="AO99" s="221">
        <v>44888</v>
      </c>
      <c r="AP99" s="221">
        <v>44889</v>
      </c>
      <c r="AQ99" s="221">
        <v>44890</v>
      </c>
      <c r="AR99" s="227"/>
      <c r="AS99" s="227"/>
      <c r="AT99" s="221">
        <v>44893</v>
      </c>
      <c r="AU99" s="221">
        <v>44894</v>
      </c>
      <c r="AV99" s="221">
        <v>44895</v>
      </c>
      <c r="AW99" s="221"/>
      <c r="AX99" s="221"/>
      <c r="AY99" s="227"/>
      <c r="AZ99" s="227"/>
      <c r="BA99" s="221"/>
      <c r="BB99" s="229"/>
    </row>
    <row r="100" spans="2:54" s="303" customFormat="1" ht="15.75" thickBot="1" x14ac:dyDescent="0.25">
      <c r="D100" s="293">
        <f>SUM(D88:D99)</f>
        <v>18600.046500000004</v>
      </c>
      <c r="E100" s="293">
        <f>SUM(E88:E98)</f>
        <v>874.20218549999981</v>
      </c>
      <c r="F100" s="294">
        <f>SUM(F88:F98)</f>
        <v>306.90076725</v>
      </c>
      <c r="G100" s="294">
        <f>SUM(G88:G99)</f>
        <v>2418.0060450000001</v>
      </c>
      <c r="H100" s="295">
        <f>SUM(H88:H99)</f>
        <v>15000.937502250001</v>
      </c>
      <c r="I100" s="295">
        <f>SUM(I88:I99)</f>
        <v>15000.920000000002</v>
      </c>
      <c r="J100" s="295"/>
      <c r="K100" s="295"/>
      <c r="Q100" s="321" t="s">
        <v>61</v>
      </c>
      <c r="R100" s="245"/>
      <c r="S100" s="245"/>
      <c r="T100" s="245"/>
      <c r="U100" s="245">
        <v>44896</v>
      </c>
      <c r="V100" s="245">
        <v>44897</v>
      </c>
      <c r="W100" s="246"/>
      <c r="X100" s="246"/>
      <c r="Y100" s="245">
        <v>44900</v>
      </c>
      <c r="Z100" s="247"/>
      <c r="AA100" s="245">
        <v>44902</v>
      </c>
      <c r="AB100" s="247"/>
      <c r="AC100" s="245">
        <v>44904</v>
      </c>
      <c r="AD100" s="246"/>
      <c r="AE100" s="246"/>
      <c r="AF100" s="245">
        <v>44907</v>
      </c>
      <c r="AG100" s="245">
        <v>44908</v>
      </c>
      <c r="AH100" s="245">
        <v>44909</v>
      </c>
      <c r="AI100" s="245">
        <v>44910</v>
      </c>
      <c r="AJ100" s="245">
        <v>44911</v>
      </c>
      <c r="AK100" s="246"/>
      <c r="AL100" s="246"/>
      <c r="AM100" s="245">
        <v>44914</v>
      </c>
      <c r="AN100" s="245">
        <v>44915</v>
      </c>
      <c r="AO100" s="245">
        <v>44916</v>
      </c>
      <c r="AP100" s="245">
        <v>44917</v>
      </c>
      <c r="AQ100" s="245">
        <v>44918</v>
      </c>
      <c r="AR100" s="246"/>
      <c r="AS100" s="246"/>
      <c r="AT100" s="245">
        <v>44921</v>
      </c>
      <c r="AU100" s="245">
        <v>44922</v>
      </c>
      <c r="AV100" s="245">
        <v>44923</v>
      </c>
      <c r="AW100" s="245">
        <v>44924</v>
      </c>
      <c r="AX100" s="245">
        <v>44925</v>
      </c>
      <c r="AY100" s="246"/>
      <c r="AZ100" s="246"/>
      <c r="BA100" s="245"/>
      <c r="BB100" s="248"/>
    </row>
    <row r="101" spans="2:54" s="303" customFormat="1" x14ac:dyDescent="0.2">
      <c r="D101" s="759">
        <f>D100-E100-G100-F100</f>
        <v>15000.937502250006</v>
      </c>
      <c r="E101" s="759"/>
      <c r="F101" s="759"/>
      <c r="G101" s="759"/>
      <c r="H101" s="296"/>
      <c r="I101" s="296"/>
      <c r="J101" s="296"/>
      <c r="K101" s="296"/>
    </row>
    <row r="102" spans="2:54" s="303" customFormat="1" x14ac:dyDescent="0.2">
      <c r="I102" s="448"/>
      <c r="K102" s="278"/>
      <c r="L102" s="297"/>
      <c r="M102" s="232"/>
    </row>
    <row r="103" spans="2:54" s="303" customFormat="1" x14ac:dyDescent="0.2">
      <c r="D103" s="296"/>
      <c r="E103" s="296"/>
      <c r="F103" s="296"/>
      <c r="G103" s="298"/>
      <c r="H103" s="299"/>
      <c r="I103" s="448"/>
      <c r="J103" s="300"/>
      <c r="M103" s="297"/>
    </row>
    <row r="104" spans="2:54" s="303" customFormat="1" x14ac:dyDescent="0.2">
      <c r="I104" s="340"/>
      <c r="M104" s="300"/>
    </row>
    <row r="105" spans="2:54" s="303" customFormat="1" x14ac:dyDescent="0.2">
      <c r="G105" s="341"/>
      <c r="H105" s="342"/>
      <c r="I105" s="340"/>
      <c r="M105" s="301"/>
      <c r="N105" s="232"/>
    </row>
    <row r="106" spans="2:54" s="303" customFormat="1" x14ac:dyDescent="0.2"/>
    <row r="107" spans="2:54" s="303" customFormat="1" x14ac:dyDescent="0.2">
      <c r="N107" s="343">
        <v>44643</v>
      </c>
    </row>
    <row r="108" spans="2:54" s="303" customFormat="1" x14ac:dyDescent="0.2">
      <c r="N108" s="344">
        <f ca="1">TODAY()-N107</f>
        <v>1537</v>
      </c>
    </row>
    <row r="109" spans="2:54" s="303" customFormat="1" x14ac:dyDescent="0.2">
      <c r="N109" s="345">
        <f ca="1">(N108/365)*33*(2000/30)</f>
        <v>9264.1095890410961</v>
      </c>
      <c r="O109" s="346" t="s">
        <v>78</v>
      </c>
    </row>
    <row r="110" spans="2:54" s="303" customFormat="1" x14ac:dyDescent="0.2"/>
    <row r="111" spans="2:54" s="303" customFormat="1" x14ac:dyDescent="0.2"/>
    <row r="112" spans="2:54" s="303" customFormat="1" x14ac:dyDescent="0.2"/>
    <row r="113" s="303" customFormat="1" x14ac:dyDescent="0.2"/>
    <row r="114" s="303" customFormat="1" x14ac:dyDescent="0.2"/>
    <row r="115" s="303" customFormat="1" x14ac:dyDescent="0.2"/>
    <row r="116" s="303" customFormat="1" x14ac:dyDescent="0.2"/>
    <row r="117" s="303" customFormat="1" x14ac:dyDescent="0.2"/>
    <row r="118" s="303" customFormat="1" x14ac:dyDescent="0.2"/>
    <row r="119" s="303" customFormat="1" x14ac:dyDescent="0.2"/>
    <row r="120" s="303" customFormat="1" x14ac:dyDescent="0.2"/>
    <row r="121" s="303" customFormat="1" x14ac:dyDescent="0.2"/>
    <row r="122" s="303" customFormat="1" x14ac:dyDescent="0.2"/>
    <row r="123" s="303" customFormat="1" x14ac:dyDescent="0.2"/>
    <row r="124" s="303" customFormat="1" x14ac:dyDescent="0.2"/>
    <row r="125" s="303" customFormat="1" x14ac:dyDescent="0.2"/>
    <row r="126" s="303" customFormat="1" x14ac:dyDescent="0.2"/>
    <row r="127" s="303" customFormat="1" x14ac:dyDescent="0.2"/>
    <row r="128" s="303" customFormat="1" x14ac:dyDescent="0.2"/>
    <row r="129" s="303" customFormat="1" x14ac:dyDescent="0.2"/>
    <row r="130" s="303" customFormat="1" x14ac:dyDescent="0.2"/>
    <row r="131" s="303" customFormat="1" x14ac:dyDescent="0.2"/>
    <row r="132" s="303" customFormat="1" x14ac:dyDescent="0.2"/>
    <row r="133" s="303" customFormat="1" x14ac:dyDescent="0.2"/>
    <row r="134" s="303" customFormat="1" x14ac:dyDescent="0.2"/>
    <row r="135" s="303" customFormat="1" x14ac:dyDescent="0.2"/>
    <row r="136" s="303" customFormat="1" x14ac:dyDescent="0.2"/>
    <row r="137" s="303" customFormat="1" x14ac:dyDescent="0.2"/>
    <row r="138" s="303" customFormat="1" x14ac:dyDescent="0.2"/>
    <row r="139" s="303" customFormat="1" x14ac:dyDescent="0.2"/>
    <row r="140" s="303" customFormat="1" x14ac:dyDescent="0.2"/>
    <row r="141" s="303" customFormat="1" x14ac:dyDescent="0.2"/>
    <row r="142" s="303" customFormat="1" x14ac:dyDescent="0.2"/>
    <row r="143" s="303" customFormat="1" x14ac:dyDescent="0.2"/>
    <row r="144" s="303" customFormat="1" x14ac:dyDescent="0.2"/>
    <row r="145" s="303" customFormat="1" x14ac:dyDescent="0.2"/>
    <row r="146" s="303" customFormat="1" x14ac:dyDescent="0.2"/>
    <row r="147" s="303" customFormat="1" x14ac:dyDescent="0.2"/>
    <row r="148" s="303" customFormat="1" x14ac:dyDescent="0.2"/>
    <row r="149" s="303" customFormat="1" x14ac:dyDescent="0.2"/>
    <row r="150" s="303" customFormat="1" x14ac:dyDescent="0.2"/>
    <row r="151" s="303" customFormat="1" x14ac:dyDescent="0.2"/>
    <row r="152" s="303" customFormat="1" x14ac:dyDescent="0.2"/>
    <row r="153" s="303" customFormat="1" x14ac:dyDescent="0.2"/>
    <row r="154" s="303" customFormat="1" x14ac:dyDescent="0.2"/>
    <row r="155" s="303" customFormat="1" x14ac:dyDescent="0.2"/>
    <row r="156" s="303" customFormat="1" x14ac:dyDescent="0.2"/>
    <row r="157" s="303" customFormat="1" x14ac:dyDescent="0.2"/>
    <row r="158" s="303" customFormat="1" x14ac:dyDescent="0.2"/>
    <row r="159" s="303" customFormat="1" x14ac:dyDescent="0.2"/>
    <row r="160" s="303" customFormat="1" x14ac:dyDescent="0.2"/>
    <row r="161" s="303" customFormat="1" x14ac:dyDescent="0.2"/>
    <row r="162" s="303" customFormat="1" x14ac:dyDescent="0.2"/>
    <row r="163" s="303" customFormat="1" x14ac:dyDescent="0.2"/>
    <row r="164" s="303" customFormat="1" x14ac:dyDescent="0.2"/>
    <row r="165" s="303" customFormat="1" x14ac:dyDescent="0.2"/>
    <row r="166" s="303" customFormat="1" x14ac:dyDescent="0.2"/>
    <row r="167" s="303" customFormat="1" x14ac:dyDescent="0.2"/>
    <row r="168" s="303" customFormat="1" x14ac:dyDescent="0.2"/>
    <row r="169" s="303" customFormat="1" x14ac:dyDescent="0.2"/>
    <row r="170" s="303" customFormat="1" x14ac:dyDescent="0.2"/>
    <row r="171" s="303" customFormat="1" x14ac:dyDescent="0.2"/>
    <row r="172" s="303" customFormat="1" x14ac:dyDescent="0.2"/>
    <row r="173" s="303" customFormat="1" x14ac:dyDescent="0.2"/>
    <row r="174" s="303" customFormat="1" x14ac:dyDescent="0.2"/>
    <row r="175" s="303" customFormat="1" x14ac:dyDescent="0.2"/>
    <row r="176" s="303" customFormat="1" x14ac:dyDescent="0.2"/>
    <row r="177" s="303" customFormat="1" x14ac:dyDescent="0.2"/>
    <row r="178" s="303" customFormat="1" x14ac:dyDescent="0.2"/>
    <row r="179" s="303" customFormat="1" x14ac:dyDescent="0.2"/>
    <row r="180" s="303" customFormat="1" x14ac:dyDescent="0.2"/>
    <row r="181" s="303" customFormat="1" x14ac:dyDescent="0.2"/>
    <row r="182" s="303" customFormat="1" x14ac:dyDescent="0.2"/>
    <row r="183" s="303" customFormat="1" x14ac:dyDescent="0.2"/>
    <row r="184" s="303" customFormat="1" x14ac:dyDescent="0.2"/>
    <row r="185" s="303" customFormat="1" x14ac:dyDescent="0.2"/>
    <row r="186" s="303" customFormat="1" x14ac:dyDescent="0.2"/>
    <row r="187" s="303" customFormat="1" x14ac:dyDescent="0.2"/>
    <row r="188" s="303" customFormat="1" x14ac:dyDescent="0.2"/>
    <row r="189" s="303" customFormat="1" x14ac:dyDescent="0.2"/>
    <row r="190" s="303" customFormat="1" x14ac:dyDescent="0.2"/>
    <row r="191" s="303" customFormat="1" x14ac:dyDescent="0.2"/>
    <row r="192" s="303" customFormat="1" x14ac:dyDescent="0.2"/>
    <row r="193" s="303" customFormat="1" x14ac:dyDescent="0.2"/>
    <row r="194" s="303" customFormat="1" x14ac:dyDescent="0.2"/>
    <row r="195" s="303" customFormat="1" x14ac:dyDescent="0.2"/>
    <row r="196" s="303" customFormat="1" x14ac:dyDescent="0.2"/>
    <row r="197" s="303" customFormat="1" x14ac:dyDescent="0.2"/>
    <row r="198" s="303" customFormat="1" x14ac:dyDescent="0.2"/>
    <row r="199" s="303" customFormat="1" x14ac:dyDescent="0.2"/>
    <row r="200" s="303" customFormat="1" x14ac:dyDescent="0.2"/>
    <row r="201" s="303" customFormat="1" x14ac:dyDescent="0.2"/>
    <row r="202" s="303" customFormat="1" x14ac:dyDescent="0.2"/>
    <row r="203" s="303" customFormat="1" x14ac:dyDescent="0.2"/>
    <row r="204" s="303" customFormat="1" x14ac:dyDescent="0.2"/>
    <row r="205" s="303" customFormat="1" x14ac:dyDescent="0.2"/>
    <row r="206" s="303" customFormat="1" x14ac:dyDescent="0.2"/>
    <row r="207" s="303" customFormat="1" x14ac:dyDescent="0.2"/>
    <row r="208" s="303" customFormat="1" x14ac:dyDescent="0.2"/>
    <row r="209" s="303" customFormat="1" x14ac:dyDescent="0.2"/>
    <row r="210" s="303" customFormat="1" x14ac:dyDescent="0.2"/>
    <row r="211" s="303" customFormat="1" x14ac:dyDescent="0.2"/>
    <row r="212" s="303" customFormat="1" x14ac:dyDescent="0.2"/>
    <row r="213" s="303" customFormat="1" x14ac:dyDescent="0.2"/>
    <row r="214" s="303" customFormat="1" x14ac:dyDescent="0.2"/>
    <row r="215" s="303" customFormat="1" x14ac:dyDescent="0.2"/>
    <row r="216" s="303" customFormat="1" x14ac:dyDescent="0.2"/>
    <row r="217" s="303" customFormat="1" x14ac:dyDescent="0.2"/>
    <row r="218" s="303" customFormat="1" x14ac:dyDescent="0.2"/>
    <row r="219" s="303" customFormat="1" x14ac:dyDescent="0.2"/>
    <row r="220" s="303" customFormat="1" x14ac:dyDescent="0.2"/>
    <row r="221" s="303" customFormat="1" x14ac:dyDescent="0.2"/>
    <row r="222" s="303" customFormat="1" x14ac:dyDescent="0.2"/>
    <row r="223" s="303" customFormat="1" x14ac:dyDescent="0.2"/>
    <row r="224" s="303" customFormat="1" x14ac:dyDescent="0.2"/>
    <row r="225" s="303" customFormat="1" x14ac:dyDescent="0.2"/>
    <row r="226" s="303" customFormat="1" x14ac:dyDescent="0.2"/>
    <row r="227" s="303" customFormat="1" x14ac:dyDescent="0.2"/>
    <row r="228" s="303" customFormat="1" x14ac:dyDescent="0.2"/>
    <row r="229" s="303" customFormat="1" x14ac:dyDescent="0.2"/>
    <row r="230" s="303" customFormat="1" x14ac:dyDescent="0.2"/>
    <row r="231" s="303" customFormat="1" x14ac:dyDescent="0.2"/>
    <row r="232" s="303" customFormat="1" x14ac:dyDescent="0.2"/>
    <row r="233" s="303" customFormat="1" x14ac:dyDescent="0.2"/>
    <row r="234" s="303" customFormat="1" x14ac:dyDescent="0.2"/>
    <row r="235" s="303" customFormat="1" x14ac:dyDescent="0.2"/>
    <row r="236" s="303" customFormat="1" x14ac:dyDescent="0.2"/>
    <row r="237" s="303" customFormat="1" x14ac:dyDescent="0.2"/>
    <row r="238" s="303" customFormat="1" x14ac:dyDescent="0.2"/>
    <row r="239" s="303" customFormat="1" x14ac:dyDescent="0.2"/>
    <row r="240" s="303" customFormat="1" x14ac:dyDescent="0.2"/>
    <row r="241" s="303" customFormat="1" x14ac:dyDescent="0.2"/>
    <row r="242" s="303" customFormat="1" x14ac:dyDescent="0.2"/>
    <row r="243" s="303" customFormat="1" x14ac:dyDescent="0.2"/>
    <row r="244" s="303" customFormat="1" x14ac:dyDescent="0.2"/>
    <row r="245" s="303" customFormat="1" x14ac:dyDescent="0.2"/>
    <row r="246" s="303" customFormat="1" x14ac:dyDescent="0.2"/>
    <row r="247" s="303" customFormat="1" x14ac:dyDescent="0.2"/>
    <row r="248" s="303" customFormat="1" x14ac:dyDescent="0.2"/>
    <row r="249" s="303" customFormat="1" x14ac:dyDescent="0.2"/>
    <row r="250" s="303" customFormat="1" x14ac:dyDescent="0.2"/>
    <row r="251" s="303" customFormat="1" x14ac:dyDescent="0.2"/>
    <row r="252" s="303" customFormat="1" x14ac:dyDescent="0.2"/>
    <row r="253" s="303" customFormat="1" x14ac:dyDescent="0.2"/>
    <row r="254" s="303" customFormat="1" x14ac:dyDescent="0.2"/>
    <row r="255" s="303" customFormat="1" x14ac:dyDescent="0.2"/>
    <row r="256" s="303" customFormat="1" x14ac:dyDescent="0.2"/>
    <row r="257" s="303" customFormat="1" x14ac:dyDescent="0.2"/>
    <row r="258" s="303" customFormat="1" x14ac:dyDescent="0.2"/>
    <row r="259" s="303" customFormat="1" x14ac:dyDescent="0.2"/>
    <row r="260" s="303" customFormat="1" x14ac:dyDescent="0.2"/>
    <row r="261" s="303" customFormat="1" x14ac:dyDescent="0.2"/>
    <row r="262" s="303" customFormat="1" x14ac:dyDescent="0.2"/>
    <row r="263" s="303" customFormat="1" x14ac:dyDescent="0.2"/>
    <row r="264" s="303" customFormat="1" x14ac:dyDescent="0.2"/>
    <row r="265" s="303" customFormat="1" x14ac:dyDescent="0.2"/>
    <row r="266" s="303" customFormat="1" x14ac:dyDescent="0.2"/>
    <row r="267" s="303" customFormat="1" x14ac:dyDescent="0.2"/>
    <row r="268" s="303" customFormat="1" x14ac:dyDescent="0.2"/>
    <row r="269" s="303" customFormat="1" x14ac:dyDescent="0.2"/>
    <row r="270" s="303" customFormat="1" x14ac:dyDescent="0.2"/>
    <row r="271" s="303" customFormat="1" x14ac:dyDescent="0.2"/>
    <row r="272" s="303" customFormat="1" x14ac:dyDescent="0.2"/>
    <row r="273" s="303" customFormat="1" x14ac:dyDescent="0.2"/>
    <row r="274" s="303" customFormat="1" x14ac:dyDescent="0.2"/>
    <row r="275" s="303" customFormat="1" x14ac:dyDescent="0.2"/>
    <row r="276" s="303" customFormat="1" x14ac:dyDescent="0.2"/>
    <row r="277" s="303" customFormat="1" x14ac:dyDescent="0.2"/>
    <row r="278" s="303" customFormat="1" x14ac:dyDescent="0.2"/>
    <row r="279" s="303" customFormat="1" x14ac:dyDescent="0.2"/>
    <row r="280" s="303" customFormat="1" x14ac:dyDescent="0.2"/>
    <row r="281" s="303" customFormat="1" x14ac:dyDescent="0.2"/>
    <row r="282" s="303" customFormat="1" x14ac:dyDescent="0.2"/>
    <row r="283" s="303" customFormat="1" x14ac:dyDescent="0.2"/>
    <row r="284" s="303" customFormat="1" x14ac:dyDescent="0.2"/>
    <row r="285" s="303" customFormat="1" x14ac:dyDescent="0.2"/>
    <row r="286" s="303" customFormat="1" x14ac:dyDescent="0.2"/>
    <row r="287" s="303" customFormat="1" x14ac:dyDescent="0.2"/>
    <row r="288" s="303" customFormat="1" x14ac:dyDescent="0.2"/>
    <row r="289" s="303" customFormat="1" x14ac:dyDescent="0.2"/>
    <row r="290" s="303" customFormat="1" x14ac:dyDescent="0.2"/>
    <row r="291" s="303" customFormat="1" x14ac:dyDescent="0.2"/>
    <row r="292" s="303" customFormat="1" x14ac:dyDescent="0.2"/>
    <row r="293" s="303" customFormat="1" x14ac:dyDescent="0.2"/>
    <row r="294" s="303" customFormat="1" x14ac:dyDescent="0.2"/>
    <row r="295" s="303" customFormat="1" x14ac:dyDescent="0.2"/>
    <row r="296" s="303" customFormat="1" x14ac:dyDescent="0.2"/>
    <row r="297" s="303" customFormat="1" x14ac:dyDescent="0.2"/>
    <row r="298" s="303" customFormat="1" x14ac:dyDescent="0.2"/>
    <row r="299" s="303" customFormat="1" x14ac:dyDescent="0.2"/>
    <row r="300" s="303" customFormat="1" x14ac:dyDescent="0.2"/>
    <row r="301" s="303" customFormat="1" x14ac:dyDescent="0.2"/>
    <row r="302" s="303" customFormat="1" x14ac:dyDescent="0.2"/>
    <row r="303" s="303" customFormat="1" x14ac:dyDescent="0.2"/>
    <row r="304" s="303" customFormat="1" x14ac:dyDescent="0.2"/>
    <row r="305" s="303" customFormat="1" x14ac:dyDescent="0.2"/>
    <row r="306" s="303" customFormat="1" x14ac:dyDescent="0.2"/>
    <row r="307" s="303" customFormat="1" x14ac:dyDescent="0.2"/>
    <row r="308" s="303" customFormat="1" x14ac:dyDescent="0.2"/>
    <row r="309" s="303" customFormat="1" x14ac:dyDescent="0.2"/>
    <row r="310" s="303" customFormat="1" x14ac:dyDescent="0.2"/>
    <row r="311" s="303" customFormat="1" x14ac:dyDescent="0.2"/>
    <row r="312" s="303" customFormat="1" x14ac:dyDescent="0.2"/>
    <row r="313" s="303" customFormat="1" x14ac:dyDescent="0.2"/>
    <row r="314" s="303" customFormat="1" x14ac:dyDescent="0.2"/>
    <row r="315" s="303" customFormat="1" x14ac:dyDescent="0.2"/>
    <row r="316" s="303" customFormat="1" x14ac:dyDescent="0.2"/>
    <row r="317" s="303" customFormat="1" x14ac:dyDescent="0.2"/>
    <row r="318" s="303" customFormat="1" x14ac:dyDescent="0.2"/>
    <row r="319" s="303" customFormat="1" x14ac:dyDescent="0.2"/>
    <row r="320" s="303" customFormat="1" x14ac:dyDescent="0.2"/>
    <row r="321" s="303" customFormat="1" x14ac:dyDescent="0.2"/>
    <row r="322" s="303" customFormat="1" x14ac:dyDescent="0.2"/>
    <row r="323" s="303" customFormat="1" x14ac:dyDescent="0.2"/>
    <row r="324" s="303" customFormat="1" x14ac:dyDescent="0.2"/>
    <row r="325" s="303" customFormat="1" x14ac:dyDescent="0.2"/>
    <row r="326" s="303" customFormat="1" x14ac:dyDescent="0.2"/>
    <row r="327" s="303" customFormat="1" x14ac:dyDescent="0.2"/>
    <row r="328" s="303" customFormat="1" x14ac:dyDescent="0.2"/>
    <row r="329" s="303" customFormat="1" x14ac:dyDescent="0.2"/>
    <row r="330" s="303" customFormat="1" x14ac:dyDescent="0.2"/>
    <row r="331" s="303" customFormat="1" x14ac:dyDescent="0.2"/>
    <row r="332" s="303" customFormat="1" x14ac:dyDescent="0.2"/>
    <row r="333" s="303" customFormat="1" x14ac:dyDescent="0.2"/>
    <row r="334" s="303" customFormat="1" x14ac:dyDescent="0.2"/>
    <row r="335" s="303" customFormat="1" x14ac:dyDescent="0.2"/>
    <row r="336" s="303" customFormat="1" x14ac:dyDescent="0.2"/>
    <row r="337" s="303" customFormat="1" x14ac:dyDescent="0.2"/>
    <row r="338" s="303" customFormat="1" x14ac:dyDescent="0.2"/>
    <row r="339" s="303" customFormat="1" x14ac:dyDescent="0.2"/>
    <row r="340" s="303" customFormat="1" x14ac:dyDescent="0.2"/>
    <row r="341" s="303" customFormat="1" x14ac:dyDescent="0.2"/>
    <row r="342" s="303" customFormat="1" x14ac:dyDescent="0.2"/>
    <row r="343" s="303" customFormat="1" x14ac:dyDescent="0.2"/>
    <row r="344" s="303" customFormat="1" x14ac:dyDescent="0.2"/>
    <row r="345" s="303" customFormat="1" x14ac:dyDescent="0.2"/>
    <row r="346" s="303" customFormat="1" x14ac:dyDescent="0.2"/>
    <row r="347" s="303" customFormat="1" x14ac:dyDescent="0.2"/>
    <row r="348" s="303" customFormat="1" x14ac:dyDescent="0.2"/>
    <row r="349" s="303" customFormat="1" x14ac:dyDescent="0.2"/>
    <row r="350" s="303" customFormat="1" x14ac:dyDescent="0.2"/>
    <row r="351" s="303" customFormat="1" x14ac:dyDescent="0.2"/>
    <row r="352" s="303" customFormat="1" x14ac:dyDescent="0.2"/>
    <row r="353" s="303" customFormat="1" x14ac:dyDescent="0.2"/>
    <row r="354" s="303" customFormat="1" x14ac:dyDescent="0.2"/>
    <row r="355" s="303" customFormat="1" x14ac:dyDescent="0.2"/>
    <row r="356" s="303" customFormat="1" x14ac:dyDescent="0.2"/>
    <row r="357" s="303" customFormat="1" x14ac:dyDescent="0.2"/>
    <row r="358" s="303" customFormat="1" x14ac:dyDescent="0.2"/>
    <row r="359" s="303" customFormat="1" x14ac:dyDescent="0.2"/>
    <row r="360" s="303" customFormat="1" x14ac:dyDescent="0.2"/>
    <row r="361" s="303" customFormat="1" x14ac:dyDescent="0.2"/>
    <row r="362" s="303" customFormat="1" x14ac:dyDescent="0.2"/>
    <row r="363" s="303" customFormat="1" x14ac:dyDescent="0.2"/>
    <row r="364" s="303" customFormat="1" x14ac:dyDescent="0.2"/>
    <row r="365" s="303" customFormat="1" x14ac:dyDescent="0.2"/>
    <row r="366" s="303" customFormat="1" x14ac:dyDescent="0.2"/>
    <row r="367" s="303" customFormat="1" x14ac:dyDescent="0.2"/>
    <row r="368" s="303" customFormat="1" x14ac:dyDescent="0.2"/>
    <row r="369" s="303" customFormat="1" x14ac:dyDescent="0.2"/>
    <row r="370" s="303" customFormat="1" x14ac:dyDescent="0.2"/>
    <row r="371" s="303" customFormat="1" x14ac:dyDescent="0.2"/>
    <row r="372" s="303" customFormat="1" x14ac:dyDescent="0.2"/>
    <row r="373" s="303" customFormat="1" x14ac:dyDescent="0.2"/>
    <row r="374" s="303" customFormat="1" x14ac:dyDescent="0.2"/>
    <row r="375" s="303" customFormat="1" x14ac:dyDescent="0.2"/>
    <row r="376" s="303" customFormat="1" x14ac:dyDescent="0.2"/>
    <row r="377" s="303" customFormat="1" x14ac:dyDescent="0.2"/>
    <row r="378" s="303" customFormat="1" x14ac:dyDescent="0.2"/>
    <row r="379" s="303" customFormat="1" x14ac:dyDescent="0.2"/>
    <row r="380" s="303" customFormat="1" x14ac:dyDescent="0.2"/>
    <row r="381" s="303" customFormat="1" x14ac:dyDescent="0.2"/>
    <row r="382" s="303" customFormat="1" x14ac:dyDescent="0.2"/>
    <row r="383" s="303" customFormat="1" x14ac:dyDescent="0.2"/>
    <row r="384" s="303" customFormat="1" x14ac:dyDescent="0.2"/>
    <row r="385" s="303" customFormat="1" x14ac:dyDescent="0.2"/>
    <row r="386" s="303" customFormat="1" x14ac:dyDescent="0.2"/>
    <row r="387" s="303" customFormat="1" x14ac:dyDescent="0.2"/>
    <row r="388" s="303" customFormat="1" x14ac:dyDescent="0.2"/>
    <row r="389" s="303" customFormat="1" x14ac:dyDescent="0.2"/>
    <row r="390" s="303" customFormat="1" x14ac:dyDescent="0.2"/>
    <row r="391" s="303" customFormat="1" x14ac:dyDescent="0.2"/>
    <row r="392" s="303" customFormat="1" x14ac:dyDescent="0.2"/>
    <row r="393" s="303" customFormat="1" x14ac:dyDescent="0.2"/>
    <row r="394" s="303" customFormat="1" x14ac:dyDescent="0.2"/>
    <row r="395" s="303" customFormat="1" x14ac:dyDescent="0.2"/>
    <row r="396" s="303" customFormat="1" x14ac:dyDescent="0.2"/>
    <row r="397" s="303" customFormat="1" x14ac:dyDescent="0.2"/>
    <row r="398" s="303" customFormat="1" x14ac:dyDescent="0.2"/>
    <row r="399" s="303" customFormat="1" x14ac:dyDescent="0.2"/>
    <row r="400" s="303" customFormat="1" x14ac:dyDescent="0.2"/>
    <row r="401" s="303" customFormat="1" x14ac:dyDescent="0.2"/>
    <row r="402" s="303" customFormat="1" x14ac:dyDescent="0.2"/>
    <row r="403" s="303" customFormat="1" x14ac:dyDescent="0.2"/>
    <row r="404" s="303" customFormat="1" x14ac:dyDescent="0.2"/>
    <row r="405" s="303" customFormat="1" x14ac:dyDescent="0.2"/>
    <row r="406" s="303" customFormat="1" x14ac:dyDescent="0.2"/>
    <row r="407" s="303" customFormat="1" x14ac:dyDescent="0.2"/>
    <row r="408" s="303" customFormat="1" x14ac:dyDescent="0.2"/>
    <row r="409" s="303" customFormat="1" x14ac:dyDescent="0.2"/>
    <row r="410" s="303" customFormat="1" x14ac:dyDescent="0.2"/>
    <row r="411" s="303" customFormat="1" x14ac:dyDescent="0.2"/>
    <row r="412" s="303" customFormat="1" x14ac:dyDescent="0.2"/>
    <row r="413" s="303" customFormat="1" x14ac:dyDescent="0.2"/>
    <row r="414" s="303" customFormat="1" x14ac:dyDescent="0.2"/>
    <row r="415" s="303" customFormat="1" x14ac:dyDescent="0.2"/>
    <row r="416" s="303" customFormat="1" x14ac:dyDescent="0.2"/>
    <row r="417" s="303" customFormat="1" x14ac:dyDescent="0.2"/>
    <row r="418" s="303" customFormat="1" x14ac:dyDescent="0.2"/>
    <row r="419" s="303" customFormat="1" x14ac:dyDescent="0.2"/>
    <row r="420" s="303" customFormat="1" x14ac:dyDescent="0.2"/>
    <row r="421" s="303" customFormat="1" x14ac:dyDescent="0.2"/>
    <row r="422" s="303" customFormat="1" x14ac:dyDescent="0.2"/>
    <row r="423" s="303" customFormat="1" x14ac:dyDescent="0.2"/>
    <row r="424" s="303" customFormat="1" x14ac:dyDescent="0.2"/>
    <row r="425" s="303" customFormat="1" x14ac:dyDescent="0.2"/>
    <row r="426" s="303" customFormat="1" x14ac:dyDescent="0.2"/>
    <row r="427" s="303" customFormat="1" x14ac:dyDescent="0.2"/>
    <row r="428" s="303" customFormat="1" x14ac:dyDescent="0.2"/>
    <row r="429" s="303" customFormat="1" x14ac:dyDescent="0.2"/>
    <row r="430" s="303" customFormat="1" x14ac:dyDescent="0.2"/>
    <row r="431" s="303" customFormat="1" x14ac:dyDescent="0.2"/>
    <row r="432" s="303" customFormat="1" x14ac:dyDescent="0.2"/>
    <row r="433" s="303" customFormat="1" x14ac:dyDescent="0.2"/>
    <row r="434" s="303" customFormat="1" x14ac:dyDescent="0.2"/>
    <row r="435" s="303" customFormat="1" x14ac:dyDescent="0.2"/>
    <row r="436" s="303" customFormat="1" x14ac:dyDescent="0.2"/>
    <row r="437" s="303" customFormat="1" x14ac:dyDescent="0.2"/>
    <row r="438" s="303" customFormat="1" x14ac:dyDescent="0.2"/>
    <row r="439" s="303" customFormat="1" x14ac:dyDescent="0.2"/>
    <row r="440" s="303" customFormat="1" x14ac:dyDescent="0.2"/>
    <row r="441" s="303" customFormat="1" x14ac:dyDescent="0.2"/>
    <row r="442" s="303" customFormat="1" x14ac:dyDescent="0.2"/>
    <row r="443" s="303" customFormat="1" x14ac:dyDescent="0.2"/>
    <row r="444" s="303" customFormat="1" x14ac:dyDescent="0.2"/>
    <row r="445" s="303" customFormat="1" x14ac:dyDescent="0.2"/>
    <row r="446" s="303" customFormat="1" x14ac:dyDescent="0.2"/>
    <row r="447" s="303" customFormat="1" x14ac:dyDescent="0.2"/>
    <row r="448" s="303" customFormat="1" x14ac:dyDescent="0.2"/>
    <row r="449" s="303" customFormat="1" x14ac:dyDescent="0.2"/>
    <row r="450" s="303" customFormat="1" x14ac:dyDescent="0.2"/>
    <row r="451" s="303" customFormat="1" x14ac:dyDescent="0.2"/>
    <row r="452" s="303" customFormat="1" x14ac:dyDescent="0.2"/>
    <row r="453" s="303" customFormat="1" x14ac:dyDescent="0.2"/>
    <row r="454" s="303" customFormat="1" x14ac:dyDescent="0.2"/>
    <row r="455" s="303" customFormat="1" x14ac:dyDescent="0.2"/>
    <row r="456" s="303" customFormat="1" x14ac:dyDescent="0.2"/>
    <row r="457" s="303" customFormat="1" x14ac:dyDescent="0.2"/>
    <row r="458" s="303" customFormat="1" x14ac:dyDescent="0.2"/>
    <row r="459" s="303" customFormat="1" x14ac:dyDescent="0.2"/>
    <row r="460" s="303" customFormat="1" x14ac:dyDescent="0.2"/>
    <row r="461" s="303" customFormat="1" x14ac:dyDescent="0.2"/>
    <row r="462" s="303" customFormat="1" x14ac:dyDescent="0.2"/>
    <row r="463" s="303" customFormat="1" x14ac:dyDescent="0.2"/>
    <row r="464" s="303" customFormat="1" x14ac:dyDescent="0.2"/>
    <row r="465" s="303" customFormat="1" x14ac:dyDescent="0.2"/>
    <row r="466" s="303" customFormat="1" x14ac:dyDescent="0.2"/>
    <row r="467" s="303" customFormat="1" x14ac:dyDescent="0.2"/>
    <row r="468" s="303" customFormat="1" x14ac:dyDescent="0.2"/>
    <row r="469" s="303" customFormat="1" x14ac:dyDescent="0.2"/>
    <row r="470" s="303" customFormat="1" x14ac:dyDescent="0.2"/>
    <row r="471" s="303" customFormat="1" x14ac:dyDescent="0.2"/>
    <row r="472" s="303" customFormat="1" x14ac:dyDescent="0.2"/>
    <row r="473" s="303" customFormat="1" x14ac:dyDescent="0.2"/>
    <row r="474" s="303" customFormat="1" x14ac:dyDescent="0.2"/>
    <row r="475" s="303" customFormat="1" x14ac:dyDescent="0.2"/>
    <row r="476" s="303" customFormat="1" x14ac:dyDescent="0.2"/>
    <row r="477" s="303" customFormat="1" x14ac:dyDescent="0.2"/>
    <row r="478" s="303" customFormat="1" x14ac:dyDescent="0.2"/>
    <row r="479" s="303" customFormat="1" x14ac:dyDescent="0.2"/>
    <row r="480" s="303" customFormat="1" x14ac:dyDescent="0.2"/>
    <row r="481" s="303" customFormat="1" x14ac:dyDescent="0.2"/>
    <row r="482" s="303" customFormat="1" x14ac:dyDescent="0.2"/>
    <row r="483" s="303" customFormat="1" x14ac:dyDescent="0.2"/>
    <row r="484" s="303" customFormat="1" x14ac:dyDescent="0.2"/>
    <row r="485" s="303" customFormat="1" x14ac:dyDescent="0.2"/>
    <row r="486" s="303" customFormat="1" x14ac:dyDescent="0.2"/>
    <row r="487" s="303" customFormat="1" x14ac:dyDescent="0.2"/>
    <row r="488" s="303" customFormat="1" x14ac:dyDescent="0.2"/>
    <row r="489" s="303" customFormat="1" x14ac:dyDescent="0.2"/>
    <row r="490" s="303" customFormat="1" x14ac:dyDescent="0.2"/>
    <row r="491" s="303" customFormat="1" x14ac:dyDescent="0.2"/>
    <row r="492" s="303" customFormat="1" x14ac:dyDescent="0.2"/>
    <row r="493" s="303" customFormat="1" x14ac:dyDescent="0.2"/>
    <row r="494" s="303" customFormat="1" x14ac:dyDescent="0.2"/>
    <row r="495" s="303" customFormat="1" x14ac:dyDescent="0.2"/>
    <row r="496" s="303" customFormat="1" x14ac:dyDescent="0.2"/>
    <row r="497" s="303" customFormat="1" x14ac:dyDescent="0.2"/>
    <row r="498" s="303" customFormat="1" x14ac:dyDescent="0.2"/>
    <row r="499" s="303" customFormat="1" x14ac:dyDescent="0.2"/>
    <row r="500" s="303" customFormat="1" x14ac:dyDescent="0.2"/>
    <row r="501" s="303" customFormat="1" x14ac:dyDescent="0.2"/>
    <row r="502" s="303" customFormat="1" x14ac:dyDescent="0.2"/>
    <row r="503" s="303" customFormat="1" x14ac:dyDescent="0.2"/>
    <row r="504" s="303" customFormat="1" x14ac:dyDescent="0.2"/>
    <row r="505" s="303" customFormat="1" x14ac:dyDescent="0.2"/>
    <row r="506" s="303" customFormat="1" x14ac:dyDescent="0.2"/>
    <row r="507" s="303" customFormat="1" x14ac:dyDescent="0.2"/>
    <row r="508" s="303" customFormat="1" x14ac:dyDescent="0.2"/>
    <row r="509" s="303" customFormat="1" x14ac:dyDescent="0.2"/>
    <row r="510" s="303" customFormat="1" x14ac:dyDescent="0.2"/>
    <row r="511" s="303" customFormat="1" x14ac:dyDescent="0.2"/>
    <row r="512" s="303" customFormat="1" x14ac:dyDescent="0.2"/>
    <row r="513" s="303" customFormat="1" x14ac:dyDescent="0.2"/>
    <row r="514" s="303" customFormat="1" x14ac:dyDescent="0.2"/>
    <row r="515" s="303" customFormat="1" x14ac:dyDescent="0.2"/>
    <row r="516" s="303" customFormat="1" x14ac:dyDescent="0.2"/>
    <row r="517" s="303" customFormat="1" x14ac:dyDescent="0.2"/>
    <row r="518" s="303" customFormat="1" x14ac:dyDescent="0.2"/>
    <row r="519" s="303" customFormat="1" x14ac:dyDescent="0.2"/>
    <row r="520" s="303" customFormat="1" x14ac:dyDescent="0.2"/>
    <row r="521" s="303" customFormat="1" x14ac:dyDescent="0.2"/>
    <row r="522" s="303" customFormat="1" x14ac:dyDescent="0.2"/>
    <row r="523" s="303" customFormat="1" x14ac:dyDescent="0.2"/>
    <row r="524" s="303" customFormat="1" x14ac:dyDescent="0.2"/>
    <row r="525" s="303" customFormat="1" x14ac:dyDescent="0.2"/>
    <row r="526" s="303" customFormat="1" x14ac:dyDescent="0.2"/>
    <row r="527" s="303" customFormat="1" x14ac:dyDescent="0.2"/>
    <row r="528" s="303" customFormat="1" x14ac:dyDescent="0.2"/>
    <row r="529" s="303" customFormat="1" x14ac:dyDescent="0.2"/>
    <row r="530" s="303" customFormat="1" x14ac:dyDescent="0.2"/>
    <row r="531" s="303" customFormat="1" x14ac:dyDescent="0.2"/>
    <row r="532" s="303" customFormat="1" x14ac:dyDescent="0.2"/>
    <row r="533" s="303" customFormat="1" x14ac:dyDescent="0.2"/>
    <row r="534" s="303" customFormat="1" x14ac:dyDescent="0.2"/>
    <row r="535" s="303" customFormat="1" x14ac:dyDescent="0.2"/>
    <row r="536" s="303" customFormat="1" x14ac:dyDescent="0.2"/>
    <row r="537" s="303" customFormat="1" x14ac:dyDescent="0.2"/>
    <row r="538" s="303" customFormat="1" x14ac:dyDescent="0.2"/>
    <row r="539" s="303" customFormat="1" x14ac:dyDescent="0.2"/>
    <row r="540" s="303" customFormat="1" x14ac:dyDescent="0.2"/>
    <row r="541" s="303" customFormat="1" x14ac:dyDescent="0.2"/>
    <row r="542" s="303" customFormat="1" x14ac:dyDescent="0.2"/>
    <row r="543" s="303" customFormat="1" x14ac:dyDescent="0.2"/>
    <row r="544" s="303" customFormat="1" x14ac:dyDescent="0.2"/>
    <row r="545" s="303" customFormat="1" x14ac:dyDescent="0.2"/>
    <row r="546" s="303" customFormat="1" x14ac:dyDescent="0.2"/>
    <row r="547" s="303" customFormat="1" x14ac:dyDescent="0.2"/>
    <row r="548" s="303" customFormat="1" x14ac:dyDescent="0.2"/>
    <row r="549" s="303" customFormat="1" x14ac:dyDescent="0.2"/>
    <row r="550" s="303" customFormat="1" x14ac:dyDescent="0.2"/>
    <row r="551" s="303" customFormat="1" x14ac:dyDescent="0.2"/>
    <row r="552" s="303" customFormat="1" x14ac:dyDescent="0.2"/>
    <row r="553" s="303" customFormat="1" x14ac:dyDescent="0.2"/>
    <row r="554" s="303" customFormat="1" x14ac:dyDescent="0.2"/>
    <row r="555" s="303" customFormat="1" x14ac:dyDescent="0.2"/>
    <row r="556" s="303" customFormat="1" x14ac:dyDescent="0.2"/>
    <row r="557" s="303" customFormat="1" x14ac:dyDescent="0.2"/>
    <row r="558" s="303" customFormat="1" x14ac:dyDescent="0.2"/>
    <row r="559" s="303" customFormat="1" x14ac:dyDescent="0.2"/>
    <row r="560" s="303" customFormat="1" x14ac:dyDescent="0.2"/>
    <row r="561" s="303" customFormat="1" x14ac:dyDescent="0.2"/>
    <row r="562" s="303" customFormat="1" x14ac:dyDescent="0.2"/>
    <row r="563" s="303" customFormat="1" x14ac:dyDescent="0.2"/>
    <row r="564" s="303" customFormat="1" x14ac:dyDescent="0.2"/>
    <row r="565" s="303" customFormat="1" x14ac:dyDescent="0.2"/>
    <row r="566" s="303" customFormat="1" x14ac:dyDescent="0.2"/>
    <row r="567" s="303" customFormat="1" x14ac:dyDescent="0.2"/>
    <row r="568" s="303" customFormat="1" x14ac:dyDescent="0.2"/>
    <row r="569" s="303" customFormat="1" x14ac:dyDescent="0.2"/>
    <row r="570" s="303" customFormat="1" x14ac:dyDescent="0.2"/>
    <row r="571" s="303" customFormat="1" x14ac:dyDescent="0.2"/>
    <row r="572" s="303" customFormat="1" x14ac:dyDescent="0.2"/>
    <row r="573" s="303" customFormat="1" x14ac:dyDescent="0.2"/>
    <row r="574" s="303" customFormat="1" x14ac:dyDescent="0.2"/>
    <row r="575" s="303" customFormat="1" x14ac:dyDescent="0.2"/>
    <row r="576" s="303" customFormat="1" x14ac:dyDescent="0.2"/>
    <row r="577" s="303" customFormat="1" x14ac:dyDescent="0.2"/>
    <row r="578" s="303" customFormat="1" x14ac:dyDescent="0.2"/>
    <row r="579" s="303" customFormat="1" x14ac:dyDescent="0.2"/>
    <row r="580" s="303" customFormat="1" x14ac:dyDescent="0.2"/>
    <row r="581" s="303" customFormat="1" x14ac:dyDescent="0.2"/>
    <row r="582" s="303" customFormat="1" x14ac:dyDescent="0.2"/>
    <row r="583" s="303" customFormat="1" x14ac:dyDescent="0.2"/>
    <row r="584" s="303" customFormat="1" x14ac:dyDescent="0.2"/>
    <row r="585" s="303" customFormat="1" x14ac:dyDescent="0.2"/>
    <row r="586" s="303" customFormat="1" x14ac:dyDescent="0.2"/>
    <row r="587" s="303" customFormat="1" x14ac:dyDescent="0.2"/>
    <row r="588" s="303" customFormat="1" x14ac:dyDescent="0.2"/>
    <row r="589" s="303" customFormat="1" x14ac:dyDescent="0.2"/>
    <row r="590" s="303" customFormat="1" x14ac:dyDescent="0.2"/>
    <row r="591" s="303" customFormat="1" x14ac:dyDescent="0.2"/>
    <row r="592" s="303" customFormat="1" x14ac:dyDescent="0.2"/>
    <row r="593" s="303" customFormat="1" x14ac:dyDescent="0.2"/>
    <row r="594" s="303" customFormat="1" x14ac:dyDescent="0.2"/>
    <row r="595" s="303" customFormat="1" x14ac:dyDescent="0.2"/>
    <row r="596" s="303" customFormat="1" x14ac:dyDescent="0.2"/>
    <row r="597" s="303" customFormat="1" x14ac:dyDescent="0.2"/>
    <row r="598" s="303" customFormat="1" x14ac:dyDescent="0.2"/>
    <row r="599" s="303" customFormat="1" x14ac:dyDescent="0.2"/>
    <row r="600" s="303" customFormat="1" x14ac:dyDescent="0.2"/>
    <row r="601" s="303" customFormat="1" x14ac:dyDescent="0.2"/>
    <row r="602" s="303" customFormat="1" x14ac:dyDescent="0.2"/>
    <row r="603" s="303" customFormat="1" x14ac:dyDescent="0.2"/>
  </sheetData>
  <mergeCells count="7">
    <mergeCell ref="Q87:BB87"/>
    <mergeCell ref="B88:B99"/>
    <mergeCell ref="D101:G101"/>
    <mergeCell ref="C2:BB3"/>
    <mergeCell ref="B35:B49"/>
    <mergeCell ref="B61:B75"/>
    <mergeCell ref="B10:B24"/>
  </mergeCells>
  <conditionalFormatting sqref="J10:J25">
    <cfRule type="containsText" dxfId="46" priority="1" operator="containsText" text="Correcto">
      <formula>NOT(ISERROR(SEARCH("Correcto",J10)))</formula>
    </cfRule>
    <cfRule type="cellIs" dxfId="45" priority="3" operator="equal">
      <formula>"Sobran"</formula>
    </cfRule>
    <cfRule type="cellIs" dxfId="44" priority="4" operator="equal">
      <formula>"Faltan"</formula>
    </cfRule>
  </conditionalFormatting>
  <conditionalFormatting sqref="J35:J50">
    <cfRule type="containsText" dxfId="43" priority="7" operator="containsText" text="Correcto">
      <formula>NOT(ISERROR(SEARCH("Correcto",J35)))</formula>
    </cfRule>
    <cfRule type="cellIs" dxfId="42" priority="10" operator="equal">
      <formula>"Faltan"</formula>
    </cfRule>
    <cfRule type="cellIs" dxfId="41" priority="9" operator="equal">
      <formula>"Sobran"</formula>
    </cfRule>
  </conditionalFormatting>
  <conditionalFormatting sqref="J61:J76">
    <cfRule type="containsText" dxfId="40" priority="13" operator="containsText" text="Correcto">
      <formula>NOT(ISERROR(SEARCH("Correcto",J61)))</formula>
    </cfRule>
    <cfRule type="cellIs" dxfId="39" priority="15" operator="equal">
      <formula>"Sobran"</formula>
    </cfRule>
    <cfRule type="cellIs" dxfId="38" priority="16" operator="equal">
      <formula>"Faltan"</formula>
    </cfRule>
  </conditionalFormatting>
  <conditionalFormatting sqref="J88:J99">
    <cfRule type="containsText" dxfId="37" priority="19" operator="containsText" text="Correcto">
      <formula>NOT(ISERROR(SEARCH("Correcto",J88)))</formula>
    </cfRule>
    <cfRule type="cellIs" dxfId="36" priority="41" operator="equal">
      <formula>"Sobran"</formula>
    </cfRule>
    <cfRule type="cellIs" dxfId="35" priority="42" operator="equal">
      <formula>"Faltan"</formula>
    </cfRule>
  </conditionalFormatting>
  <conditionalFormatting sqref="K10:K25">
    <cfRule type="cellIs" dxfId="34" priority="6" operator="greaterThan">
      <formula>0</formula>
    </cfRule>
    <cfRule type="cellIs" dxfId="33" priority="5" operator="lessThan">
      <formula>0</formula>
    </cfRule>
    <cfRule type="containsBlanks" dxfId="32" priority="2">
      <formula>LEN(TRIM(K10))=0</formula>
    </cfRule>
  </conditionalFormatting>
  <conditionalFormatting sqref="K35:K50">
    <cfRule type="containsBlanks" dxfId="31" priority="8">
      <formula>LEN(TRIM(K35))=0</formula>
    </cfRule>
    <cfRule type="cellIs" dxfId="30" priority="11" operator="lessThan">
      <formula>0</formula>
    </cfRule>
    <cfRule type="cellIs" dxfId="29" priority="12" operator="greaterThan">
      <formula>0</formula>
    </cfRule>
  </conditionalFormatting>
  <conditionalFormatting sqref="K61:K76">
    <cfRule type="containsBlanks" dxfId="28" priority="14">
      <formula>LEN(TRIM(K61))=0</formula>
    </cfRule>
    <cfRule type="cellIs" dxfId="27" priority="17" operator="lessThan">
      <formula>0</formula>
    </cfRule>
    <cfRule type="cellIs" dxfId="26" priority="18" operator="greaterThan">
      <formula>0</formula>
    </cfRule>
  </conditionalFormatting>
  <conditionalFormatting sqref="K88:K99">
    <cfRule type="containsBlanks" dxfId="25" priority="40">
      <formula>LEN(TRIM(K88))=0</formula>
    </cfRule>
    <cfRule type="cellIs" dxfId="24" priority="43" operator="lessThan">
      <formula>0</formula>
    </cfRule>
    <cfRule type="cellIs" dxfId="23" priority="44" operator="greaterThan">
      <formula>0</formula>
    </cfRule>
  </conditionalFormatting>
  <pageMargins left="0.7" right="0.7" top="0.75" bottom="0.75" header="0.3" footer="0.3"/>
  <pageSetup paperSize="9"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6A09-356A-4E37-A864-DE4920129681}">
  <dimension ref="C1:I20"/>
  <sheetViews>
    <sheetView workbookViewId="0">
      <selection activeCell="E17" sqref="E17"/>
    </sheetView>
  </sheetViews>
  <sheetFormatPr defaultColWidth="10.76171875" defaultRowHeight="15" x14ac:dyDescent="0.2"/>
  <sheetData>
    <row r="1" spans="3:9" x14ac:dyDescent="0.2">
      <c r="E1" t="s">
        <v>99</v>
      </c>
      <c r="F1" t="s">
        <v>100</v>
      </c>
    </row>
    <row r="2" spans="3:9" x14ac:dyDescent="0.2">
      <c r="E2" s="134">
        <v>1821.43</v>
      </c>
      <c r="F2" s="134">
        <v>303.58</v>
      </c>
    </row>
    <row r="3" spans="3:9" x14ac:dyDescent="0.2">
      <c r="D3" t="s">
        <v>101</v>
      </c>
      <c r="E3" s="134">
        <f>+E2/28</f>
        <v>65.051071428571433</v>
      </c>
      <c r="F3" s="134">
        <f>+F2/28</f>
        <v>10.842142857142857</v>
      </c>
    </row>
    <row r="4" spans="3:9" x14ac:dyDescent="0.2">
      <c r="C4">
        <v>30</v>
      </c>
      <c r="E4" s="134"/>
      <c r="F4" s="134"/>
    </row>
    <row r="5" spans="3:9" x14ac:dyDescent="0.2">
      <c r="C5" t="s">
        <v>98</v>
      </c>
      <c r="D5" s="148">
        <v>45692</v>
      </c>
      <c r="E5" s="134"/>
      <c r="F5" s="134"/>
    </row>
    <row r="6" spans="3:9" x14ac:dyDescent="0.2">
      <c r="C6" s="149">
        <v>1</v>
      </c>
      <c r="D6">
        <v>3</v>
      </c>
      <c r="E6" s="134">
        <f>+E3*$D$6</f>
        <v>195.15321428571428</v>
      </c>
      <c r="F6" s="134">
        <f>+F3*$D$6</f>
        <v>32.526428571428568</v>
      </c>
      <c r="H6" s="148">
        <f>+D5+D6</f>
        <v>45695</v>
      </c>
    </row>
    <row r="7" spans="3:9" x14ac:dyDescent="0.2">
      <c r="C7" s="149">
        <v>0.6</v>
      </c>
      <c r="D7">
        <v>17</v>
      </c>
      <c r="E7" s="134">
        <f>+E3*$D$7*$C$7</f>
        <v>663.52092857142861</v>
      </c>
      <c r="F7" s="134">
        <f>+F3*$D$7*$C$7</f>
        <v>110.58985714285713</v>
      </c>
      <c r="H7" s="148">
        <f>+H6+D7</f>
        <v>45712</v>
      </c>
    </row>
    <row r="8" spans="3:9" x14ac:dyDescent="0.2">
      <c r="C8" s="149">
        <v>0.75</v>
      </c>
      <c r="D8">
        <v>5</v>
      </c>
      <c r="E8" s="134">
        <f>+$E$3*$D$8*$C$8</f>
        <v>243.94151785714288</v>
      </c>
      <c r="F8" s="134">
        <f>+$F$3*$D$8*$C$8</f>
        <v>40.658035714285717</v>
      </c>
      <c r="H8" s="148">
        <f>+H7+D8</f>
        <v>45717</v>
      </c>
    </row>
    <row r="10" spans="3:9" x14ac:dyDescent="0.2">
      <c r="E10" s="409">
        <f>SUM(E6:E8)</f>
        <v>1102.6156607142857</v>
      </c>
      <c r="F10" s="409">
        <f>SUM(F6:F8)</f>
        <v>183.77432142857143</v>
      </c>
    </row>
    <row r="12" spans="3:9" x14ac:dyDescent="0.2">
      <c r="D12" t="s">
        <v>36</v>
      </c>
    </row>
    <row r="13" spans="3:9" x14ac:dyDescent="0.2">
      <c r="C13" s="149">
        <v>0.75</v>
      </c>
      <c r="D13">
        <v>31</v>
      </c>
      <c r="E13" s="409">
        <f>+$E$3*$D$13*$C$13</f>
        <v>1512.4374107142858</v>
      </c>
      <c r="F13" s="409">
        <f>+$F$3*$D$13*$C$13</f>
        <v>252.07982142857145</v>
      </c>
      <c r="I13">
        <f>25500/12</f>
        <v>2125</v>
      </c>
    </row>
    <row r="14" spans="3:9" x14ac:dyDescent="0.2">
      <c r="I14">
        <f>+I13*0.75</f>
        <v>1593.75</v>
      </c>
    </row>
    <row r="16" spans="3:9" x14ac:dyDescent="0.2">
      <c r="D16" t="s">
        <v>37</v>
      </c>
    </row>
    <row r="17" spans="3:6" x14ac:dyDescent="0.2">
      <c r="C17" s="149">
        <v>0.75</v>
      </c>
      <c r="D17">
        <v>30</v>
      </c>
      <c r="E17" s="134">
        <f>+$E$3*$D$17*$C$17</f>
        <v>1463.6491071428572</v>
      </c>
      <c r="F17" s="134">
        <f>+$F$3*$D$17*$C$17</f>
        <v>243.9482142857143</v>
      </c>
    </row>
    <row r="20" spans="3:6" x14ac:dyDescent="0.2">
      <c r="C20" s="149"/>
      <c r="E20" s="134"/>
      <c r="F20" s="1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8" tint="-0.249977111117893"/>
  </sheetPr>
  <dimension ref="A1:AF990"/>
  <sheetViews>
    <sheetView showGridLines="0" zoomScaleNormal="100" workbookViewId="0">
      <selection activeCell="L42" sqref="L42:O63"/>
    </sheetView>
  </sheetViews>
  <sheetFormatPr defaultColWidth="0" defaultRowHeight="15" x14ac:dyDescent="0.2"/>
  <cols>
    <col min="1" max="1" width="8.33984375" style="186" bestFit="1" customWidth="1"/>
    <col min="2" max="2" width="7.53125" style="186" bestFit="1" customWidth="1"/>
    <col min="3" max="3" width="6.3203125" style="186" hidden="1" customWidth="1"/>
    <col min="4" max="4" width="8.7421875" style="186" bestFit="1" customWidth="1"/>
    <col min="5" max="5" width="6.05078125" style="186" hidden="1" customWidth="1"/>
    <col min="6" max="6" width="6.3203125" style="186" hidden="1" customWidth="1"/>
    <col min="7" max="7" width="6.3203125" style="186" bestFit="1" customWidth="1"/>
    <col min="8" max="8" width="8.609375" style="186" bestFit="1" customWidth="1"/>
    <col min="9" max="9" width="10.22265625" style="186" bestFit="1" customWidth="1"/>
    <col min="10" max="10" width="8.7421875" style="187" bestFit="1" customWidth="1"/>
    <col min="11" max="11" width="7.26171875" style="135" bestFit="1" customWidth="1"/>
    <col min="12" max="12" width="11.703125" style="132" bestFit="1" customWidth="1"/>
    <col min="13" max="14" width="11.43359375" style="132" customWidth="1"/>
    <col min="15" max="15" width="6.05078125" style="132" customWidth="1"/>
    <col min="16" max="16" width="3.2265625" style="132" customWidth="1"/>
    <col min="17" max="19" width="11.43359375" style="132" customWidth="1"/>
    <col min="20" max="20" width="6.05078125" style="132" customWidth="1"/>
    <col min="21" max="21" width="4.4375" style="132" customWidth="1"/>
    <col min="22" max="24" width="11.43359375" style="132" customWidth="1"/>
    <col min="25" max="25" width="5.24609375" style="132" customWidth="1"/>
    <col min="26" max="26" width="3.09375" style="132" customWidth="1"/>
    <col min="27" max="29" width="11.43359375" style="132" customWidth="1"/>
    <col min="30" max="30" width="4.9765625" style="132" customWidth="1"/>
    <col min="31" max="32" width="11.43359375" style="135" customWidth="1"/>
    <col min="33" max="16384" width="11.43359375" style="132" hidden="1"/>
  </cols>
  <sheetData>
    <row r="1" spans="1:32" s="135" customFormat="1" x14ac:dyDescent="0.2">
      <c r="A1" s="167"/>
      <c r="B1" s="167"/>
      <c r="C1" s="167"/>
      <c r="D1" s="167"/>
      <c r="E1" s="167"/>
      <c r="F1" s="167"/>
      <c r="G1" s="167"/>
      <c r="H1" s="167"/>
      <c r="I1" s="167"/>
      <c r="J1" s="168"/>
    </row>
    <row r="2" spans="1:32" s="166" customFormat="1" ht="20.25" x14ac:dyDescent="0.2">
      <c r="A2" s="169"/>
      <c r="B2" s="169"/>
      <c r="C2" s="188" t="s">
        <v>63</v>
      </c>
      <c r="D2" s="471" t="s">
        <v>63</v>
      </c>
      <c r="E2" s="170"/>
      <c r="F2" s="170"/>
      <c r="G2" s="170"/>
      <c r="H2" s="170"/>
      <c r="I2" s="171"/>
      <c r="J2" s="172"/>
      <c r="K2" s="164"/>
      <c r="L2" s="165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</row>
    <row r="3" spans="1:32" s="135" customFormat="1" x14ac:dyDescent="0.2">
      <c r="A3" s="167"/>
      <c r="B3" s="167"/>
      <c r="C3" s="167"/>
      <c r="D3" s="167"/>
      <c r="E3" s="167"/>
      <c r="F3" s="167"/>
      <c r="G3" s="167"/>
      <c r="H3" s="167"/>
      <c r="I3" s="167"/>
      <c r="J3" s="168"/>
      <c r="AA3" s="143"/>
      <c r="AB3" s="143"/>
      <c r="AC3" s="143"/>
      <c r="AD3" s="143"/>
    </row>
    <row r="4" spans="1:32" ht="12" customHeight="1" x14ac:dyDescent="0.2">
      <c r="A4" s="198" t="s">
        <v>0</v>
      </c>
      <c r="B4" s="199" t="s">
        <v>1</v>
      </c>
      <c r="C4" s="199" t="s">
        <v>2</v>
      </c>
      <c r="D4" s="199" t="s">
        <v>66</v>
      </c>
      <c r="E4" s="200" t="s">
        <v>84</v>
      </c>
      <c r="F4" s="201" t="s">
        <v>79</v>
      </c>
      <c r="G4" s="202" t="s">
        <v>97</v>
      </c>
      <c r="H4" s="203" t="s">
        <v>102</v>
      </c>
      <c r="I4" s="204" t="s">
        <v>3</v>
      </c>
      <c r="J4" s="205" t="s">
        <v>4</v>
      </c>
      <c r="K4" s="136"/>
      <c r="L4" s="150" t="s">
        <v>3</v>
      </c>
      <c r="M4" s="150"/>
      <c r="N4" s="150"/>
      <c r="O4" s="150"/>
      <c r="P4" s="151"/>
      <c r="Q4" s="152" t="s">
        <v>64</v>
      </c>
      <c r="R4" s="153"/>
      <c r="S4" s="153"/>
      <c r="T4" s="153"/>
      <c r="U4" s="151"/>
      <c r="V4" s="154" t="s">
        <v>103</v>
      </c>
      <c r="W4" s="153"/>
      <c r="X4" s="153"/>
      <c r="Y4" s="153"/>
      <c r="Z4" s="155"/>
      <c r="AA4" s="156" t="s">
        <v>104</v>
      </c>
      <c r="AB4" s="153"/>
      <c r="AC4" s="153"/>
      <c r="AD4" s="153"/>
    </row>
    <row r="5" spans="1:32" s="133" customFormat="1" ht="2.1" customHeight="1" x14ac:dyDescent="0.1">
      <c r="A5" s="474">
        <v>41183</v>
      </c>
      <c r="B5" s="193">
        <v>4025</v>
      </c>
      <c r="C5" s="193">
        <v>1721.5299999999997</v>
      </c>
      <c r="D5" s="194">
        <f>B5+C5</f>
        <v>5746.53</v>
      </c>
      <c r="E5" s="194"/>
      <c r="F5" s="194"/>
      <c r="G5" s="195"/>
      <c r="H5" s="195"/>
      <c r="I5" s="196">
        <f>B5+C5</f>
        <v>5746.53</v>
      </c>
      <c r="J5" s="197"/>
      <c r="K5" s="137"/>
      <c r="L5" s="157"/>
      <c r="M5" s="158"/>
      <c r="N5" s="158"/>
      <c r="O5" s="158"/>
      <c r="P5" s="159"/>
      <c r="Q5" s="160"/>
      <c r="R5" s="161"/>
      <c r="S5" s="161"/>
      <c r="T5" s="161"/>
      <c r="U5" s="159"/>
      <c r="V5" s="160"/>
      <c r="W5" s="161"/>
      <c r="X5" s="161"/>
      <c r="Y5" s="161"/>
      <c r="Z5" s="159"/>
      <c r="AA5" s="160"/>
      <c r="AB5" s="161"/>
      <c r="AC5" s="161"/>
      <c r="AD5" s="161"/>
      <c r="AE5" s="137"/>
      <c r="AF5" s="137"/>
    </row>
    <row r="6" spans="1:32" s="133" customFormat="1" ht="2.1" customHeight="1" x14ac:dyDescent="0.1">
      <c r="A6" s="474">
        <v>41214</v>
      </c>
      <c r="B6" s="173">
        <v>5025</v>
      </c>
      <c r="C6" s="173">
        <v>683.02000000000044</v>
      </c>
      <c r="D6" s="174">
        <f t="shared" ref="D6:D69" si="0">B6+C6</f>
        <v>5708.02</v>
      </c>
      <c r="E6" s="173"/>
      <c r="F6" s="173"/>
      <c r="G6" s="173"/>
      <c r="H6" s="173"/>
      <c r="I6" s="191">
        <f t="shared" ref="I6:I27" si="1">B6+C6</f>
        <v>5708.02</v>
      </c>
      <c r="J6" s="189">
        <f>I6-I5</f>
        <v>-38.509999999999309</v>
      </c>
      <c r="K6" s="137"/>
      <c r="L6" s="157"/>
      <c r="M6" s="158"/>
      <c r="N6" s="158"/>
      <c r="O6" s="158"/>
      <c r="P6" s="159"/>
      <c r="Q6" s="767">
        <f ca="1">OFFSET(D4,COUNT(D:D),0)</f>
        <v>684.82</v>
      </c>
      <c r="R6" s="767"/>
      <c r="S6" s="767"/>
      <c r="T6" s="767"/>
      <c r="U6" s="159"/>
      <c r="V6" s="763">
        <f>LOOKUP(MAX(H:H)+1,(H:H))</f>
        <v>133500</v>
      </c>
      <c r="W6" s="763"/>
      <c r="X6" s="763"/>
      <c r="Y6" s="763"/>
      <c r="Z6" s="162"/>
      <c r="AA6" s="762">
        <f>LOOKUP(MAX(G:G)+1,(G:G))</f>
        <v>0</v>
      </c>
      <c r="AB6" s="762"/>
      <c r="AC6" s="762"/>
      <c r="AD6" s="762"/>
      <c r="AE6" s="137"/>
      <c r="AF6" s="137"/>
    </row>
    <row r="7" spans="1:32" s="133" customFormat="1" ht="2.1" customHeight="1" x14ac:dyDescent="0.1">
      <c r="A7" s="474">
        <v>41244</v>
      </c>
      <c r="B7" s="173">
        <v>5025</v>
      </c>
      <c r="C7" s="173">
        <v>432.93000000000029</v>
      </c>
      <c r="D7" s="174">
        <f t="shared" si="0"/>
        <v>5457.93</v>
      </c>
      <c r="E7" s="173"/>
      <c r="F7" s="173"/>
      <c r="G7" s="173"/>
      <c r="H7" s="173"/>
      <c r="I7" s="191">
        <f t="shared" si="1"/>
        <v>5457.93</v>
      </c>
      <c r="J7" s="189">
        <f t="shared" ref="J7:J70" si="2">I7-I6</f>
        <v>-250.09000000000015</v>
      </c>
      <c r="K7" s="137"/>
      <c r="L7" s="766">
        <f ca="1">OFFSET(I4,COUNT(I:I),0)</f>
        <v>134184.82</v>
      </c>
      <c r="M7" s="766"/>
      <c r="N7" s="766"/>
      <c r="O7" s="766"/>
      <c r="P7" s="159"/>
      <c r="Q7" s="767"/>
      <c r="R7" s="767"/>
      <c r="S7" s="767"/>
      <c r="T7" s="767"/>
      <c r="U7" s="159"/>
      <c r="V7" s="763"/>
      <c r="W7" s="763"/>
      <c r="X7" s="763"/>
      <c r="Y7" s="763"/>
      <c r="Z7" s="162"/>
      <c r="AA7" s="762"/>
      <c r="AB7" s="762"/>
      <c r="AC7" s="762"/>
      <c r="AD7" s="762"/>
      <c r="AE7" s="137"/>
      <c r="AF7" s="137"/>
    </row>
    <row r="8" spans="1:32" s="133" customFormat="1" ht="2.1" customHeight="1" x14ac:dyDescent="0.1">
      <c r="A8" s="474">
        <v>41275</v>
      </c>
      <c r="B8" s="173">
        <v>5025</v>
      </c>
      <c r="C8" s="173">
        <v>507.22000000000025</v>
      </c>
      <c r="D8" s="174">
        <f t="shared" si="0"/>
        <v>5532.22</v>
      </c>
      <c r="E8" s="173"/>
      <c r="F8" s="173"/>
      <c r="G8" s="173"/>
      <c r="H8" s="173"/>
      <c r="I8" s="191">
        <f t="shared" si="1"/>
        <v>5532.22</v>
      </c>
      <c r="J8" s="189">
        <f t="shared" si="2"/>
        <v>74.289999999999964</v>
      </c>
      <c r="K8" s="137"/>
      <c r="L8" s="766"/>
      <c r="M8" s="766"/>
      <c r="N8" s="766"/>
      <c r="O8" s="766"/>
      <c r="P8" s="159"/>
      <c r="Q8" s="767"/>
      <c r="R8" s="767"/>
      <c r="S8" s="767"/>
      <c r="T8" s="767"/>
      <c r="U8" s="159"/>
      <c r="V8" s="763"/>
      <c r="W8" s="763"/>
      <c r="X8" s="763"/>
      <c r="Y8" s="763"/>
      <c r="Z8" s="162"/>
      <c r="AA8" s="762"/>
      <c r="AB8" s="762"/>
      <c r="AC8" s="762"/>
      <c r="AD8" s="762"/>
      <c r="AE8" s="137"/>
      <c r="AF8" s="137"/>
    </row>
    <row r="9" spans="1:32" s="133" customFormat="1" ht="2.1" customHeight="1" x14ac:dyDescent="0.1">
      <c r="A9" s="474">
        <v>41306</v>
      </c>
      <c r="B9" s="173">
        <v>5025</v>
      </c>
      <c r="C9" s="173">
        <v>699.38000000000011</v>
      </c>
      <c r="D9" s="174">
        <f t="shared" si="0"/>
        <v>5724.38</v>
      </c>
      <c r="E9" s="173"/>
      <c r="F9" s="173"/>
      <c r="G9" s="173"/>
      <c r="H9" s="173"/>
      <c r="I9" s="191">
        <f t="shared" si="1"/>
        <v>5724.38</v>
      </c>
      <c r="J9" s="189">
        <f t="shared" si="2"/>
        <v>192.15999999999985</v>
      </c>
      <c r="K9" s="137"/>
      <c r="L9" s="766"/>
      <c r="M9" s="766"/>
      <c r="N9" s="766"/>
      <c r="O9" s="766"/>
      <c r="P9" s="159"/>
      <c r="Q9" s="767"/>
      <c r="R9" s="767"/>
      <c r="S9" s="767"/>
      <c r="T9" s="767"/>
      <c r="U9" s="159"/>
      <c r="V9" s="763"/>
      <c r="W9" s="763"/>
      <c r="X9" s="763"/>
      <c r="Y9" s="763"/>
      <c r="Z9" s="162"/>
      <c r="AA9" s="762"/>
      <c r="AB9" s="762"/>
      <c r="AC9" s="762"/>
      <c r="AD9" s="762"/>
      <c r="AE9" s="137"/>
      <c r="AF9" s="137"/>
    </row>
    <row r="10" spans="1:32" s="133" customFormat="1" ht="2.1" customHeight="1" x14ac:dyDescent="0.1">
      <c r="A10" s="474">
        <v>41334</v>
      </c>
      <c r="B10" s="173">
        <v>5025</v>
      </c>
      <c r="C10" s="173">
        <v>904.39000000000033</v>
      </c>
      <c r="D10" s="174">
        <f t="shared" si="0"/>
        <v>5929.39</v>
      </c>
      <c r="E10" s="173"/>
      <c r="F10" s="173"/>
      <c r="G10" s="173"/>
      <c r="H10" s="173"/>
      <c r="I10" s="191">
        <f t="shared" si="1"/>
        <v>5929.39</v>
      </c>
      <c r="J10" s="189">
        <f t="shared" si="2"/>
        <v>205.01000000000022</v>
      </c>
      <c r="K10" s="137"/>
      <c r="L10" s="766"/>
      <c r="M10" s="766"/>
      <c r="N10" s="766"/>
      <c r="O10" s="766"/>
      <c r="P10" s="159"/>
      <c r="Q10" s="767"/>
      <c r="R10" s="767"/>
      <c r="S10" s="767"/>
      <c r="T10" s="767"/>
      <c r="U10" s="159"/>
      <c r="V10" s="763"/>
      <c r="W10" s="763"/>
      <c r="X10" s="763"/>
      <c r="Y10" s="763"/>
      <c r="Z10" s="162"/>
      <c r="AA10" s="762"/>
      <c r="AB10" s="762"/>
      <c r="AC10" s="762"/>
      <c r="AD10" s="762"/>
      <c r="AE10" s="137"/>
      <c r="AF10" s="137"/>
    </row>
    <row r="11" spans="1:32" s="133" customFormat="1" ht="2.1" customHeight="1" x14ac:dyDescent="0.1">
      <c r="A11" s="474">
        <v>41365</v>
      </c>
      <c r="B11" s="173">
        <v>5025</v>
      </c>
      <c r="C11" s="173">
        <v>969.39000000000033</v>
      </c>
      <c r="D11" s="174">
        <f t="shared" si="0"/>
        <v>5994.39</v>
      </c>
      <c r="E11" s="173"/>
      <c r="F11" s="173"/>
      <c r="G11" s="173"/>
      <c r="H11" s="173"/>
      <c r="I11" s="191">
        <f t="shared" si="1"/>
        <v>5994.39</v>
      </c>
      <c r="J11" s="189">
        <f t="shared" si="2"/>
        <v>65</v>
      </c>
      <c r="K11" s="137"/>
      <c r="L11" s="766"/>
      <c r="M11" s="766"/>
      <c r="N11" s="766"/>
      <c r="O11" s="766"/>
      <c r="P11" s="159"/>
      <c r="Q11" s="767"/>
      <c r="R11" s="767"/>
      <c r="S11" s="767"/>
      <c r="T11" s="767"/>
      <c r="U11" s="159"/>
      <c r="V11" s="763"/>
      <c r="W11" s="763"/>
      <c r="X11" s="763"/>
      <c r="Y11" s="763"/>
      <c r="Z11" s="162"/>
      <c r="AA11" s="762"/>
      <c r="AB11" s="762"/>
      <c r="AC11" s="762"/>
      <c r="AD11" s="762"/>
      <c r="AE11" s="137"/>
      <c r="AF11" s="137"/>
    </row>
    <row r="12" spans="1:32" s="133" customFormat="1" ht="2.1" customHeight="1" x14ac:dyDescent="0.1">
      <c r="A12" s="474">
        <v>41395</v>
      </c>
      <c r="B12" s="173">
        <v>5025</v>
      </c>
      <c r="C12" s="173">
        <v>1213.3900000000003</v>
      </c>
      <c r="D12" s="174">
        <f t="shared" si="0"/>
        <v>6238.39</v>
      </c>
      <c r="E12" s="173"/>
      <c r="F12" s="173"/>
      <c r="G12" s="173"/>
      <c r="H12" s="173"/>
      <c r="I12" s="191">
        <f t="shared" si="1"/>
        <v>6238.39</v>
      </c>
      <c r="J12" s="189">
        <f t="shared" si="2"/>
        <v>244</v>
      </c>
      <c r="K12" s="137"/>
      <c r="L12" s="766"/>
      <c r="M12" s="766"/>
      <c r="N12" s="766"/>
      <c r="O12" s="766"/>
      <c r="P12" s="159"/>
      <c r="Q12" s="767"/>
      <c r="R12" s="767"/>
      <c r="S12" s="767"/>
      <c r="T12" s="767"/>
      <c r="U12" s="159"/>
      <c r="V12" s="763"/>
      <c r="W12" s="763"/>
      <c r="X12" s="763"/>
      <c r="Y12" s="763"/>
      <c r="Z12" s="162"/>
      <c r="AA12" s="762"/>
      <c r="AB12" s="762"/>
      <c r="AC12" s="762"/>
      <c r="AD12" s="762"/>
      <c r="AE12" s="137"/>
      <c r="AF12" s="137"/>
    </row>
    <row r="13" spans="1:32" s="133" customFormat="1" ht="2.1" customHeight="1" x14ac:dyDescent="0.1">
      <c r="A13" s="474">
        <v>41426</v>
      </c>
      <c r="B13" s="173">
        <v>5025</v>
      </c>
      <c r="C13" s="173">
        <v>1199.9099999999999</v>
      </c>
      <c r="D13" s="174">
        <f t="shared" si="0"/>
        <v>6224.91</v>
      </c>
      <c r="E13" s="173"/>
      <c r="F13" s="173"/>
      <c r="G13" s="173"/>
      <c r="H13" s="173"/>
      <c r="I13" s="191">
        <f t="shared" si="1"/>
        <v>6224.91</v>
      </c>
      <c r="J13" s="189">
        <f t="shared" si="2"/>
        <v>-13.480000000000473</v>
      </c>
      <c r="K13" s="137"/>
      <c r="L13" s="766"/>
      <c r="M13" s="766"/>
      <c r="N13" s="766"/>
      <c r="O13" s="766"/>
      <c r="P13" s="159"/>
      <c r="Q13" s="767"/>
      <c r="R13" s="767"/>
      <c r="S13" s="767"/>
      <c r="T13" s="767"/>
      <c r="U13" s="159"/>
      <c r="V13" s="763"/>
      <c r="W13" s="763"/>
      <c r="X13" s="763"/>
      <c r="Y13" s="763"/>
      <c r="Z13" s="162"/>
      <c r="AA13" s="762"/>
      <c r="AB13" s="762"/>
      <c r="AC13" s="762"/>
      <c r="AD13" s="762"/>
      <c r="AE13" s="137"/>
      <c r="AF13" s="137"/>
    </row>
    <row r="14" spans="1:32" s="133" customFormat="1" ht="2.1" customHeight="1" x14ac:dyDescent="0.1">
      <c r="A14" s="474">
        <v>41456</v>
      </c>
      <c r="B14" s="173">
        <v>5025</v>
      </c>
      <c r="C14" s="173">
        <v>1364.9099999999999</v>
      </c>
      <c r="D14" s="174">
        <f t="shared" si="0"/>
        <v>6389.91</v>
      </c>
      <c r="E14" s="173"/>
      <c r="F14" s="173"/>
      <c r="G14" s="173"/>
      <c r="H14" s="173"/>
      <c r="I14" s="191">
        <f t="shared" si="1"/>
        <v>6389.91</v>
      </c>
      <c r="J14" s="189">
        <f t="shared" si="2"/>
        <v>165</v>
      </c>
      <c r="K14" s="137"/>
      <c r="L14" s="766"/>
      <c r="M14" s="766"/>
      <c r="N14" s="766"/>
      <c r="O14" s="766"/>
      <c r="P14" s="159"/>
      <c r="Q14" s="767"/>
      <c r="R14" s="767"/>
      <c r="S14" s="767"/>
      <c r="T14" s="767"/>
      <c r="U14" s="159"/>
      <c r="V14" s="763"/>
      <c r="W14" s="763"/>
      <c r="X14" s="763"/>
      <c r="Y14" s="763"/>
      <c r="Z14" s="162"/>
      <c r="AA14" s="762"/>
      <c r="AB14" s="762"/>
      <c r="AC14" s="762"/>
      <c r="AD14" s="762"/>
      <c r="AE14" s="137"/>
      <c r="AF14" s="137"/>
    </row>
    <row r="15" spans="1:32" s="133" customFormat="1" ht="2.1" customHeight="1" x14ac:dyDescent="0.1">
      <c r="A15" s="474">
        <v>41487</v>
      </c>
      <c r="B15" s="173">
        <v>5025</v>
      </c>
      <c r="C15" s="173">
        <v>1590.5100000000002</v>
      </c>
      <c r="D15" s="174">
        <f t="shared" si="0"/>
        <v>6615.51</v>
      </c>
      <c r="E15" s="173"/>
      <c r="F15" s="173"/>
      <c r="G15" s="173"/>
      <c r="H15" s="173"/>
      <c r="I15" s="191">
        <f t="shared" si="1"/>
        <v>6615.51</v>
      </c>
      <c r="J15" s="189">
        <f t="shared" si="2"/>
        <v>225.60000000000036</v>
      </c>
      <c r="K15" s="137"/>
      <c r="L15" s="766"/>
      <c r="M15" s="766"/>
      <c r="N15" s="766"/>
      <c r="O15" s="766"/>
      <c r="P15" s="159"/>
      <c r="Q15" s="767"/>
      <c r="R15" s="767"/>
      <c r="S15" s="767"/>
      <c r="T15" s="767"/>
      <c r="U15" s="159"/>
      <c r="V15" s="763"/>
      <c r="W15" s="763"/>
      <c r="X15" s="763"/>
      <c r="Y15" s="763"/>
      <c r="Z15" s="162"/>
      <c r="AA15" s="762"/>
      <c r="AB15" s="762"/>
      <c r="AC15" s="762"/>
      <c r="AD15" s="762"/>
      <c r="AE15" s="137"/>
      <c r="AF15" s="137"/>
    </row>
    <row r="16" spans="1:32" s="133" customFormat="1" ht="2.1" customHeight="1" x14ac:dyDescent="0.1">
      <c r="A16" s="474">
        <v>41518</v>
      </c>
      <c r="B16" s="173">
        <v>5025</v>
      </c>
      <c r="C16" s="173">
        <v>1788.5299999999997</v>
      </c>
      <c r="D16" s="174">
        <f t="shared" si="0"/>
        <v>6813.53</v>
      </c>
      <c r="E16" s="173"/>
      <c r="F16" s="173"/>
      <c r="G16" s="173"/>
      <c r="H16" s="173"/>
      <c r="I16" s="191">
        <f t="shared" si="1"/>
        <v>6813.53</v>
      </c>
      <c r="J16" s="189">
        <f t="shared" si="2"/>
        <v>198.01999999999953</v>
      </c>
      <c r="K16" s="137"/>
      <c r="L16" s="766"/>
      <c r="M16" s="766"/>
      <c r="N16" s="766"/>
      <c r="O16" s="766"/>
      <c r="P16" s="159"/>
      <c r="Q16" s="767"/>
      <c r="R16" s="767"/>
      <c r="S16" s="767"/>
      <c r="T16" s="767"/>
      <c r="U16" s="159"/>
      <c r="V16" s="763"/>
      <c r="W16" s="763"/>
      <c r="X16" s="763"/>
      <c r="Y16" s="763"/>
      <c r="Z16" s="162"/>
      <c r="AA16" s="762"/>
      <c r="AB16" s="762"/>
      <c r="AC16" s="762"/>
      <c r="AD16" s="762"/>
      <c r="AE16" s="137"/>
      <c r="AF16" s="137"/>
    </row>
    <row r="17" spans="1:32" s="133" customFormat="1" ht="2.1" customHeight="1" x14ac:dyDescent="0.1">
      <c r="A17" s="474">
        <v>41548</v>
      </c>
      <c r="B17" s="173">
        <v>5046.16</v>
      </c>
      <c r="C17" s="173">
        <v>1959.5299999999997</v>
      </c>
      <c r="D17" s="174">
        <f t="shared" si="0"/>
        <v>7005.69</v>
      </c>
      <c r="E17" s="173"/>
      <c r="F17" s="173"/>
      <c r="G17" s="173"/>
      <c r="H17" s="173"/>
      <c r="I17" s="191">
        <f t="shared" si="1"/>
        <v>7005.69</v>
      </c>
      <c r="J17" s="189">
        <f t="shared" si="2"/>
        <v>192.15999999999985</v>
      </c>
      <c r="K17" s="137"/>
      <c r="L17" s="766"/>
      <c r="M17" s="766"/>
      <c r="N17" s="766"/>
      <c r="O17" s="766"/>
      <c r="P17" s="159"/>
      <c r="Q17" s="767"/>
      <c r="R17" s="767"/>
      <c r="S17" s="767"/>
      <c r="T17" s="767"/>
      <c r="U17" s="159"/>
      <c r="V17" s="763"/>
      <c r="W17" s="763"/>
      <c r="X17" s="763"/>
      <c r="Y17" s="763"/>
      <c r="Z17" s="162"/>
      <c r="AA17" s="762"/>
      <c r="AB17" s="762"/>
      <c r="AC17" s="762"/>
      <c r="AD17" s="762"/>
      <c r="AE17" s="137"/>
      <c r="AF17" s="137"/>
    </row>
    <row r="18" spans="1:32" s="133" customFormat="1" ht="2.1" customHeight="1" x14ac:dyDescent="0.1">
      <c r="A18" s="474">
        <v>41579</v>
      </c>
      <c r="B18" s="173">
        <v>5049.42</v>
      </c>
      <c r="C18" s="173">
        <v>2309.4300000000003</v>
      </c>
      <c r="D18" s="174">
        <f t="shared" si="0"/>
        <v>7358.85</v>
      </c>
      <c r="E18" s="173"/>
      <c r="F18" s="173"/>
      <c r="G18" s="173"/>
      <c r="H18" s="173"/>
      <c r="I18" s="191">
        <f t="shared" si="1"/>
        <v>7358.85</v>
      </c>
      <c r="J18" s="189">
        <f t="shared" si="2"/>
        <v>353.16000000000076</v>
      </c>
      <c r="K18" s="137"/>
      <c r="L18" s="766"/>
      <c r="M18" s="766"/>
      <c r="N18" s="766"/>
      <c r="O18" s="766"/>
      <c r="P18" s="159"/>
      <c r="Q18" s="767"/>
      <c r="R18" s="767"/>
      <c r="S18" s="767"/>
      <c r="T18" s="767"/>
      <c r="U18" s="159"/>
      <c r="V18" s="763"/>
      <c r="W18" s="763"/>
      <c r="X18" s="763"/>
      <c r="Y18" s="763"/>
      <c r="Z18" s="162"/>
      <c r="AA18" s="762"/>
      <c r="AB18" s="762"/>
      <c r="AC18" s="762"/>
      <c r="AD18" s="762"/>
      <c r="AE18" s="137"/>
      <c r="AF18" s="137"/>
    </row>
    <row r="19" spans="1:32" s="133" customFormat="1" ht="2.1" customHeight="1" x14ac:dyDescent="0.1">
      <c r="A19" s="474">
        <v>41609</v>
      </c>
      <c r="B19" s="173">
        <v>5052.79</v>
      </c>
      <c r="C19" s="173">
        <v>2970.0199999999995</v>
      </c>
      <c r="D19" s="174">
        <f t="shared" si="0"/>
        <v>8022.8099999999995</v>
      </c>
      <c r="E19" s="173"/>
      <c r="F19" s="173"/>
      <c r="G19" s="173"/>
      <c r="H19" s="173"/>
      <c r="I19" s="191">
        <f t="shared" si="1"/>
        <v>8022.8099999999995</v>
      </c>
      <c r="J19" s="189">
        <f t="shared" si="2"/>
        <v>663.95999999999913</v>
      </c>
      <c r="K19" s="137"/>
      <c r="L19" s="766"/>
      <c r="M19" s="766"/>
      <c r="N19" s="766"/>
      <c r="O19" s="766"/>
      <c r="P19" s="159"/>
      <c r="Q19" s="767"/>
      <c r="R19" s="767"/>
      <c r="S19" s="767"/>
      <c r="T19" s="767"/>
      <c r="U19" s="159"/>
      <c r="V19" s="763"/>
      <c r="W19" s="763"/>
      <c r="X19" s="763"/>
      <c r="Y19" s="763"/>
      <c r="Z19" s="162"/>
      <c r="AA19" s="762"/>
      <c r="AB19" s="762"/>
      <c r="AC19" s="762"/>
      <c r="AD19" s="762"/>
      <c r="AE19" s="137"/>
      <c r="AF19" s="137"/>
    </row>
    <row r="20" spans="1:32" s="133" customFormat="1" ht="2.1" customHeight="1" x14ac:dyDescent="0.1">
      <c r="A20" s="474">
        <v>41640</v>
      </c>
      <c r="B20" s="173">
        <v>5056.16</v>
      </c>
      <c r="C20" s="173">
        <v>3513.0200000000004</v>
      </c>
      <c r="D20" s="174">
        <f t="shared" si="0"/>
        <v>8569.18</v>
      </c>
      <c r="E20" s="173"/>
      <c r="F20" s="173"/>
      <c r="G20" s="173"/>
      <c r="H20" s="173"/>
      <c r="I20" s="191">
        <f t="shared" si="1"/>
        <v>8569.18</v>
      </c>
      <c r="J20" s="189">
        <f t="shared" si="2"/>
        <v>546.3700000000008</v>
      </c>
      <c r="K20" s="137"/>
      <c r="L20" s="766"/>
      <c r="M20" s="766"/>
      <c r="N20" s="766"/>
      <c r="O20" s="766"/>
      <c r="P20" s="159"/>
      <c r="Q20" s="767"/>
      <c r="R20" s="767"/>
      <c r="S20" s="767"/>
      <c r="T20" s="767"/>
      <c r="U20" s="159"/>
      <c r="V20" s="763"/>
      <c r="W20" s="763"/>
      <c r="X20" s="763"/>
      <c r="Y20" s="763"/>
      <c r="Z20" s="162"/>
      <c r="AA20" s="762"/>
      <c r="AB20" s="762"/>
      <c r="AC20" s="762"/>
      <c r="AD20" s="762"/>
      <c r="AE20" s="137"/>
      <c r="AF20" s="137"/>
    </row>
    <row r="21" spans="1:32" s="133" customFormat="1" ht="2.1" customHeight="1" x14ac:dyDescent="0.1">
      <c r="A21" s="474">
        <v>41671</v>
      </c>
      <c r="B21" s="176">
        <v>5059.21</v>
      </c>
      <c r="C21" s="176">
        <v>4094.3900000000003</v>
      </c>
      <c r="D21" s="175">
        <f t="shared" si="0"/>
        <v>9153.6</v>
      </c>
      <c r="E21" s="176"/>
      <c r="F21" s="176"/>
      <c r="G21" s="176"/>
      <c r="H21" s="176"/>
      <c r="I21" s="191">
        <f t="shared" si="1"/>
        <v>9153.6</v>
      </c>
      <c r="J21" s="189">
        <f t="shared" si="2"/>
        <v>584.42000000000007</v>
      </c>
      <c r="K21" s="137"/>
      <c r="L21" s="766"/>
      <c r="M21" s="766"/>
      <c r="N21" s="766"/>
      <c r="O21" s="766"/>
      <c r="P21" s="159"/>
      <c r="Q21" s="767"/>
      <c r="R21" s="767"/>
      <c r="S21" s="767"/>
      <c r="T21" s="767"/>
      <c r="U21" s="159"/>
      <c r="V21" s="763"/>
      <c r="W21" s="763"/>
      <c r="X21" s="763"/>
      <c r="Y21" s="763"/>
      <c r="Z21" s="162"/>
      <c r="AA21" s="762"/>
      <c r="AB21" s="762"/>
      <c r="AC21" s="762"/>
      <c r="AD21" s="762"/>
      <c r="AE21" s="137"/>
      <c r="AF21" s="137"/>
    </row>
    <row r="22" spans="1:32" s="133" customFormat="1" ht="2.1" customHeight="1" x14ac:dyDescent="0.1">
      <c r="A22" s="474">
        <v>41699</v>
      </c>
      <c r="B22" s="173">
        <v>9003.7199999999993</v>
      </c>
      <c r="C22" s="173">
        <v>748.21000000000095</v>
      </c>
      <c r="D22" s="174">
        <f t="shared" si="0"/>
        <v>9751.93</v>
      </c>
      <c r="E22" s="173"/>
      <c r="F22" s="173"/>
      <c r="G22" s="173"/>
      <c r="H22" s="173"/>
      <c r="I22" s="191">
        <f t="shared" si="1"/>
        <v>9751.93</v>
      </c>
      <c r="J22" s="189">
        <f t="shared" si="2"/>
        <v>598.32999999999993</v>
      </c>
      <c r="K22" s="137"/>
      <c r="L22" s="766"/>
      <c r="M22" s="766"/>
      <c r="N22" s="766"/>
      <c r="O22" s="766"/>
      <c r="P22" s="159"/>
      <c r="Q22" s="767"/>
      <c r="R22" s="767"/>
      <c r="S22" s="767"/>
      <c r="T22" s="767"/>
      <c r="U22" s="159"/>
      <c r="V22" s="763"/>
      <c r="W22" s="763"/>
      <c r="X22" s="763"/>
      <c r="Y22" s="763"/>
      <c r="Z22" s="162"/>
      <c r="AA22" s="762"/>
      <c r="AB22" s="762"/>
      <c r="AC22" s="762"/>
      <c r="AD22" s="762"/>
      <c r="AE22" s="137"/>
      <c r="AF22" s="137"/>
    </row>
    <row r="23" spans="1:32" s="133" customFormat="1" ht="2.1" customHeight="1" x14ac:dyDescent="0.1">
      <c r="A23" s="474">
        <v>41730</v>
      </c>
      <c r="B23" s="173">
        <v>9009.5300000000007</v>
      </c>
      <c r="C23" s="173">
        <v>952.26000000000022</v>
      </c>
      <c r="D23" s="174">
        <f t="shared" si="0"/>
        <v>9961.7900000000009</v>
      </c>
      <c r="E23" s="173"/>
      <c r="F23" s="173"/>
      <c r="G23" s="173"/>
      <c r="H23" s="173"/>
      <c r="I23" s="191">
        <f t="shared" si="1"/>
        <v>9961.7900000000009</v>
      </c>
      <c r="J23" s="189">
        <f t="shared" si="2"/>
        <v>209.86000000000058</v>
      </c>
      <c r="K23" s="137"/>
      <c r="L23" s="766"/>
      <c r="M23" s="766"/>
      <c r="N23" s="766"/>
      <c r="O23" s="766"/>
      <c r="P23" s="159"/>
      <c r="Q23" s="767"/>
      <c r="R23" s="767"/>
      <c r="S23" s="767"/>
      <c r="T23" s="767"/>
      <c r="U23" s="159"/>
      <c r="V23" s="763"/>
      <c r="W23" s="763"/>
      <c r="X23" s="763"/>
      <c r="Y23" s="763"/>
      <c r="Z23" s="162"/>
      <c r="AA23" s="762"/>
      <c r="AB23" s="762"/>
      <c r="AC23" s="762"/>
      <c r="AD23" s="762"/>
      <c r="AE23" s="137"/>
      <c r="AF23" s="137"/>
    </row>
    <row r="24" spans="1:32" s="133" customFormat="1" ht="2.1" customHeight="1" x14ac:dyDescent="0.1">
      <c r="A24" s="474">
        <v>41760</v>
      </c>
      <c r="B24" s="173">
        <v>9014.0499999999993</v>
      </c>
      <c r="C24" s="173">
        <v>1576.3500000000004</v>
      </c>
      <c r="D24" s="174">
        <f t="shared" si="0"/>
        <v>10590.4</v>
      </c>
      <c r="E24" s="173"/>
      <c r="F24" s="173"/>
      <c r="G24" s="173"/>
      <c r="H24" s="173"/>
      <c r="I24" s="191">
        <f t="shared" si="1"/>
        <v>10590.4</v>
      </c>
      <c r="J24" s="189">
        <f t="shared" si="2"/>
        <v>628.60999999999876</v>
      </c>
      <c r="K24" s="137"/>
      <c r="L24" s="766"/>
      <c r="M24" s="766"/>
      <c r="N24" s="766"/>
      <c r="O24" s="766"/>
      <c r="P24" s="159"/>
      <c r="Q24" s="767"/>
      <c r="R24" s="767"/>
      <c r="S24" s="767"/>
      <c r="T24" s="767"/>
      <c r="U24" s="159"/>
      <c r="V24" s="763"/>
      <c r="W24" s="763"/>
      <c r="X24" s="763"/>
      <c r="Y24" s="763"/>
      <c r="Z24" s="162"/>
      <c r="AA24" s="762"/>
      <c r="AB24" s="762"/>
      <c r="AC24" s="762"/>
      <c r="AD24" s="762"/>
      <c r="AE24" s="137"/>
      <c r="AF24" s="137"/>
    </row>
    <row r="25" spans="1:32" s="133" customFormat="1" ht="2.1" customHeight="1" x14ac:dyDescent="0.1">
      <c r="A25" s="474">
        <v>41791</v>
      </c>
      <c r="B25" s="173">
        <v>9018.42</v>
      </c>
      <c r="C25" s="173">
        <v>2241.0499999999993</v>
      </c>
      <c r="D25" s="174">
        <f t="shared" si="0"/>
        <v>11259.47</v>
      </c>
      <c r="E25" s="173"/>
      <c r="F25" s="173"/>
      <c r="G25" s="173"/>
      <c r="H25" s="173"/>
      <c r="I25" s="191">
        <f t="shared" si="1"/>
        <v>11259.47</v>
      </c>
      <c r="J25" s="189">
        <f t="shared" si="2"/>
        <v>669.06999999999971</v>
      </c>
      <c r="K25" s="137"/>
      <c r="L25" s="766"/>
      <c r="M25" s="766"/>
      <c r="N25" s="766"/>
      <c r="O25" s="766"/>
      <c r="P25" s="159"/>
      <c r="Q25" s="767"/>
      <c r="R25" s="767"/>
      <c r="S25" s="767"/>
      <c r="T25" s="767"/>
      <c r="U25" s="159"/>
      <c r="V25" s="763"/>
      <c r="W25" s="763"/>
      <c r="X25" s="763"/>
      <c r="Y25" s="763"/>
      <c r="Z25" s="162"/>
      <c r="AA25" s="762"/>
      <c r="AB25" s="762"/>
      <c r="AC25" s="762"/>
      <c r="AD25" s="762"/>
      <c r="AE25" s="137"/>
      <c r="AF25" s="137"/>
    </row>
    <row r="26" spans="1:32" s="133" customFormat="1" ht="2.1" customHeight="1" x14ac:dyDescent="0.1">
      <c r="A26" s="474">
        <v>41821</v>
      </c>
      <c r="B26" s="173">
        <v>9022.94</v>
      </c>
      <c r="C26" s="173">
        <v>2931.0500000000011</v>
      </c>
      <c r="D26" s="174">
        <f t="shared" si="0"/>
        <v>11953.990000000002</v>
      </c>
      <c r="E26" s="173"/>
      <c r="F26" s="173"/>
      <c r="G26" s="173"/>
      <c r="H26" s="173"/>
      <c r="I26" s="191">
        <f t="shared" si="1"/>
        <v>11953.990000000002</v>
      </c>
      <c r="J26" s="189">
        <f t="shared" si="2"/>
        <v>694.52000000000226</v>
      </c>
      <c r="K26" s="137"/>
      <c r="L26" s="766"/>
      <c r="M26" s="766"/>
      <c r="N26" s="766"/>
      <c r="O26" s="766"/>
      <c r="P26" s="159"/>
      <c r="Q26" s="767"/>
      <c r="R26" s="767"/>
      <c r="S26" s="767"/>
      <c r="T26" s="767"/>
      <c r="U26" s="159"/>
      <c r="V26" s="763"/>
      <c r="W26" s="763"/>
      <c r="X26" s="763"/>
      <c r="Y26" s="763"/>
      <c r="Z26" s="162"/>
      <c r="AA26" s="762"/>
      <c r="AB26" s="762"/>
      <c r="AC26" s="762"/>
      <c r="AD26" s="762"/>
      <c r="AE26" s="137"/>
      <c r="AF26" s="137"/>
    </row>
    <row r="27" spans="1:32" s="133" customFormat="1" ht="2.1" customHeight="1" x14ac:dyDescent="0.1">
      <c r="A27" s="474">
        <v>41852</v>
      </c>
      <c r="B27" s="173">
        <v>9025.9599999999991</v>
      </c>
      <c r="C27" s="173">
        <v>3136.3500000000004</v>
      </c>
      <c r="D27" s="174">
        <f t="shared" si="0"/>
        <v>12162.31</v>
      </c>
      <c r="E27" s="173"/>
      <c r="F27" s="173"/>
      <c r="G27" s="173"/>
      <c r="H27" s="173"/>
      <c r="I27" s="191">
        <f t="shared" si="1"/>
        <v>12162.31</v>
      </c>
      <c r="J27" s="189">
        <f t="shared" si="2"/>
        <v>208.31999999999789</v>
      </c>
      <c r="K27" s="137"/>
      <c r="L27" s="766"/>
      <c r="M27" s="766"/>
      <c r="N27" s="766"/>
      <c r="O27" s="766"/>
      <c r="P27" s="159"/>
      <c r="Q27" s="767"/>
      <c r="R27" s="767"/>
      <c r="S27" s="767"/>
      <c r="T27" s="767"/>
      <c r="U27" s="159"/>
      <c r="V27" s="763"/>
      <c r="W27" s="763"/>
      <c r="X27" s="763"/>
      <c r="Y27" s="763"/>
      <c r="Z27" s="162"/>
      <c r="AA27" s="762"/>
      <c r="AB27" s="762"/>
      <c r="AC27" s="762"/>
      <c r="AD27" s="762"/>
      <c r="AE27" s="137"/>
      <c r="AF27" s="137"/>
    </row>
    <row r="28" spans="1:32" s="133" customFormat="1" ht="2.1" customHeight="1" x14ac:dyDescent="0.1">
      <c r="A28" s="474">
        <v>41883</v>
      </c>
      <c r="B28" s="173">
        <v>2363.4400000000005</v>
      </c>
      <c r="C28" s="173">
        <v>10000</v>
      </c>
      <c r="D28" s="174">
        <f t="shared" si="0"/>
        <v>12363.44</v>
      </c>
      <c r="E28" s="173"/>
      <c r="F28" s="173"/>
      <c r="G28" s="173"/>
      <c r="H28" s="173"/>
      <c r="I28" s="191">
        <f>B28+C28</f>
        <v>12363.44</v>
      </c>
      <c r="J28" s="189">
        <f t="shared" si="2"/>
        <v>201.13000000000102</v>
      </c>
      <c r="K28" s="137"/>
      <c r="L28" s="766"/>
      <c r="M28" s="766"/>
      <c r="N28" s="766"/>
      <c r="O28" s="766"/>
      <c r="P28" s="159"/>
      <c r="Q28" s="766"/>
      <c r="R28" s="766"/>
      <c r="S28" s="766"/>
      <c r="T28" s="766"/>
      <c r="U28" s="159"/>
      <c r="V28" s="766"/>
      <c r="W28" s="766"/>
      <c r="X28" s="766"/>
      <c r="Y28" s="766"/>
      <c r="Z28" s="159"/>
      <c r="AA28" s="159"/>
      <c r="AB28" s="159"/>
      <c r="AC28" s="159"/>
      <c r="AD28" s="159"/>
      <c r="AE28" s="137"/>
      <c r="AF28" s="137"/>
    </row>
    <row r="29" spans="1:32" s="133" customFormat="1" ht="2.1" customHeight="1" x14ac:dyDescent="0.1">
      <c r="A29" s="474">
        <v>41913</v>
      </c>
      <c r="B29" s="173">
        <v>2518.34</v>
      </c>
      <c r="C29" s="177">
        <v>10000</v>
      </c>
      <c r="D29" s="174">
        <f t="shared" si="0"/>
        <v>12518.34</v>
      </c>
      <c r="E29" s="177"/>
      <c r="F29" s="177"/>
      <c r="G29" s="177"/>
      <c r="H29" s="177"/>
      <c r="I29" s="191">
        <f t="shared" ref="I29:I83" si="3">B29+C29</f>
        <v>12518.34</v>
      </c>
      <c r="J29" s="189">
        <f t="shared" si="2"/>
        <v>154.89999999999964</v>
      </c>
      <c r="K29" s="137"/>
      <c r="L29" s="163"/>
      <c r="M29" s="159"/>
      <c r="N29" s="159"/>
      <c r="O29" s="159"/>
      <c r="P29" s="159"/>
      <c r="Q29" s="163"/>
      <c r="R29" s="159"/>
      <c r="S29" s="159"/>
      <c r="T29" s="159"/>
      <c r="U29" s="159"/>
      <c r="V29" s="163"/>
      <c r="W29" s="159"/>
      <c r="X29" s="159"/>
      <c r="Y29" s="159"/>
      <c r="Z29" s="159"/>
      <c r="AA29" s="159"/>
      <c r="AB29" s="159"/>
      <c r="AC29" s="159"/>
      <c r="AD29" s="159"/>
      <c r="AE29" s="137"/>
      <c r="AF29" s="137"/>
    </row>
    <row r="30" spans="1:32" s="133" customFormat="1" ht="2.1" customHeight="1" x14ac:dyDescent="0.1">
      <c r="A30" s="474">
        <v>41944</v>
      </c>
      <c r="B30" s="173">
        <v>2677.75</v>
      </c>
      <c r="C30" s="177">
        <v>10000</v>
      </c>
      <c r="D30" s="174">
        <f t="shared" si="0"/>
        <v>12677.75</v>
      </c>
      <c r="E30" s="177"/>
      <c r="F30" s="177"/>
      <c r="G30" s="177"/>
      <c r="H30" s="177"/>
      <c r="I30" s="191">
        <f t="shared" si="3"/>
        <v>12677.75</v>
      </c>
      <c r="J30" s="189">
        <f t="shared" si="2"/>
        <v>159.40999999999985</v>
      </c>
      <c r="K30" s="137"/>
      <c r="L30" s="163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37"/>
      <c r="AF30" s="137"/>
    </row>
    <row r="31" spans="1:32" s="133" customFormat="1" ht="2.1" customHeight="1" x14ac:dyDescent="0.1">
      <c r="A31" s="474">
        <v>41974</v>
      </c>
      <c r="B31" s="178">
        <v>2801.89</v>
      </c>
      <c r="C31" s="179">
        <v>10040</v>
      </c>
      <c r="D31" s="180">
        <f t="shared" si="0"/>
        <v>12841.89</v>
      </c>
      <c r="E31" s="179"/>
      <c r="F31" s="179"/>
      <c r="G31" s="179"/>
      <c r="H31" s="179"/>
      <c r="I31" s="191">
        <f t="shared" si="3"/>
        <v>12841.89</v>
      </c>
      <c r="J31" s="189">
        <f t="shared" si="2"/>
        <v>164.13999999999942</v>
      </c>
      <c r="K31" s="137"/>
      <c r="L31" s="163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37"/>
      <c r="AF31" s="137"/>
    </row>
    <row r="32" spans="1:32" s="133" customFormat="1" ht="2.1" customHeight="1" x14ac:dyDescent="0.1">
      <c r="A32" s="474">
        <v>42005</v>
      </c>
      <c r="B32" s="178">
        <v>2936.46</v>
      </c>
      <c r="C32" s="179">
        <v>10130</v>
      </c>
      <c r="D32" s="180">
        <f t="shared" si="0"/>
        <v>13066.46</v>
      </c>
      <c r="E32" s="179"/>
      <c r="F32" s="179"/>
      <c r="G32" s="179"/>
      <c r="H32" s="179"/>
      <c r="I32" s="191">
        <f t="shared" si="3"/>
        <v>13066.46</v>
      </c>
      <c r="J32" s="189">
        <f t="shared" si="2"/>
        <v>224.56999999999971</v>
      </c>
      <c r="K32" s="137"/>
      <c r="L32" s="163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37"/>
      <c r="AF32" s="137"/>
    </row>
    <row r="33" spans="1:32" s="133" customFormat="1" ht="2.1" customHeight="1" x14ac:dyDescent="0.1">
      <c r="A33" s="474">
        <v>42036</v>
      </c>
      <c r="B33" s="178">
        <v>3339.39</v>
      </c>
      <c r="C33" s="179">
        <v>10170</v>
      </c>
      <c r="D33" s="180">
        <f t="shared" si="0"/>
        <v>13509.39</v>
      </c>
      <c r="E33" s="179"/>
      <c r="F33" s="179"/>
      <c r="G33" s="179"/>
      <c r="H33" s="179"/>
      <c r="I33" s="191">
        <f t="shared" si="3"/>
        <v>13509.39</v>
      </c>
      <c r="J33" s="189">
        <f t="shared" si="2"/>
        <v>442.93000000000029</v>
      </c>
      <c r="K33" s="137"/>
      <c r="L33" s="163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37"/>
      <c r="AF33" s="137"/>
    </row>
    <row r="34" spans="1:32" s="133" customFormat="1" ht="2.1" customHeight="1" x14ac:dyDescent="0.1">
      <c r="A34" s="474">
        <v>42064</v>
      </c>
      <c r="B34" s="178">
        <v>3832.54</v>
      </c>
      <c r="C34" s="179">
        <v>10210</v>
      </c>
      <c r="D34" s="180">
        <f t="shared" si="0"/>
        <v>14042.54</v>
      </c>
      <c r="E34" s="179"/>
      <c r="F34" s="179"/>
      <c r="G34" s="179"/>
      <c r="H34" s="179"/>
      <c r="I34" s="191">
        <f t="shared" si="3"/>
        <v>14042.54</v>
      </c>
      <c r="J34" s="189">
        <f t="shared" si="2"/>
        <v>533.15000000000146</v>
      </c>
      <c r="K34" s="137"/>
      <c r="L34" s="765" t="s">
        <v>65</v>
      </c>
      <c r="M34" s="765"/>
      <c r="N34" s="765"/>
      <c r="O34" s="765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37"/>
      <c r="AF34" s="137"/>
    </row>
    <row r="35" spans="1:32" s="133" customFormat="1" ht="2.1" customHeight="1" x14ac:dyDescent="0.1">
      <c r="A35" s="474">
        <v>42095</v>
      </c>
      <c r="B35" s="178">
        <v>4227.8899999999994</v>
      </c>
      <c r="C35" s="179">
        <v>10250</v>
      </c>
      <c r="D35" s="180">
        <f t="shared" si="0"/>
        <v>14477.89</v>
      </c>
      <c r="E35" s="179"/>
      <c r="F35" s="179"/>
      <c r="G35" s="179"/>
      <c r="H35" s="179"/>
      <c r="I35" s="191">
        <f t="shared" si="3"/>
        <v>14477.89</v>
      </c>
      <c r="J35" s="189">
        <f t="shared" si="2"/>
        <v>435.34999999999854</v>
      </c>
      <c r="K35" s="137"/>
      <c r="L35" s="765"/>
      <c r="M35" s="765"/>
      <c r="N35" s="765"/>
      <c r="O35" s="765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37"/>
      <c r="AF35" s="137"/>
    </row>
    <row r="36" spans="1:32" s="133" customFormat="1" ht="2.1" customHeight="1" x14ac:dyDescent="0.1">
      <c r="A36" s="474">
        <v>42125</v>
      </c>
      <c r="B36" s="178">
        <v>4710.37</v>
      </c>
      <c r="C36" s="179">
        <v>10290</v>
      </c>
      <c r="D36" s="180">
        <f t="shared" si="0"/>
        <v>15000.369999999999</v>
      </c>
      <c r="E36" s="179"/>
      <c r="F36" s="179"/>
      <c r="G36" s="179"/>
      <c r="H36" s="179"/>
      <c r="I36" s="191">
        <f t="shared" si="3"/>
        <v>15000.369999999999</v>
      </c>
      <c r="J36" s="189">
        <f t="shared" si="2"/>
        <v>522.47999999999956</v>
      </c>
      <c r="K36" s="137"/>
      <c r="L36" s="765"/>
      <c r="M36" s="765"/>
      <c r="N36" s="765"/>
      <c r="O36" s="765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37"/>
      <c r="AF36" s="137"/>
    </row>
    <row r="37" spans="1:32" s="133" customFormat="1" ht="2.1" customHeight="1" x14ac:dyDescent="0.1">
      <c r="A37" s="474">
        <v>42156</v>
      </c>
      <c r="B37" s="178">
        <v>5261.35</v>
      </c>
      <c r="C37" s="179">
        <f>10000+240</f>
        <v>10240</v>
      </c>
      <c r="D37" s="180">
        <f t="shared" si="0"/>
        <v>15501.35</v>
      </c>
      <c r="E37" s="179"/>
      <c r="F37" s="179"/>
      <c r="G37" s="179"/>
      <c r="H37" s="179"/>
      <c r="I37" s="191">
        <f t="shared" si="3"/>
        <v>15501.35</v>
      </c>
      <c r="J37" s="189">
        <f t="shared" si="2"/>
        <v>500.98000000000138</v>
      </c>
      <c r="K37" s="137"/>
      <c r="L37" s="765"/>
      <c r="M37" s="765"/>
      <c r="N37" s="765"/>
      <c r="O37" s="765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37"/>
      <c r="AF37" s="137"/>
    </row>
    <row r="38" spans="1:32" s="133" customFormat="1" ht="2.1" customHeight="1" x14ac:dyDescent="0.1">
      <c r="A38" s="474">
        <v>42186</v>
      </c>
      <c r="B38" s="178">
        <v>2468.2199999999998</v>
      </c>
      <c r="C38" s="179">
        <f>10000+4000</f>
        <v>14000</v>
      </c>
      <c r="D38" s="180">
        <f t="shared" si="0"/>
        <v>16468.22</v>
      </c>
      <c r="E38" s="179"/>
      <c r="F38" s="179"/>
      <c r="G38" s="179"/>
      <c r="H38" s="179"/>
      <c r="I38" s="191">
        <f t="shared" si="3"/>
        <v>16468.22</v>
      </c>
      <c r="J38" s="189">
        <f t="shared" si="2"/>
        <v>966.8700000000008</v>
      </c>
      <c r="K38" s="137"/>
      <c r="L38" s="765"/>
      <c r="M38" s="765"/>
      <c r="N38" s="765"/>
      <c r="O38" s="765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37"/>
      <c r="AF38" s="137"/>
    </row>
    <row r="39" spans="1:32" s="133" customFormat="1" ht="2.1" customHeight="1" x14ac:dyDescent="0.1">
      <c r="A39" s="474">
        <v>42217</v>
      </c>
      <c r="B39" s="178">
        <v>1368.54</v>
      </c>
      <c r="C39" s="179">
        <f>10000+5000</f>
        <v>15000</v>
      </c>
      <c r="D39" s="180">
        <f t="shared" si="0"/>
        <v>16368.54</v>
      </c>
      <c r="E39" s="179"/>
      <c r="F39" s="179"/>
      <c r="G39" s="179"/>
      <c r="H39" s="179"/>
      <c r="I39" s="191">
        <f t="shared" si="3"/>
        <v>16368.54</v>
      </c>
      <c r="J39" s="189">
        <f t="shared" si="2"/>
        <v>-99.680000000000291</v>
      </c>
      <c r="K39" s="137"/>
      <c r="L39" s="765"/>
      <c r="M39" s="765"/>
      <c r="N39" s="765"/>
      <c r="O39" s="765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37"/>
      <c r="AF39" s="137"/>
    </row>
    <row r="40" spans="1:32" s="133" customFormat="1" ht="2.1" customHeight="1" x14ac:dyDescent="0.1">
      <c r="A40" s="474">
        <v>42248</v>
      </c>
      <c r="B40" s="178">
        <v>1376.51</v>
      </c>
      <c r="C40" s="179">
        <v>15000</v>
      </c>
      <c r="D40" s="180">
        <f t="shared" si="0"/>
        <v>16376.51</v>
      </c>
      <c r="E40" s="179"/>
      <c r="F40" s="179"/>
      <c r="G40" s="179"/>
      <c r="H40" s="179"/>
      <c r="I40" s="191">
        <f t="shared" si="3"/>
        <v>16376.51</v>
      </c>
      <c r="J40" s="189">
        <f t="shared" si="2"/>
        <v>7.9699999999993452</v>
      </c>
      <c r="K40" s="137"/>
      <c r="L40" s="765"/>
      <c r="M40" s="765"/>
      <c r="N40" s="765"/>
      <c r="O40" s="765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37"/>
      <c r="AF40" s="137"/>
    </row>
    <row r="41" spans="1:32" s="133" customFormat="1" ht="2.1" customHeight="1" x14ac:dyDescent="0.1">
      <c r="A41" s="474">
        <v>42278</v>
      </c>
      <c r="B41" s="178">
        <v>871.27</v>
      </c>
      <c r="C41" s="179">
        <v>16000</v>
      </c>
      <c r="D41" s="180">
        <f t="shared" si="0"/>
        <v>16871.27</v>
      </c>
      <c r="E41" s="179"/>
      <c r="F41" s="179"/>
      <c r="G41" s="179"/>
      <c r="H41" s="179"/>
      <c r="I41" s="191">
        <f t="shared" si="3"/>
        <v>16871.27</v>
      </c>
      <c r="J41" s="189">
        <f t="shared" si="2"/>
        <v>494.76000000000022</v>
      </c>
      <c r="K41" s="137"/>
      <c r="L41" s="765"/>
      <c r="M41" s="765"/>
      <c r="N41" s="765"/>
      <c r="O41" s="765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37"/>
      <c r="AF41" s="137"/>
    </row>
    <row r="42" spans="1:32" s="133" customFormat="1" ht="2.1" customHeight="1" x14ac:dyDescent="0.1">
      <c r="A42" s="474">
        <v>42309</v>
      </c>
      <c r="B42" s="178">
        <v>846.77</v>
      </c>
      <c r="C42" s="179">
        <v>16500</v>
      </c>
      <c r="D42" s="180">
        <f t="shared" si="0"/>
        <v>17346.77</v>
      </c>
      <c r="E42" s="179"/>
      <c r="F42" s="179"/>
      <c r="G42" s="179"/>
      <c r="H42" s="179"/>
      <c r="I42" s="191">
        <f t="shared" si="3"/>
        <v>17346.77</v>
      </c>
      <c r="J42" s="189">
        <f t="shared" si="2"/>
        <v>475.5</v>
      </c>
      <c r="K42" s="137"/>
      <c r="L42" s="764">
        <f ca="1">OFFSET(J4,COUNT(J:J)+1,0)</f>
        <v>1834.5400000000081</v>
      </c>
      <c r="M42" s="764"/>
      <c r="N42" s="764"/>
      <c r="O42" s="764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37"/>
      <c r="AF42" s="137"/>
    </row>
    <row r="43" spans="1:32" s="133" customFormat="1" ht="2.1" customHeight="1" x14ac:dyDescent="0.1">
      <c r="A43" s="474">
        <v>42339</v>
      </c>
      <c r="B43" s="178">
        <v>965.37</v>
      </c>
      <c r="C43" s="179">
        <v>17000</v>
      </c>
      <c r="D43" s="180">
        <f t="shared" si="0"/>
        <v>17965.37</v>
      </c>
      <c r="E43" s="179"/>
      <c r="F43" s="179"/>
      <c r="G43" s="179"/>
      <c r="H43" s="179"/>
      <c r="I43" s="191">
        <f t="shared" si="3"/>
        <v>17965.37</v>
      </c>
      <c r="J43" s="189">
        <f t="shared" si="2"/>
        <v>618.59999999999854</v>
      </c>
      <c r="K43" s="137"/>
      <c r="L43" s="764"/>
      <c r="M43" s="764"/>
      <c r="N43" s="764"/>
      <c r="O43" s="764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37"/>
      <c r="AF43" s="137"/>
    </row>
    <row r="44" spans="1:32" s="133" customFormat="1" ht="2.1" customHeight="1" x14ac:dyDescent="0.1">
      <c r="A44" s="474">
        <v>42370</v>
      </c>
      <c r="B44" s="178">
        <v>933.87</v>
      </c>
      <c r="C44" s="179">
        <v>17500</v>
      </c>
      <c r="D44" s="180">
        <f t="shared" si="0"/>
        <v>18433.87</v>
      </c>
      <c r="E44" s="179"/>
      <c r="F44" s="179"/>
      <c r="G44" s="179"/>
      <c r="H44" s="179"/>
      <c r="I44" s="191">
        <f t="shared" si="3"/>
        <v>18433.87</v>
      </c>
      <c r="J44" s="189">
        <f t="shared" si="2"/>
        <v>468.5</v>
      </c>
      <c r="K44" s="137"/>
      <c r="L44" s="764"/>
      <c r="M44" s="764"/>
      <c r="N44" s="764"/>
      <c r="O44" s="764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37"/>
      <c r="AF44" s="137"/>
    </row>
    <row r="45" spans="1:32" s="133" customFormat="1" ht="2.1" customHeight="1" x14ac:dyDescent="0.1">
      <c r="A45" s="474">
        <v>42401</v>
      </c>
      <c r="B45" s="178">
        <v>963.54</v>
      </c>
      <c r="C45" s="179">
        <v>18000</v>
      </c>
      <c r="D45" s="180">
        <f t="shared" si="0"/>
        <v>18963.54</v>
      </c>
      <c r="E45" s="179"/>
      <c r="F45" s="179"/>
      <c r="G45" s="179"/>
      <c r="H45" s="179"/>
      <c r="I45" s="191">
        <f t="shared" si="3"/>
        <v>18963.54</v>
      </c>
      <c r="J45" s="189">
        <f t="shared" si="2"/>
        <v>529.67000000000189</v>
      </c>
      <c r="K45" s="137"/>
      <c r="L45" s="764"/>
      <c r="M45" s="764"/>
      <c r="N45" s="764"/>
      <c r="O45" s="764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37"/>
      <c r="AF45" s="137"/>
    </row>
    <row r="46" spans="1:32" s="133" customFormat="1" ht="2.1" customHeight="1" x14ac:dyDescent="0.1">
      <c r="A46" s="474">
        <v>42430</v>
      </c>
      <c r="B46" s="178">
        <v>1386.64</v>
      </c>
      <c r="C46" s="179">
        <v>18500</v>
      </c>
      <c r="D46" s="180">
        <f t="shared" si="0"/>
        <v>19886.64</v>
      </c>
      <c r="E46" s="179"/>
      <c r="F46" s="179"/>
      <c r="G46" s="179"/>
      <c r="H46" s="179"/>
      <c r="I46" s="191">
        <f t="shared" si="3"/>
        <v>19886.64</v>
      </c>
      <c r="J46" s="189">
        <f t="shared" si="2"/>
        <v>923.09999999999854</v>
      </c>
      <c r="K46" s="137"/>
      <c r="L46" s="764"/>
      <c r="M46" s="764"/>
      <c r="N46" s="764"/>
      <c r="O46" s="764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37"/>
      <c r="AF46" s="137"/>
    </row>
    <row r="47" spans="1:32" s="133" customFormat="1" ht="2.1" customHeight="1" x14ac:dyDescent="0.1">
      <c r="A47" s="474">
        <v>42461</v>
      </c>
      <c r="B47" s="178">
        <v>2327.23</v>
      </c>
      <c r="C47" s="179">
        <v>18500</v>
      </c>
      <c r="D47" s="180">
        <f t="shared" si="0"/>
        <v>20827.23</v>
      </c>
      <c r="E47" s="179"/>
      <c r="F47" s="179"/>
      <c r="G47" s="179"/>
      <c r="H47" s="179"/>
      <c r="I47" s="191">
        <f t="shared" si="3"/>
        <v>20827.23</v>
      </c>
      <c r="J47" s="189">
        <f t="shared" si="2"/>
        <v>940.59000000000015</v>
      </c>
      <c r="K47" s="137"/>
      <c r="L47" s="764"/>
      <c r="M47" s="764"/>
      <c r="N47" s="764"/>
      <c r="O47" s="764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37"/>
      <c r="AF47" s="137"/>
    </row>
    <row r="48" spans="1:32" s="133" customFormat="1" ht="2.1" customHeight="1" x14ac:dyDescent="0.1">
      <c r="A48" s="474">
        <v>42491</v>
      </c>
      <c r="B48" s="178">
        <v>2438.0500000000002</v>
      </c>
      <c r="C48" s="179">
        <v>20000</v>
      </c>
      <c r="D48" s="180">
        <f t="shared" si="0"/>
        <v>22438.05</v>
      </c>
      <c r="E48" s="179"/>
      <c r="F48" s="179"/>
      <c r="G48" s="179"/>
      <c r="H48" s="179"/>
      <c r="I48" s="191">
        <f t="shared" si="3"/>
        <v>22438.05</v>
      </c>
      <c r="J48" s="189">
        <f t="shared" si="2"/>
        <v>1610.8199999999997</v>
      </c>
      <c r="K48" s="137"/>
      <c r="L48" s="764"/>
      <c r="M48" s="764"/>
      <c r="N48" s="764"/>
      <c r="O48" s="764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37"/>
      <c r="AF48" s="137"/>
    </row>
    <row r="49" spans="1:32" s="133" customFormat="1" ht="2.1" customHeight="1" x14ac:dyDescent="0.1">
      <c r="A49" s="474">
        <v>42522</v>
      </c>
      <c r="B49" s="178">
        <v>1256.68</v>
      </c>
      <c r="C49" s="179">
        <v>21000</v>
      </c>
      <c r="D49" s="180">
        <f t="shared" si="0"/>
        <v>22256.68</v>
      </c>
      <c r="E49" s="179"/>
      <c r="F49" s="179"/>
      <c r="G49" s="179"/>
      <c r="H49" s="179"/>
      <c r="I49" s="191">
        <f t="shared" si="3"/>
        <v>22256.68</v>
      </c>
      <c r="J49" s="189">
        <f t="shared" si="2"/>
        <v>-181.36999999999898</v>
      </c>
      <c r="K49" s="137"/>
      <c r="L49" s="764"/>
      <c r="M49" s="764"/>
      <c r="N49" s="764"/>
      <c r="O49" s="764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37"/>
      <c r="AF49" s="137"/>
    </row>
    <row r="50" spans="1:32" s="133" customFormat="1" ht="2.1" customHeight="1" x14ac:dyDescent="0.1">
      <c r="A50" s="474">
        <v>42552</v>
      </c>
      <c r="B50" s="178">
        <v>1649.73</v>
      </c>
      <c r="C50" s="179">
        <v>21000</v>
      </c>
      <c r="D50" s="180">
        <f t="shared" si="0"/>
        <v>22649.73</v>
      </c>
      <c r="E50" s="179"/>
      <c r="F50" s="179"/>
      <c r="G50" s="179"/>
      <c r="H50" s="179"/>
      <c r="I50" s="191">
        <f t="shared" si="3"/>
        <v>22649.73</v>
      </c>
      <c r="J50" s="189">
        <f t="shared" si="2"/>
        <v>393.04999999999927</v>
      </c>
      <c r="K50" s="137"/>
      <c r="L50" s="764"/>
      <c r="M50" s="764"/>
      <c r="N50" s="764"/>
      <c r="O50" s="764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37"/>
      <c r="AF50" s="137"/>
    </row>
    <row r="51" spans="1:32" s="133" customFormat="1" ht="2.1" customHeight="1" x14ac:dyDescent="0.1">
      <c r="A51" s="474">
        <v>42583</v>
      </c>
      <c r="B51" s="178">
        <v>1245.8699999999999</v>
      </c>
      <c r="C51" s="179">
        <v>22000</v>
      </c>
      <c r="D51" s="180">
        <f t="shared" si="0"/>
        <v>23245.87</v>
      </c>
      <c r="E51" s="179"/>
      <c r="F51" s="179"/>
      <c r="G51" s="179"/>
      <c r="H51" s="179"/>
      <c r="I51" s="191">
        <f t="shared" si="3"/>
        <v>23245.87</v>
      </c>
      <c r="J51" s="189">
        <f t="shared" si="2"/>
        <v>596.13999999999942</v>
      </c>
      <c r="K51" s="137"/>
      <c r="L51" s="764"/>
      <c r="M51" s="764"/>
      <c r="N51" s="764"/>
      <c r="O51" s="764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37"/>
      <c r="AF51" s="137"/>
    </row>
    <row r="52" spans="1:32" s="133" customFormat="1" ht="2.1" customHeight="1" x14ac:dyDescent="0.1">
      <c r="A52" s="474">
        <v>42614</v>
      </c>
      <c r="B52" s="178">
        <v>950.75</v>
      </c>
      <c r="C52" s="179">
        <v>23000</v>
      </c>
      <c r="D52" s="180">
        <f t="shared" si="0"/>
        <v>23950.75</v>
      </c>
      <c r="E52" s="179"/>
      <c r="F52" s="179"/>
      <c r="G52" s="179"/>
      <c r="H52" s="179"/>
      <c r="I52" s="191">
        <f t="shared" si="3"/>
        <v>23950.75</v>
      </c>
      <c r="J52" s="189">
        <f t="shared" si="2"/>
        <v>704.88000000000102</v>
      </c>
      <c r="K52" s="137"/>
      <c r="L52" s="764"/>
      <c r="M52" s="764"/>
      <c r="N52" s="764"/>
      <c r="O52" s="764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37"/>
      <c r="AF52" s="137"/>
    </row>
    <row r="53" spans="1:32" s="133" customFormat="1" ht="2.1" customHeight="1" x14ac:dyDescent="0.1">
      <c r="A53" s="474">
        <v>42644</v>
      </c>
      <c r="B53" s="178">
        <v>1540.36</v>
      </c>
      <c r="C53" s="179">
        <v>23500</v>
      </c>
      <c r="D53" s="180">
        <f t="shared" si="0"/>
        <v>25040.36</v>
      </c>
      <c r="E53" s="179"/>
      <c r="F53" s="179"/>
      <c r="G53" s="179"/>
      <c r="H53" s="179"/>
      <c r="I53" s="191">
        <f t="shared" si="3"/>
        <v>25040.36</v>
      </c>
      <c r="J53" s="189">
        <f t="shared" si="2"/>
        <v>1089.6100000000006</v>
      </c>
      <c r="K53" s="138"/>
      <c r="L53" s="764"/>
      <c r="M53" s="764"/>
      <c r="N53" s="764"/>
      <c r="O53" s="764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37"/>
      <c r="AF53" s="137"/>
    </row>
    <row r="54" spans="1:32" s="133" customFormat="1" ht="2.1" customHeight="1" x14ac:dyDescent="0.1">
      <c r="A54" s="474">
        <v>42675</v>
      </c>
      <c r="B54" s="178">
        <v>810.82</v>
      </c>
      <c r="C54" s="179">
        <v>25000</v>
      </c>
      <c r="D54" s="180">
        <f t="shared" si="0"/>
        <v>25810.82</v>
      </c>
      <c r="E54" s="179"/>
      <c r="F54" s="179"/>
      <c r="G54" s="179"/>
      <c r="H54" s="179"/>
      <c r="I54" s="191">
        <f t="shared" si="3"/>
        <v>25810.82</v>
      </c>
      <c r="J54" s="189">
        <f t="shared" si="2"/>
        <v>770.45999999999913</v>
      </c>
      <c r="K54" s="138"/>
      <c r="L54" s="764"/>
      <c r="M54" s="764"/>
      <c r="N54" s="764"/>
      <c r="O54" s="764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37"/>
      <c r="AF54" s="137"/>
    </row>
    <row r="55" spans="1:32" s="133" customFormat="1" ht="2.1" customHeight="1" x14ac:dyDescent="0.1">
      <c r="A55" s="474">
        <v>42705</v>
      </c>
      <c r="B55" s="178">
        <v>982.13</v>
      </c>
      <c r="C55" s="179">
        <v>26000</v>
      </c>
      <c r="D55" s="180">
        <f t="shared" si="0"/>
        <v>26982.13</v>
      </c>
      <c r="E55" s="179"/>
      <c r="F55" s="179"/>
      <c r="G55" s="179"/>
      <c r="H55" s="179"/>
      <c r="I55" s="191">
        <f t="shared" si="3"/>
        <v>26982.13</v>
      </c>
      <c r="J55" s="189">
        <f t="shared" si="2"/>
        <v>1171.3100000000013</v>
      </c>
      <c r="K55" s="138"/>
      <c r="L55" s="764"/>
      <c r="M55" s="764"/>
      <c r="N55" s="764"/>
      <c r="O55" s="764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37"/>
      <c r="AF55" s="137"/>
    </row>
    <row r="56" spans="1:32" s="133" customFormat="1" ht="2.1" customHeight="1" x14ac:dyDescent="0.1">
      <c r="A56" s="474">
        <v>42736</v>
      </c>
      <c r="B56" s="178">
        <v>859.07</v>
      </c>
      <c r="C56" s="179">
        <v>27000</v>
      </c>
      <c r="D56" s="180">
        <f t="shared" si="0"/>
        <v>27859.07</v>
      </c>
      <c r="E56" s="179"/>
      <c r="F56" s="179"/>
      <c r="G56" s="179"/>
      <c r="H56" s="179"/>
      <c r="I56" s="191">
        <f t="shared" si="3"/>
        <v>27859.07</v>
      </c>
      <c r="J56" s="189">
        <f t="shared" si="2"/>
        <v>876.93999999999869</v>
      </c>
      <c r="K56" s="138"/>
      <c r="L56" s="764"/>
      <c r="M56" s="764"/>
      <c r="N56" s="764"/>
      <c r="O56" s="764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37"/>
      <c r="AF56" s="137"/>
    </row>
    <row r="57" spans="1:32" s="133" customFormat="1" ht="2.1" customHeight="1" x14ac:dyDescent="0.1">
      <c r="A57" s="474">
        <v>42767</v>
      </c>
      <c r="B57" s="178">
        <v>850.57</v>
      </c>
      <c r="C57" s="179">
        <v>27000</v>
      </c>
      <c r="D57" s="180">
        <f t="shared" si="0"/>
        <v>27850.57</v>
      </c>
      <c r="E57" s="179"/>
      <c r="F57" s="179"/>
      <c r="G57" s="179"/>
      <c r="H57" s="179"/>
      <c r="I57" s="191">
        <f t="shared" si="3"/>
        <v>27850.57</v>
      </c>
      <c r="J57" s="189">
        <f t="shared" si="2"/>
        <v>-8.5</v>
      </c>
      <c r="K57" s="138"/>
      <c r="L57" s="764"/>
      <c r="M57" s="764"/>
      <c r="N57" s="764"/>
      <c r="O57" s="764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37"/>
      <c r="AF57" s="137"/>
    </row>
    <row r="58" spans="1:32" s="133" customFormat="1" ht="2.1" customHeight="1" x14ac:dyDescent="0.1">
      <c r="A58" s="474">
        <v>42795</v>
      </c>
      <c r="B58" s="178">
        <v>876.91</v>
      </c>
      <c r="C58" s="179">
        <v>27000</v>
      </c>
      <c r="D58" s="180">
        <f t="shared" si="0"/>
        <v>27876.91</v>
      </c>
      <c r="E58" s="179"/>
      <c r="F58" s="179"/>
      <c r="G58" s="179"/>
      <c r="H58" s="179"/>
      <c r="I58" s="191">
        <f t="shared" si="3"/>
        <v>27876.91</v>
      </c>
      <c r="J58" s="189">
        <f t="shared" si="2"/>
        <v>26.340000000000146</v>
      </c>
      <c r="K58" s="138"/>
      <c r="L58" s="764"/>
      <c r="M58" s="764"/>
      <c r="N58" s="764"/>
      <c r="O58" s="764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37"/>
      <c r="AF58" s="137"/>
    </row>
    <row r="59" spans="1:32" s="133" customFormat="1" ht="2.1" customHeight="1" x14ac:dyDescent="0.1">
      <c r="A59" s="474">
        <v>42826</v>
      </c>
      <c r="B59" s="178">
        <v>918.35</v>
      </c>
      <c r="C59" s="179">
        <v>27000</v>
      </c>
      <c r="D59" s="180">
        <f t="shared" si="0"/>
        <v>27918.35</v>
      </c>
      <c r="E59" s="179"/>
      <c r="F59" s="179"/>
      <c r="G59" s="179"/>
      <c r="H59" s="179"/>
      <c r="I59" s="191">
        <f t="shared" si="3"/>
        <v>27918.35</v>
      </c>
      <c r="J59" s="189">
        <f t="shared" si="2"/>
        <v>41.43999999999869</v>
      </c>
      <c r="K59" s="137"/>
      <c r="L59" s="764"/>
      <c r="M59" s="764"/>
      <c r="N59" s="764"/>
      <c r="O59" s="764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37"/>
      <c r="AF59" s="137"/>
    </row>
    <row r="60" spans="1:32" s="133" customFormat="1" ht="2.1" customHeight="1" x14ac:dyDescent="0.1">
      <c r="A60" s="474">
        <v>42856</v>
      </c>
      <c r="B60" s="178">
        <v>973.94</v>
      </c>
      <c r="C60" s="179">
        <v>27000</v>
      </c>
      <c r="D60" s="180">
        <f t="shared" si="0"/>
        <v>27973.94</v>
      </c>
      <c r="E60" s="179"/>
      <c r="F60" s="179"/>
      <c r="G60" s="179"/>
      <c r="H60" s="179"/>
      <c r="I60" s="191">
        <f t="shared" si="3"/>
        <v>27973.94</v>
      </c>
      <c r="J60" s="189">
        <f t="shared" si="2"/>
        <v>55.590000000000146</v>
      </c>
      <c r="K60" s="137"/>
      <c r="L60" s="764"/>
      <c r="M60" s="764"/>
      <c r="N60" s="764"/>
      <c r="O60" s="764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37"/>
      <c r="AF60" s="137"/>
    </row>
    <row r="61" spans="1:32" s="133" customFormat="1" ht="2.1" customHeight="1" x14ac:dyDescent="0.1">
      <c r="A61" s="474">
        <v>42887</v>
      </c>
      <c r="B61" s="178">
        <v>1592.98</v>
      </c>
      <c r="C61" s="179">
        <v>27000</v>
      </c>
      <c r="D61" s="180">
        <f t="shared" si="0"/>
        <v>28592.98</v>
      </c>
      <c r="E61" s="179"/>
      <c r="F61" s="179"/>
      <c r="G61" s="179"/>
      <c r="H61" s="179"/>
      <c r="I61" s="191">
        <f t="shared" si="3"/>
        <v>28592.98</v>
      </c>
      <c r="J61" s="189">
        <f t="shared" si="2"/>
        <v>619.04000000000087</v>
      </c>
      <c r="K61" s="137"/>
      <c r="L61" s="764"/>
      <c r="M61" s="764"/>
      <c r="N61" s="764"/>
      <c r="O61" s="764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37"/>
      <c r="AF61" s="137"/>
    </row>
    <row r="62" spans="1:32" s="133" customFormat="1" ht="2.1" customHeight="1" x14ac:dyDescent="0.1">
      <c r="A62" s="474">
        <v>42917</v>
      </c>
      <c r="B62" s="178">
        <v>1882.26</v>
      </c>
      <c r="C62" s="179">
        <v>27000</v>
      </c>
      <c r="D62" s="180">
        <f t="shared" si="0"/>
        <v>28882.26</v>
      </c>
      <c r="E62" s="179"/>
      <c r="F62" s="179"/>
      <c r="G62" s="179"/>
      <c r="H62" s="179"/>
      <c r="I62" s="191">
        <f t="shared" si="3"/>
        <v>28882.26</v>
      </c>
      <c r="J62" s="189">
        <f t="shared" si="2"/>
        <v>289.27999999999884</v>
      </c>
      <c r="K62" s="137"/>
      <c r="L62" s="764"/>
      <c r="M62" s="764"/>
      <c r="N62" s="764"/>
      <c r="O62" s="764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37"/>
      <c r="AF62" s="137"/>
    </row>
    <row r="63" spans="1:32" s="133" customFormat="1" ht="2.1" customHeight="1" x14ac:dyDescent="0.1">
      <c r="A63" s="474">
        <v>42948</v>
      </c>
      <c r="B63" s="178">
        <v>1329.47</v>
      </c>
      <c r="C63" s="179">
        <v>28000</v>
      </c>
      <c r="D63" s="180">
        <f t="shared" si="0"/>
        <v>29329.47</v>
      </c>
      <c r="E63" s="179"/>
      <c r="F63" s="179"/>
      <c r="G63" s="179"/>
      <c r="H63" s="179"/>
      <c r="I63" s="191">
        <f t="shared" si="3"/>
        <v>29329.47</v>
      </c>
      <c r="J63" s="189">
        <f t="shared" si="2"/>
        <v>447.21000000000276</v>
      </c>
      <c r="K63" s="137"/>
      <c r="L63" s="764"/>
      <c r="M63" s="764"/>
      <c r="N63" s="764"/>
      <c r="O63" s="764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37"/>
      <c r="AF63" s="137"/>
    </row>
    <row r="64" spans="1:32" s="133" customFormat="1" ht="2.1" customHeight="1" x14ac:dyDescent="0.1">
      <c r="A64" s="474">
        <v>42979</v>
      </c>
      <c r="B64" s="178">
        <v>1860.17</v>
      </c>
      <c r="C64" s="179">
        <v>28000</v>
      </c>
      <c r="D64" s="180">
        <f t="shared" si="0"/>
        <v>29860.17</v>
      </c>
      <c r="E64" s="179"/>
      <c r="F64" s="179"/>
      <c r="G64" s="179"/>
      <c r="H64" s="179"/>
      <c r="I64" s="191">
        <f t="shared" si="3"/>
        <v>29860.17</v>
      </c>
      <c r="J64" s="189">
        <f t="shared" si="2"/>
        <v>530.69999999999709</v>
      </c>
      <c r="K64" s="137"/>
      <c r="L64" s="137"/>
      <c r="M64" s="137"/>
      <c r="N64" s="137"/>
      <c r="O64" s="137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37"/>
      <c r="AC64" s="137"/>
      <c r="AD64" s="137"/>
      <c r="AE64" s="137"/>
      <c r="AF64" s="137"/>
    </row>
    <row r="65" spans="1:32" s="133" customFormat="1" ht="2.1" customHeight="1" x14ac:dyDescent="0.1">
      <c r="A65" s="474">
        <v>43009</v>
      </c>
      <c r="B65" s="178">
        <v>1543.8200000000002</v>
      </c>
      <c r="C65" s="179">
        <v>29000</v>
      </c>
      <c r="D65" s="180">
        <f t="shared" si="0"/>
        <v>30543.82</v>
      </c>
      <c r="E65" s="179"/>
      <c r="F65" s="179"/>
      <c r="G65" s="179"/>
      <c r="H65" s="179"/>
      <c r="I65" s="191">
        <f t="shared" si="3"/>
        <v>30543.82</v>
      </c>
      <c r="J65" s="189">
        <f t="shared" si="2"/>
        <v>683.65000000000146</v>
      </c>
      <c r="K65" s="137"/>
      <c r="L65" s="137"/>
      <c r="M65" s="137"/>
      <c r="N65" s="137"/>
      <c r="O65" s="137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37"/>
      <c r="AC65" s="137"/>
      <c r="AD65" s="137"/>
      <c r="AE65" s="137"/>
      <c r="AF65" s="137"/>
    </row>
    <row r="66" spans="1:32" s="133" customFormat="1" ht="2.1" customHeight="1" x14ac:dyDescent="0.1">
      <c r="A66" s="474">
        <v>43040</v>
      </c>
      <c r="B66" s="178">
        <v>1652.23</v>
      </c>
      <c r="C66" s="179">
        <v>29000</v>
      </c>
      <c r="D66" s="180">
        <f t="shared" si="0"/>
        <v>30652.23</v>
      </c>
      <c r="E66" s="179"/>
      <c r="F66" s="179"/>
      <c r="G66" s="179"/>
      <c r="H66" s="179"/>
      <c r="I66" s="191">
        <f t="shared" si="3"/>
        <v>30652.23</v>
      </c>
      <c r="J66" s="189">
        <f t="shared" si="2"/>
        <v>108.40999999999985</v>
      </c>
      <c r="K66" s="137"/>
      <c r="L66" s="137"/>
      <c r="M66" s="137"/>
      <c r="N66" s="137"/>
      <c r="O66" s="137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37"/>
      <c r="AC66" s="137"/>
      <c r="AD66" s="137"/>
      <c r="AE66" s="137"/>
      <c r="AF66" s="137"/>
    </row>
    <row r="67" spans="1:32" s="133" customFormat="1" ht="2.1" customHeight="1" x14ac:dyDescent="0.1">
      <c r="A67" s="474">
        <v>43070</v>
      </c>
      <c r="B67" s="178">
        <v>1651.95</v>
      </c>
      <c r="C67" s="179">
        <v>30000</v>
      </c>
      <c r="D67" s="180">
        <f t="shared" si="0"/>
        <v>31651.95</v>
      </c>
      <c r="E67" s="179"/>
      <c r="F67" s="179"/>
      <c r="G67" s="179"/>
      <c r="H67" s="179"/>
      <c r="I67" s="191">
        <f t="shared" si="3"/>
        <v>31651.95</v>
      </c>
      <c r="J67" s="189">
        <f t="shared" si="2"/>
        <v>999.72000000000116</v>
      </c>
      <c r="K67" s="137"/>
      <c r="L67" s="137"/>
      <c r="M67" s="137"/>
      <c r="N67" s="137"/>
      <c r="O67" s="137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37"/>
      <c r="AC67" s="137"/>
      <c r="AD67" s="137"/>
      <c r="AE67" s="137"/>
      <c r="AF67" s="137"/>
    </row>
    <row r="68" spans="1:32" ht="1.5" customHeight="1" x14ac:dyDescent="0.2">
      <c r="A68" s="474">
        <v>43101</v>
      </c>
      <c r="B68" s="178">
        <v>1361.24</v>
      </c>
      <c r="C68" s="179">
        <v>31000</v>
      </c>
      <c r="D68" s="180">
        <f t="shared" si="0"/>
        <v>32361.24</v>
      </c>
      <c r="E68" s="179"/>
      <c r="F68" s="179"/>
      <c r="G68" s="179"/>
      <c r="H68" s="179"/>
      <c r="I68" s="191">
        <f t="shared" si="3"/>
        <v>32361.24</v>
      </c>
      <c r="J68" s="189">
        <f t="shared" si="2"/>
        <v>709.29000000000087</v>
      </c>
      <c r="K68" s="136"/>
      <c r="L68" s="135"/>
      <c r="M68" s="135"/>
      <c r="N68" s="135"/>
      <c r="O68" s="135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35"/>
      <c r="AC68" s="135"/>
      <c r="AD68" s="135"/>
    </row>
    <row r="69" spans="1:32" ht="1.5" customHeight="1" x14ac:dyDescent="0.2">
      <c r="A69" s="474">
        <v>43132</v>
      </c>
      <c r="B69" s="178">
        <v>1367.58</v>
      </c>
      <c r="C69" s="179">
        <v>31000</v>
      </c>
      <c r="D69" s="180">
        <f t="shared" si="0"/>
        <v>32367.58</v>
      </c>
      <c r="E69" s="179"/>
      <c r="F69" s="179"/>
      <c r="G69" s="179"/>
      <c r="H69" s="179"/>
      <c r="I69" s="191">
        <f t="shared" si="3"/>
        <v>32367.58</v>
      </c>
      <c r="J69" s="189">
        <f t="shared" si="2"/>
        <v>6.3400000000001455</v>
      </c>
      <c r="K69" s="136"/>
      <c r="L69" s="135"/>
      <c r="M69" s="135"/>
      <c r="N69" s="135"/>
      <c r="O69" s="135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35"/>
      <c r="AC69" s="135"/>
      <c r="AD69" s="135"/>
    </row>
    <row r="70" spans="1:32" ht="1.5" customHeight="1" x14ac:dyDescent="0.2">
      <c r="A70" s="474">
        <v>43160</v>
      </c>
      <c r="B70" s="178">
        <v>1392.21</v>
      </c>
      <c r="C70" s="179">
        <v>31000</v>
      </c>
      <c r="D70" s="180">
        <f t="shared" ref="D70:D122" si="4">B70+C70</f>
        <v>32392.21</v>
      </c>
      <c r="E70" s="179"/>
      <c r="F70" s="179"/>
      <c r="G70" s="179"/>
      <c r="H70" s="179"/>
      <c r="I70" s="191">
        <f t="shared" si="3"/>
        <v>32392.21</v>
      </c>
      <c r="J70" s="189">
        <f t="shared" si="2"/>
        <v>24.629999999997381</v>
      </c>
      <c r="K70" s="136"/>
      <c r="L70" s="135"/>
      <c r="M70" s="135"/>
      <c r="N70" s="135"/>
      <c r="O70" s="135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35"/>
      <c r="AC70" s="135"/>
      <c r="AD70" s="135"/>
    </row>
    <row r="71" spans="1:32" ht="1.5" customHeight="1" x14ac:dyDescent="0.2">
      <c r="A71" s="474">
        <v>43191</v>
      </c>
      <c r="B71" s="178">
        <v>1536.44</v>
      </c>
      <c r="C71" s="179">
        <v>31000</v>
      </c>
      <c r="D71" s="180">
        <f t="shared" si="4"/>
        <v>32536.44</v>
      </c>
      <c r="E71" s="179"/>
      <c r="F71" s="179"/>
      <c r="G71" s="179"/>
      <c r="H71" s="179"/>
      <c r="I71" s="191">
        <f t="shared" si="3"/>
        <v>32536.44</v>
      </c>
      <c r="J71" s="189">
        <f t="shared" ref="J71:J83" si="5">I71-I70</f>
        <v>144.22999999999956</v>
      </c>
      <c r="K71" s="136"/>
      <c r="L71" s="135"/>
      <c r="M71" s="135"/>
      <c r="N71" s="135"/>
      <c r="O71" s="135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35"/>
      <c r="AC71" s="135"/>
      <c r="AD71" s="135"/>
    </row>
    <row r="72" spans="1:32" ht="1.5" customHeight="1" x14ac:dyDescent="0.2">
      <c r="A72" s="474">
        <v>43221</v>
      </c>
      <c r="B72" s="178">
        <v>1267.83</v>
      </c>
      <c r="C72" s="179">
        <v>31000</v>
      </c>
      <c r="D72" s="180">
        <f t="shared" si="4"/>
        <v>32267.83</v>
      </c>
      <c r="E72" s="179"/>
      <c r="F72" s="179"/>
      <c r="G72" s="179"/>
      <c r="H72" s="179"/>
      <c r="I72" s="191">
        <f t="shared" si="3"/>
        <v>32267.83</v>
      </c>
      <c r="J72" s="189">
        <f t="shared" si="5"/>
        <v>-268.60999999999694</v>
      </c>
      <c r="K72" s="136"/>
      <c r="L72" s="135"/>
      <c r="M72" s="135"/>
      <c r="N72" s="135"/>
      <c r="O72" s="135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35"/>
      <c r="AC72" s="135"/>
      <c r="AD72" s="135"/>
    </row>
    <row r="73" spans="1:32" ht="1.5" customHeight="1" x14ac:dyDescent="0.2">
      <c r="A73" s="474">
        <v>43252</v>
      </c>
      <c r="B73" s="178">
        <v>1270.29</v>
      </c>
      <c r="C73" s="179">
        <v>31000</v>
      </c>
      <c r="D73" s="180">
        <f t="shared" si="4"/>
        <v>32270.29</v>
      </c>
      <c r="E73" s="179"/>
      <c r="F73" s="179"/>
      <c r="G73" s="179"/>
      <c r="H73" s="179"/>
      <c r="I73" s="191">
        <f t="shared" si="3"/>
        <v>32270.29</v>
      </c>
      <c r="J73" s="189">
        <f t="shared" si="5"/>
        <v>2.4599999999991269</v>
      </c>
      <c r="K73" s="136"/>
      <c r="L73" s="135"/>
      <c r="M73" s="135"/>
      <c r="N73" s="135"/>
      <c r="O73" s="135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35"/>
      <c r="AC73" s="135"/>
      <c r="AD73" s="135"/>
    </row>
    <row r="74" spans="1:32" ht="1.5" customHeight="1" x14ac:dyDescent="0.2">
      <c r="A74" s="474">
        <v>43282</v>
      </c>
      <c r="B74" s="178">
        <v>1812.01</v>
      </c>
      <c r="C74" s="179">
        <v>31000</v>
      </c>
      <c r="D74" s="180">
        <f t="shared" si="4"/>
        <v>32812.01</v>
      </c>
      <c r="E74" s="179"/>
      <c r="F74" s="179"/>
      <c r="G74" s="179"/>
      <c r="H74" s="179"/>
      <c r="I74" s="191">
        <f t="shared" si="3"/>
        <v>32812.01</v>
      </c>
      <c r="J74" s="189">
        <f t="shared" si="5"/>
        <v>541.72000000000116</v>
      </c>
      <c r="K74" s="136"/>
      <c r="L74" s="135"/>
      <c r="M74" s="135"/>
      <c r="N74" s="135"/>
      <c r="O74" s="135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35"/>
      <c r="AC74" s="135"/>
      <c r="AD74" s="135"/>
    </row>
    <row r="75" spans="1:32" ht="1.5" customHeight="1" x14ac:dyDescent="0.2">
      <c r="A75" s="474">
        <v>43313</v>
      </c>
      <c r="B75" s="178">
        <f>1778.66</f>
        <v>1778.66</v>
      </c>
      <c r="C75" s="179">
        <v>32000</v>
      </c>
      <c r="D75" s="180">
        <f t="shared" si="4"/>
        <v>33778.660000000003</v>
      </c>
      <c r="E75" s="179"/>
      <c r="F75" s="179"/>
      <c r="G75" s="179"/>
      <c r="H75" s="179"/>
      <c r="I75" s="191">
        <f t="shared" si="3"/>
        <v>33778.660000000003</v>
      </c>
      <c r="J75" s="189">
        <f t="shared" si="5"/>
        <v>966.65000000000146</v>
      </c>
      <c r="K75" s="136"/>
      <c r="L75" s="135"/>
      <c r="M75" s="135"/>
      <c r="N75" s="135"/>
      <c r="O75" s="135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35"/>
      <c r="AC75" s="135"/>
      <c r="AD75" s="135"/>
    </row>
    <row r="76" spans="1:32" ht="1.5" customHeight="1" x14ac:dyDescent="0.2">
      <c r="A76" s="474">
        <v>43344</v>
      </c>
      <c r="B76" s="178">
        <v>2483.73</v>
      </c>
      <c r="C76" s="179">
        <v>32000</v>
      </c>
      <c r="D76" s="180">
        <f t="shared" si="4"/>
        <v>34483.730000000003</v>
      </c>
      <c r="E76" s="179"/>
      <c r="F76" s="179"/>
      <c r="G76" s="179"/>
      <c r="H76" s="179"/>
      <c r="I76" s="191">
        <f t="shared" si="3"/>
        <v>34483.730000000003</v>
      </c>
      <c r="J76" s="189">
        <f t="shared" si="5"/>
        <v>705.06999999999971</v>
      </c>
      <c r="K76" s="136"/>
      <c r="L76" s="135"/>
      <c r="M76" s="135"/>
      <c r="N76" s="135"/>
      <c r="O76" s="135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35"/>
      <c r="AC76" s="135"/>
      <c r="AD76" s="135"/>
    </row>
    <row r="77" spans="1:32" ht="1.5" customHeight="1" x14ac:dyDescent="0.2">
      <c r="A77" s="474">
        <v>43374</v>
      </c>
      <c r="B77" s="178">
        <f>1844.52</f>
        <v>1844.52</v>
      </c>
      <c r="C77" s="179">
        <v>34000</v>
      </c>
      <c r="D77" s="180">
        <f t="shared" si="4"/>
        <v>35844.519999999997</v>
      </c>
      <c r="E77" s="179"/>
      <c r="F77" s="179"/>
      <c r="G77" s="179"/>
      <c r="H77" s="179"/>
      <c r="I77" s="191">
        <f t="shared" si="3"/>
        <v>35844.519999999997</v>
      </c>
      <c r="J77" s="189">
        <f t="shared" si="5"/>
        <v>1360.7899999999936</v>
      </c>
      <c r="K77" s="136"/>
      <c r="L77" s="135"/>
      <c r="M77" s="135"/>
      <c r="N77" s="135"/>
      <c r="O77" s="135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35"/>
      <c r="AC77" s="135"/>
      <c r="AD77" s="135"/>
    </row>
    <row r="78" spans="1:32" ht="1.5" customHeight="1" x14ac:dyDescent="0.2">
      <c r="A78" s="474">
        <v>43405</v>
      </c>
      <c r="B78" s="178">
        <v>1774.83</v>
      </c>
      <c r="C78" s="179">
        <v>35000</v>
      </c>
      <c r="D78" s="180">
        <f t="shared" si="4"/>
        <v>36774.83</v>
      </c>
      <c r="E78" s="179"/>
      <c r="F78" s="179"/>
      <c r="G78" s="179"/>
      <c r="H78" s="179"/>
      <c r="I78" s="191">
        <f t="shared" si="3"/>
        <v>36774.83</v>
      </c>
      <c r="J78" s="189">
        <f t="shared" si="5"/>
        <v>930.31000000000495</v>
      </c>
      <c r="K78" s="136"/>
      <c r="L78" s="135"/>
      <c r="M78" s="135"/>
      <c r="N78" s="135"/>
      <c r="O78" s="135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35"/>
      <c r="AC78" s="135"/>
      <c r="AD78" s="135"/>
    </row>
    <row r="79" spans="1:32" ht="1.5" customHeight="1" x14ac:dyDescent="0.2">
      <c r="A79" s="474">
        <v>43435</v>
      </c>
      <c r="B79" s="178">
        <v>1792.42</v>
      </c>
      <c r="C79" s="179">
        <v>36000</v>
      </c>
      <c r="D79" s="180">
        <f t="shared" si="4"/>
        <v>37792.42</v>
      </c>
      <c r="E79" s="179"/>
      <c r="F79" s="179"/>
      <c r="G79" s="179"/>
      <c r="H79" s="179"/>
      <c r="I79" s="191">
        <f t="shared" si="3"/>
        <v>37792.42</v>
      </c>
      <c r="J79" s="189">
        <f t="shared" si="5"/>
        <v>1017.5899999999965</v>
      </c>
      <c r="K79" s="139">
        <f>SUM(J67:J79)</f>
        <v>7140.1899999999987</v>
      </c>
      <c r="L79" s="135"/>
      <c r="M79" s="135"/>
      <c r="N79" s="135"/>
      <c r="O79" s="135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35"/>
      <c r="AC79" s="135"/>
      <c r="AD79" s="135"/>
    </row>
    <row r="80" spans="1:32" ht="1.5" customHeight="1" x14ac:dyDescent="0.2">
      <c r="A80" s="474">
        <v>43466</v>
      </c>
      <c r="B80" s="178">
        <v>1589.43</v>
      </c>
      <c r="C80" s="179">
        <v>37000</v>
      </c>
      <c r="D80" s="180">
        <f t="shared" si="4"/>
        <v>38589.43</v>
      </c>
      <c r="E80" s="179"/>
      <c r="F80" s="179"/>
      <c r="G80" s="179"/>
      <c r="H80" s="179"/>
      <c r="I80" s="191">
        <f t="shared" si="3"/>
        <v>38589.43</v>
      </c>
      <c r="J80" s="189">
        <f t="shared" si="5"/>
        <v>797.01000000000204</v>
      </c>
      <c r="K80" s="136"/>
      <c r="L80" s="135"/>
      <c r="M80" s="135"/>
      <c r="N80" s="135"/>
      <c r="O80" s="135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35"/>
      <c r="AC80" s="135"/>
      <c r="AD80" s="135"/>
    </row>
    <row r="81" spans="1:30" ht="1.5" customHeight="1" x14ac:dyDescent="0.2">
      <c r="A81" s="474">
        <v>43497</v>
      </c>
      <c r="B81" s="178">
        <v>1767.16</v>
      </c>
      <c r="C81" s="179">
        <v>38000</v>
      </c>
      <c r="D81" s="180">
        <f t="shared" si="4"/>
        <v>39767.160000000003</v>
      </c>
      <c r="E81" s="179"/>
      <c r="F81" s="179"/>
      <c r="G81" s="179"/>
      <c r="H81" s="179"/>
      <c r="I81" s="191">
        <f t="shared" si="3"/>
        <v>39767.160000000003</v>
      </c>
      <c r="J81" s="189">
        <f t="shared" si="5"/>
        <v>1177.7300000000032</v>
      </c>
      <c r="K81" s="136"/>
      <c r="L81" s="135"/>
      <c r="M81" s="135"/>
      <c r="N81" s="135"/>
      <c r="O81" s="135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35"/>
      <c r="AC81" s="135"/>
      <c r="AD81" s="135"/>
    </row>
    <row r="82" spans="1:30" ht="1.5" customHeight="1" x14ac:dyDescent="0.2">
      <c r="A82" s="474">
        <v>43525</v>
      </c>
      <c r="B82" s="178">
        <v>1493.8</v>
      </c>
      <c r="C82" s="179">
        <v>39000</v>
      </c>
      <c r="D82" s="180">
        <f t="shared" si="4"/>
        <v>40493.800000000003</v>
      </c>
      <c r="E82" s="179"/>
      <c r="F82" s="179"/>
      <c r="G82" s="179"/>
      <c r="H82" s="179"/>
      <c r="I82" s="191">
        <f t="shared" si="3"/>
        <v>40493.800000000003</v>
      </c>
      <c r="J82" s="189">
        <f t="shared" si="5"/>
        <v>726.63999999999942</v>
      </c>
      <c r="K82" s="136"/>
      <c r="L82" s="135"/>
      <c r="M82" s="135"/>
      <c r="N82" s="135"/>
      <c r="O82" s="135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35"/>
      <c r="AC82" s="135"/>
      <c r="AD82" s="135"/>
    </row>
    <row r="83" spans="1:30" ht="1.5" customHeight="1" x14ac:dyDescent="0.2">
      <c r="A83" s="474">
        <v>43556</v>
      </c>
      <c r="B83" s="178">
        <v>1469.22</v>
      </c>
      <c r="C83" s="179">
        <v>40000</v>
      </c>
      <c r="D83" s="180">
        <f t="shared" si="4"/>
        <v>41469.22</v>
      </c>
      <c r="E83" s="179"/>
      <c r="F83" s="179"/>
      <c r="G83" s="179"/>
      <c r="H83" s="179"/>
      <c r="I83" s="191">
        <f t="shared" si="3"/>
        <v>41469.22</v>
      </c>
      <c r="J83" s="189">
        <f t="shared" si="5"/>
        <v>975.41999999999825</v>
      </c>
      <c r="K83" s="136"/>
      <c r="L83" s="135"/>
      <c r="M83" s="135"/>
      <c r="N83" s="135"/>
      <c r="O83" s="135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35"/>
      <c r="AC83" s="135"/>
      <c r="AD83" s="135"/>
    </row>
    <row r="84" spans="1:30" ht="1.5" customHeight="1" x14ac:dyDescent="0.2">
      <c r="A84" s="474">
        <v>43586</v>
      </c>
      <c r="B84" s="178">
        <v>1435.48</v>
      </c>
      <c r="C84" s="179">
        <v>41000</v>
      </c>
      <c r="D84" s="180">
        <f t="shared" si="4"/>
        <v>42435.48</v>
      </c>
      <c r="E84" s="179"/>
      <c r="F84" s="179"/>
      <c r="G84" s="179"/>
      <c r="H84" s="179"/>
      <c r="I84" s="191">
        <f t="shared" ref="I84:I89" si="6">B84+C84</f>
        <v>42435.48</v>
      </c>
      <c r="J84" s="189">
        <f t="shared" ref="J84:J89" si="7">I84-I83</f>
        <v>966.26000000000204</v>
      </c>
      <c r="K84" s="136"/>
      <c r="L84" s="135"/>
      <c r="M84" s="135"/>
      <c r="N84" s="135"/>
      <c r="O84" s="135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35"/>
      <c r="AC84" s="135"/>
      <c r="AD84" s="135"/>
    </row>
    <row r="85" spans="1:30" ht="1.5" customHeight="1" x14ac:dyDescent="0.2">
      <c r="A85" s="474">
        <v>43617</v>
      </c>
      <c r="B85" s="178">
        <f>1728.02-10+2.76</f>
        <v>1720.78</v>
      </c>
      <c r="C85" s="179">
        <v>41220</v>
      </c>
      <c r="D85" s="180">
        <f t="shared" si="4"/>
        <v>42940.78</v>
      </c>
      <c r="E85" s="179"/>
      <c r="F85" s="179"/>
      <c r="G85" s="179"/>
      <c r="H85" s="179"/>
      <c r="I85" s="191">
        <f t="shared" si="6"/>
        <v>42940.78</v>
      </c>
      <c r="J85" s="189">
        <f t="shared" si="7"/>
        <v>505.29999999999563</v>
      </c>
      <c r="K85" s="136"/>
      <c r="L85" s="135"/>
      <c r="M85" s="135"/>
      <c r="N85" s="135"/>
      <c r="O85" s="135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35"/>
      <c r="AC85" s="135"/>
      <c r="AD85" s="135"/>
    </row>
    <row r="86" spans="1:30" ht="1.5" customHeight="1" x14ac:dyDescent="0.2">
      <c r="A86" s="474">
        <v>43647</v>
      </c>
      <c r="B86" s="178">
        <v>1572.05</v>
      </c>
      <c r="C86" s="179">
        <v>43000</v>
      </c>
      <c r="D86" s="180">
        <f t="shared" si="4"/>
        <v>44572.05</v>
      </c>
      <c r="E86" s="179"/>
      <c r="F86" s="179"/>
      <c r="G86" s="179"/>
      <c r="H86" s="179"/>
      <c r="I86" s="191">
        <f t="shared" si="6"/>
        <v>44572.05</v>
      </c>
      <c r="J86" s="189">
        <f t="shared" si="7"/>
        <v>1631.2700000000041</v>
      </c>
      <c r="K86" s="136"/>
      <c r="L86" s="135"/>
      <c r="M86" s="135"/>
      <c r="N86" s="135"/>
      <c r="O86" s="135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35"/>
      <c r="AC86" s="135"/>
      <c r="AD86" s="135"/>
    </row>
    <row r="87" spans="1:30" ht="1.5" customHeight="1" x14ac:dyDescent="0.2">
      <c r="A87" s="474">
        <v>43678</v>
      </c>
      <c r="B87" s="178">
        <v>2364.0500000000002</v>
      </c>
      <c r="C87" s="179">
        <v>43000</v>
      </c>
      <c r="D87" s="180">
        <f t="shared" si="4"/>
        <v>45364.05</v>
      </c>
      <c r="E87" s="179"/>
      <c r="F87" s="179"/>
      <c r="G87" s="179"/>
      <c r="H87" s="179"/>
      <c r="I87" s="191">
        <f t="shared" si="6"/>
        <v>45364.05</v>
      </c>
      <c r="J87" s="189">
        <f t="shared" si="7"/>
        <v>792</v>
      </c>
      <c r="K87" s="136"/>
      <c r="L87" s="135"/>
      <c r="M87" s="135"/>
      <c r="N87" s="135"/>
      <c r="O87" s="135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35"/>
      <c r="AC87" s="135"/>
      <c r="AD87" s="135"/>
    </row>
    <row r="88" spans="1:30" ht="1.5" customHeight="1" x14ac:dyDescent="0.2">
      <c r="A88" s="474">
        <v>43709</v>
      </c>
      <c r="B88" s="178">
        <f>1195.15</f>
        <v>1195.1500000000001</v>
      </c>
      <c r="C88" s="179">
        <v>45000</v>
      </c>
      <c r="D88" s="180">
        <f t="shared" si="4"/>
        <v>46195.15</v>
      </c>
      <c r="E88" s="179"/>
      <c r="F88" s="179"/>
      <c r="G88" s="179"/>
      <c r="H88" s="179"/>
      <c r="I88" s="191">
        <f t="shared" si="6"/>
        <v>46195.15</v>
      </c>
      <c r="J88" s="189">
        <f t="shared" si="7"/>
        <v>831.09999999999854</v>
      </c>
      <c r="K88" s="136"/>
      <c r="L88" s="135"/>
      <c r="M88" s="135"/>
      <c r="N88" s="135"/>
      <c r="O88" s="135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35"/>
      <c r="AC88" s="135"/>
      <c r="AD88" s="135"/>
    </row>
    <row r="89" spans="1:30" ht="1.5" customHeight="1" x14ac:dyDescent="0.2">
      <c r="A89" s="474">
        <v>43739</v>
      </c>
      <c r="B89" s="178">
        <v>1212.2399999999998</v>
      </c>
      <c r="C89" s="179">
        <v>46000</v>
      </c>
      <c r="D89" s="180">
        <f t="shared" si="4"/>
        <v>47212.24</v>
      </c>
      <c r="E89" s="179"/>
      <c r="F89" s="179"/>
      <c r="G89" s="179"/>
      <c r="H89" s="179"/>
      <c r="I89" s="191">
        <f t="shared" si="6"/>
        <v>47212.24</v>
      </c>
      <c r="J89" s="189">
        <f t="shared" si="7"/>
        <v>1017.0899999999965</v>
      </c>
      <c r="K89" s="136"/>
      <c r="L89" s="135"/>
      <c r="M89" s="135"/>
      <c r="N89" s="135"/>
      <c r="O89" s="135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35"/>
      <c r="AC89" s="135"/>
      <c r="AD89" s="135"/>
    </row>
    <row r="90" spans="1:30" ht="1.5" customHeight="1" x14ac:dyDescent="0.2">
      <c r="A90" s="474">
        <v>43770</v>
      </c>
      <c r="B90" s="178">
        <v>1945.82</v>
      </c>
      <c r="C90" s="179">
        <v>46000</v>
      </c>
      <c r="D90" s="180">
        <f t="shared" si="4"/>
        <v>47945.82</v>
      </c>
      <c r="E90" s="179"/>
      <c r="F90" s="179"/>
      <c r="G90" s="179"/>
      <c r="H90" s="179"/>
      <c r="I90" s="191">
        <f t="shared" ref="I90:I93" si="8">B90+C90</f>
        <v>47945.82</v>
      </c>
      <c r="J90" s="189">
        <f t="shared" ref="J90:J94" si="9">I90-I89</f>
        <v>733.58000000000175</v>
      </c>
      <c r="K90" s="136"/>
      <c r="L90" s="135"/>
      <c r="M90" s="135"/>
      <c r="N90" s="135"/>
      <c r="O90" s="135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35"/>
      <c r="AC90" s="135"/>
      <c r="AD90" s="135"/>
    </row>
    <row r="91" spans="1:30" ht="1.5" customHeight="1" x14ac:dyDescent="0.2">
      <c r="A91" s="474">
        <v>43800</v>
      </c>
      <c r="B91" s="178">
        <v>1880.04</v>
      </c>
      <c r="C91" s="179">
        <v>47000</v>
      </c>
      <c r="D91" s="180">
        <f t="shared" si="4"/>
        <v>48880.04</v>
      </c>
      <c r="E91" s="179"/>
      <c r="F91" s="179"/>
      <c r="G91" s="179"/>
      <c r="H91" s="179"/>
      <c r="I91" s="191">
        <f t="shared" si="8"/>
        <v>48880.04</v>
      </c>
      <c r="J91" s="189">
        <f t="shared" si="9"/>
        <v>934.22000000000116</v>
      </c>
      <c r="K91" s="140">
        <f>SUM(J80:J91)</f>
        <v>11087.620000000003</v>
      </c>
      <c r="L91" s="135"/>
      <c r="M91" s="135"/>
      <c r="N91" s="135"/>
      <c r="O91" s="135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35"/>
      <c r="AC91" s="135"/>
      <c r="AD91" s="135"/>
    </row>
    <row r="92" spans="1:30" ht="1.5" customHeight="1" x14ac:dyDescent="0.2">
      <c r="A92" s="474">
        <v>43831</v>
      </c>
      <c r="B92" s="178">
        <v>1103.3600000000001</v>
      </c>
      <c r="C92" s="179">
        <v>49000</v>
      </c>
      <c r="D92" s="180">
        <f t="shared" si="4"/>
        <v>50103.360000000001</v>
      </c>
      <c r="E92" s="179"/>
      <c r="F92" s="179"/>
      <c r="G92" s="179"/>
      <c r="H92" s="179"/>
      <c r="I92" s="191">
        <f t="shared" si="8"/>
        <v>50103.360000000001</v>
      </c>
      <c r="J92" s="189">
        <f t="shared" si="9"/>
        <v>1223.3199999999997</v>
      </c>
      <c r="K92" s="136"/>
      <c r="L92" s="135"/>
      <c r="M92" s="135"/>
      <c r="N92" s="135"/>
      <c r="O92" s="135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35"/>
      <c r="AC92" s="135"/>
      <c r="AD92" s="135"/>
    </row>
    <row r="93" spans="1:30" ht="1.5" customHeight="1" x14ac:dyDescent="0.2">
      <c r="A93" s="474">
        <v>43862</v>
      </c>
      <c r="B93" s="178">
        <v>880.2</v>
      </c>
      <c r="C93" s="179">
        <v>50000</v>
      </c>
      <c r="D93" s="180">
        <f t="shared" si="4"/>
        <v>50880.2</v>
      </c>
      <c r="E93" s="179"/>
      <c r="F93" s="179"/>
      <c r="G93" s="179"/>
      <c r="H93" s="179"/>
      <c r="I93" s="191">
        <f t="shared" si="8"/>
        <v>50880.2</v>
      </c>
      <c r="J93" s="189">
        <f t="shared" si="9"/>
        <v>776.83999999999651</v>
      </c>
      <c r="K93" s="136"/>
      <c r="L93" s="135"/>
      <c r="M93" s="135"/>
      <c r="N93" s="135"/>
      <c r="O93" s="135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35"/>
      <c r="AC93" s="135"/>
      <c r="AD93" s="135"/>
    </row>
    <row r="94" spans="1:30" ht="1.5" customHeight="1" x14ac:dyDescent="0.2">
      <c r="A94" s="474">
        <v>43891</v>
      </c>
      <c r="B94" s="178">
        <v>1413.36</v>
      </c>
      <c r="C94" s="179">
        <v>50000</v>
      </c>
      <c r="D94" s="180">
        <f t="shared" si="4"/>
        <v>51413.36</v>
      </c>
      <c r="E94" s="179"/>
      <c r="F94" s="179"/>
      <c r="G94" s="179"/>
      <c r="H94" s="179"/>
      <c r="I94" s="191">
        <f>B94+C94</f>
        <v>51413.36</v>
      </c>
      <c r="J94" s="189">
        <f t="shared" si="9"/>
        <v>533.16000000000349</v>
      </c>
      <c r="K94" s="136"/>
      <c r="L94" s="135"/>
      <c r="M94" s="135"/>
      <c r="N94" s="135"/>
      <c r="O94" s="135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35"/>
      <c r="AC94" s="135"/>
      <c r="AD94" s="135"/>
    </row>
    <row r="95" spans="1:30" ht="1.5" customHeight="1" x14ac:dyDescent="0.2">
      <c r="A95" s="474">
        <v>43922</v>
      </c>
      <c r="B95" s="178">
        <f>1345+630.63</f>
        <v>1975.63</v>
      </c>
      <c r="C95" s="179">
        <v>50000</v>
      </c>
      <c r="D95" s="180">
        <f t="shared" si="4"/>
        <v>51975.63</v>
      </c>
      <c r="E95" s="179"/>
      <c r="F95" s="179"/>
      <c r="G95" s="179"/>
      <c r="H95" s="179"/>
      <c r="I95" s="191">
        <f>B95+C95</f>
        <v>51975.63</v>
      </c>
      <c r="J95" s="189">
        <f t="shared" ref="J95:J103" si="10">I95-I94</f>
        <v>562.2699999999968</v>
      </c>
      <c r="K95" s="141"/>
      <c r="L95" s="135"/>
      <c r="M95" s="135"/>
      <c r="N95" s="135"/>
      <c r="O95" s="135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35"/>
      <c r="AC95" s="135"/>
      <c r="AD95" s="135"/>
    </row>
    <row r="96" spans="1:30" ht="1.5" customHeight="1" x14ac:dyDescent="0.2">
      <c r="A96" s="474">
        <v>43952</v>
      </c>
      <c r="B96" s="178">
        <v>2771.38</v>
      </c>
      <c r="C96" s="179">
        <v>50000</v>
      </c>
      <c r="D96" s="180">
        <f t="shared" si="4"/>
        <v>52771.38</v>
      </c>
      <c r="E96" s="179"/>
      <c r="F96" s="179"/>
      <c r="G96" s="179"/>
      <c r="H96" s="179"/>
      <c r="I96" s="191">
        <f t="shared" ref="I96:I103" si="11">B96+C96</f>
        <v>52771.38</v>
      </c>
      <c r="J96" s="189">
        <f t="shared" si="10"/>
        <v>795.75</v>
      </c>
      <c r="K96" s="141"/>
      <c r="L96" s="135"/>
      <c r="M96" s="135"/>
      <c r="N96" s="135"/>
      <c r="O96" s="135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35"/>
      <c r="AC96" s="135"/>
      <c r="AD96" s="135"/>
    </row>
    <row r="97" spans="1:30" ht="1.5" customHeight="1" x14ac:dyDescent="0.2">
      <c r="A97" s="474">
        <v>43983</v>
      </c>
      <c r="B97" s="178">
        <v>701.64</v>
      </c>
      <c r="C97" s="179">
        <v>53000</v>
      </c>
      <c r="D97" s="180">
        <f t="shared" si="4"/>
        <v>53701.64</v>
      </c>
      <c r="E97" s="179"/>
      <c r="F97" s="179"/>
      <c r="G97" s="179"/>
      <c r="H97" s="179"/>
      <c r="I97" s="191">
        <f t="shared" si="11"/>
        <v>53701.64</v>
      </c>
      <c r="J97" s="189">
        <f t="shared" si="10"/>
        <v>930.26000000000204</v>
      </c>
      <c r="K97" s="141"/>
      <c r="L97" s="135"/>
      <c r="M97" s="135"/>
      <c r="N97" s="135"/>
      <c r="O97" s="135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35"/>
      <c r="AC97" s="135"/>
      <c r="AD97" s="135"/>
    </row>
    <row r="98" spans="1:30" ht="1.5" customHeight="1" x14ac:dyDescent="0.2">
      <c r="A98" s="474">
        <v>44013</v>
      </c>
      <c r="B98" s="178">
        <f>1316.71-810.88</f>
        <v>505.83000000000004</v>
      </c>
      <c r="C98" s="179">
        <v>54000</v>
      </c>
      <c r="D98" s="180">
        <f t="shared" si="4"/>
        <v>54505.83</v>
      </c>
      <c r="E98" s="179"/>
      <c r="F98" s="179"/>
      <c r="G98" s="179"/>
      <c r="H98" s="179"/>
      <c r="I98" s="191">
        <f t="shared" si="11"/>
        <v>54505.83</v>
      </c>
      <c r="J98" s="189">
        <f t="shared" si="10"/>
        <v>804.19000000000233</v>
      </c>
      <c r="K98" s="141"/>
      <c r="L98" s="135"/>
      <c r="M98" s="135"/>
      <c r="N98" s="135"/>
      <c r="O98" s="135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35"/>
      <c r="AC98" s="135"/>
      <c r="AD98" s="135"/>
    </row>
    <row r="99" spans="1:30" ht="1.5" customHeight="1" x14ac:dyDescent="0.2">
      <c r="A99" s="474">
        <v>44044</v>
      </c>
      <c r="B99" s="178">
        <f>1359.54</f>
        <v>1359.54</v>
      </c>
      <c r="C99" s="179">
        <v>54000</v>
      </c>
      <c r="D99" s="180">
        <f t="shared" si="4"/>
        <v>55359.54</v>
      </c>
      <c r="E99" s="179"/>
      <c r="F99" s="179"/>
      <c r="G99" s="179"/>
      <c r="H99" s="179"/>
      <c r="I99" s="191">
        <f t="shared" si="11"/>
        <v>55359.54</v>
      </c>
      <c r="J99" s="189">
        <f t="shared" si="10"/>
        <v>853.70999999999913</v>
      </c>
      <c r="K99" s="141"/>
      <c r="L99" s="135"/>
      <c r="M99" s="135"/>
      <c r="N99" s="135"/>
      <c r="O99" s="135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35"/>
      <c r="AC99" s="135"/>
      <c r="AD99" s="135"/>
    </row>
    <row r="100" spans="1:30" ht="1.5" customHeight="1" x14ac:dyDescent="0.2">
      <c r="A100" s="474">
        <v>44075</v>
      </c>
      <c r="B100" s="178">
        <v>2370.1799999999998</v>
      </c>
      <c r="C100" s="179">
        <v>54000</v>
      </c>
      <c r="D100" s="180">
        <f t="shared" si="4"/>
        <v>56370.18</v>
      </c>
      <c r="E100" s="179"/>
      <c r="F100" s="179"/>
      <c r="G100" s="179"/>
      <c r="H100" s="179"/>
      <c r="I100" s="191">
        <f t="shared" si="11"/>
        <v>56370.18</v>
      </c>
      <c r="J100" s="189">
        <f t="shared" si="10"/>
        <v>1010.6399999999994</v>
      </c>
      <c r="K100" s="141"/>
      <c r="L100" s="135"/>
      <c r="M100" s="135"/>
      <c r="N100" s="135"/>
      <c r="O100" s="135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35"/>
      <c r="AC100" s="135"/>
      <c r="AD100" s="135"/>
    </row>
    <row r="101" spans="1:30" ht="1.5" customHeight="1" x14ac:dyDescent="0.2">
      <c r="A101" s="474">
        <v>44105</v>
      </c>
      <c r="B101" s="178">
        <f>2180.5-51.18-53.65</f>
        <v>2075.67</v>
      </c>
      <c r="C101" s="179">
        <v>55000</v>
      </c>
      <c r="D101" s="180">
        <f t="shared" si="4"/>
        <v>57075.67</v>
      </c>
      <c r="E101" s="179"/>
      <c r="F101" s="179"/>
      <c r="G101" s="179"/>
      <c r="H101" s="179"/>
      <c r="I101" s="191">
        <f t="shared" si="11"/>
        <v>57075.67</v>
      </c>
      <c r="J101" s="189">
        <f t="shared" si="10"/>
        <v>705.48999999999796</v>
      </c>
      <c r="K101" s="141"/>
      <c r="L101" s="135"/>
      <c r="M101" s="135"/>
      <c r="N101" s="135"/>
      <c r="O101" s="135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35"/>
      <c r="AC101" s="135"/>
      <c r="AD101" s="135"/>
    </row>
    <row r="102" spans="1:30" ht="1.5" customHeight="1" x14ac:dyDescent="0.2">
      <c r="A102" s="474">
        <v>44136</v>
      </c>
      <c r="B102" s="178">
        <v>2738.63</v>
      </c>
      <c r="C102" s="179">
        <v>55000</v>
      </c>
      <c r="D102" s="180">
        <f t="shared" si="4"/>
        <v>57738.63</v>
      </c>
      <c r="E102" s="179"/>
      <c r="F102" s="179"/>
      <c r="G102" s="179"/>
      <c r="H102" s="179"/>
      <c r="I102" s="191">
        <f t="shared" si="11"/>
        <v>57738.63</v>
      </c>
      <c r="J102" s="189">
        <f t="shared" si="10"/>
        <v>662.95999999999913</v>
      </c>
      <c r="K102" s="141"/>
      <c r="L102" s="135"/>
      <c r="M102" s="135"/>
      <c r="N102" s="135"/>
      <c r="O102" s="135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35"/>
      <c r="AC102" s="135"/>
      <c r="AD102" s="135"/>
    </row>
    <row r="103" spans="1:30" ht="1.5" customHeight="1" x14ac:dyDescent="0.2">
      <c r="A103" s="474">
        <v>44166</v>
      </c>
      <c r="B103" s="178">
        <v>2645.21</v>
      </c>
      <c r="C103" s="179">
        <v>55000</v>
      </c>
      <c r="D103" s="180">
        <f t="shared" si="4"/>
        <v>57645.21</v>
      </c>
      <c r="E103" s="179"/>
      <c r="F103" s="179"/>
      <c r="G103" s="179"/>
      <c r="H103" s="179"/>
      <c r="I103" s="191">
        <f t="shared" si="11"/>
        <v>57645.21</v>
      </c>
      <c r="J103" s="189">
        <f t="shared" si="10"/>
        <v>-93.419999999998254</v>
      </c>
      <c r="K103" s="142">
        <f>SUM(J92:J103)</f>
        <v>8765.1699999999983</v>
      </c>
      <c r="L103" s="135"/>
      <c r="M103" s="135"/>
      <c r="N103" s="135"/>
      <c r="O103" s="135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35"/>
      <c r="AC103" s="135"/>
      <c r="AD103" s="135"/>
    </row>
    <row r="104" spans="1:30" ht="1.5" customHeight="1" x14ac:dyDescent="0.2">
      <c r="A104" s="474">
        <v>44197</v>
      </c>
      <c r="B104" s="178">
        <v>2574.15</v>
      </c>
      <c r="C104" s="179">
        <v>55000</v>
      </c>
      <c r="D104" s="180">
        <f t="shared" si="4"/>
        <v>57574.15</v>
      </c>
      <c r="E104" s="179"/>
      <c r="F104" s="179"/>
      <c r="G104" s="179"/>
      <c r="H104" s="179"/>
      <c r="I104" s="191">
        <f t="shared" ref="I104:I114" si="12">B104+C104</f>
        <v>57574.15</v>
      </c>
      <c r="J104" s="189">
        <f t="shared" ref="J104:J114" si="13">I104-I103</f>
        <v>-71.059999999997672</v>
      </c>
      <c r="K104" s="141"/>
      <c r="L104" s="135"/>
      <c r="M104" s="135"/>
      <c r="N104" s="135"/>
      <c r="O104" s="135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35"/>
      <c r="AC104" s="135"/>
      <c r="AD104" s="135"/>
    </row>
    <row r="105" spans="1:30" ht="1.5" customHeight="1" x14ac:dyDescent="0.2">
      <c r="A105" s="474">
        <v>44228</v>
      </c>
      <c r="B105" s="178">
        <v>2505.15</v>
      </c>
      <c r="C105" s="179">
        <v>55000</v>
      </c>
      <c r="D105" s="180">
        <f t="shared" si="4"/>
        <v>57505.15</v>
      </c>
      <c r="E105" s="179"/>
      <c r="F105" s="179"/>
      <c r="G105" s="179"/>
      <c r="H105" s="179"/>
      <c r="I105" s="191">
        <f t="shared" si="12"/>
        <v>57505.15</v>
      </c>
      <c r="J105" s="189">
        <f t="shared" si="13"/>
        <v>-69</v>
      </c>
      <c r="K105" s="141"/>
      <c r="L105" s="135"/>
      <c r="M105" s="135"/>
      <c r="N105" s="135"/>
      <c r="O105" s="135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35"/>
      <c r="AC105" s="135"/>
      <c r="AD105" s="135"/>
    </row>
    <row r="106" spans="1:30" ht="1.5" customHeight="1" x14ac:dyDescent="0.2">
      <c r="A106" s="474">
        <v>44256</v>
      </c>
      <c r="B106" s="178">
        <f>2478.94</f>
        <v>2478.94</v>
      </c>
      <c r="C106" s="179">
        <v>55000</v>
      </c>
      <c r="D106" s="180">
        <f t="shared" si="4"/>
        <v>57478.94</v>
      </c>
      <c r="E106" s="179"/>
      <c r="F106" s="179"/>
      <c r="G106" s="179"/>
      <c r="H106" s="179"/>
      <c r="I106" s="191">
        <f t="shared" si="12"/>
        <v>57478.94</v>
      </c>
      <c r="J106" s="189">
        <f t="shared" si="13"/>
        <v>-26.209999999999127</v>
      </c>
      <c r="K106" s="141"/>
      <c r="L106" s="135"/>
      <c r="M106" s="135"/>
      <c r="N106" s="135"/>
      <c r="O106" s="135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35"/>
      <c r="AC106" s="135"/>
      <c r="AD106" s="135"/>
    </row>
    <row r="107" spans="1:30" ht="1.5" customHeight="1" x14ac:dyDescent="0.2">
      <c r="A107" s="474">
        <v>44287</v>
      </c>
      <c r="B107" s="178">
        <f>1413.94-100-10-21.75</f>
        <v>1282.19</v>
      </c>
      <c r="C107" s="179">
        <v>58000</v>
      </c>
      <c r="D107" s="180">
        <f t="shared" si="4"/>
        <v>59282.19</v>
      </c>
      <c r="E107" s="179"/>
      <c r="F107" s="179"/>
      <c r="G107" s="179"/>
      <c r="H107" s="179"/>
      <c r="I107" s="191">
        <f t="shared" si="12"/>
        <v>59282.19</v>
      </c>
      <c r="J107" s="189">
        <f t="shared" si="13"/>
        <v>1803.25</v>
      </c>
      <c r="K107" s="141"/>
      <c r="L107" s="135"/>
      <c r="M107" s="135"/>
      <c r="N107" s="135"/>
      <c r="O107" s="135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35"/>
      <c r="AC107" s="135"/>
      <c r="AD107" s="135"/>
    </row>
    <row r="108" spans="1:30" ht="1.5" customHeight="1" x14ac:dyDescent="0.2">
      <c r="A108" s="474">
        <v>44317</v>
      </c>
      <c r="B108" s="178">
        <f>1241.66-50</f>
        <v>1191.6600000000001</v>
      </c>
      <c r="C108" s="179">
        <v>59000</v>
      </c>
      <c r="D108" s="180">
        <f t="shared" si="4"/>
        <v>60191.66</v>
      </c>
      <c r="E108" s="179"/>
      <c r="F108" s="179"/>
      <c r="G108" s="179"/>
      <c r="H108" s="179"/>
      <c r="I108" s="191">
        <f t="shared" si="12"/>
        <v>60191.66</v>
      </c>
      <c r="J108" s="189">
        <f t="shared" si="13"/>
        <v>909.47000000000116</v>
      </c>
      <c r="K108" s="141"/>
      <c r="L108" s="135"/>
      <c r="M108" s="135"/>
      <c r="N108" s="135"/>
      <c r="O108" s="135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35"/>
      <c r="AC108" s="135"/>
      <c r="AD108" s="135"/>
    </row>
    <row r="109" spans="1:30" ht="1.5" customHeight="1" x14ac:dyDescent="0.2">
      <c r="A109" s="474">
        <v>44348</v>
      </c>
      <c r="B109" s="178">
        <v>939.06</v>
      </c>
      <c r="C109" s="179">
        <v>60000</v>
      </c>
      <c r="D109" s="180">
        <f t="shared" si="4"/>
        <v>60939.06</v>
      </c>
      <c r="E109" s="179"/>
      <c r="F109" s="179"/>
      <c r="G109" s="179"/>
      <c r="H109" s="179"/>
      <c r="I109" s="191">
        <f t="shared" si="12"/>
        <v>60939.06</v>
      </c>
      <c r="J109" s="189">
        <f t="shared" si="13"/>
        <v>747.39999999999418</v>
      </c>
      <c r="K109" s="141"/>
      <c r="L109" s="135"/>
      <c r="M109" s="135"/>
      <c r="N109" s="135"/>
      <c r="O109" s="135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35"/>
      <c r="AC109" s="135"/>
      <c r="AD109" s="135"/>
    </row>
    <row r="110" spans="1:30" ht="1.5" customHeight="1" x14ac:dyDescent="0.2">
      <c r="A110" s="474">
        <v>44378</v>
      </c>
      <c r="B110" s="178">
        <f>3489.11-50-60</f>
        <v>3379.11</v>
      </c>
      <c r="C110" s="179">
        <v>60000</v>
      </c>
      <c r="D110" s="180">
        <f t="shared" si="4"/>
        <v>63379.11</v>
      </c>
      <c r="E110" s="179"/>
      <c r="F110" s="179"/>
      <c r="G110" s="179"/>
      <c r="H110" s="179"/>
      <c r="I110" s="191">
        <f t="shared" si="12"/>
        <v>63379.11</v>
      </c>
      <c r="J110" s="189">
        <f t="shared" si="13"/>
        <v>2440.0500000000029</v>
      </c>
      <c r="K110" s="141"/>
      <c r="L110" s="135"/>
      <c r="M110" s="135"/>
      <c r="N110" s="135"/>
      <c r="O110" s="135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35"/>
      <c r="AC110" s="135"/>
      <c r="AD110" s="135"/>
    </row>
    <row r="111" spans="1:30" ht="1.5" customHeight="1" x14ac:dyDescent="0.2">
      <c r="A111" s="474">
        <v>44409</v>
      </c>
      <c r="B111" s="178">
        <v>4550.1400000000003</v>
      </c>
      <c r="C111" s="179">
        <v>60000</v>
      </c>
      <c r="D111" s="180">
        <f t="shared" si="4"/>
        <v>64550.14</v>
      </c>
      <c r="E111" s="179"/>
      <c r="F111" s="179"/>
      <c r="G111" s="179"/>
      <c r="H111" s="179"/>
      <c r="I111" s="191">
        <f t="shared" si="12"/>
        <v>64550.14</v>
      </c>
      <c r="J111" s="189">
        <f t="shared" si="13"/>
        <v>1171.0299999999988</v>
      </c>
      <c r="K111" s="141"/>
      <c r="L111" s="135"/>
      <c r="M111" s="135"/>
      <c r="N111" s="135"/>
      <c r="O111" s="135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35"/>
      <c r="AC111" s="135"/>
      <c r="AD111" s="135"/>
    </row>
    <row r="112" spans="1:30" ht="1.5" customHeight="1" x14ac:dyDescent="0.2">
      <c r="A112" s="474">
        <v>44440</v>
      </c>
      <c r="B112" s="178">
        <v>1344.79</v>
      </c>
      <c r="C112" s="179">
        <v>65000</v>
      </c>
      <c r="D112" s="180">
        <f t="shared" si="4"/>
        <v>66344.789999999994</v>
      </c>
      <c r="E112" s="179"/>
      <c r="F112" s="179"/>
      <c r="G112" s="179"/>
      <c r="H112" s="179"/>
      <c r="I112" s="191">
        <f t="shared" si="12"/>
        <v>66344.789999999994</v>
      </c>
      <c r="J112" s="189">
        <f t="shared" si="13"/>
        <v>1794.6499999999942</v>
      </c>
      <c r="K112" s="141"/>
      <c r="L112" s="135"/>
      <c r="M112" s="135"/>
      <c r="N112" s="135"/>
      <c r="O112" s="135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35"/>
      <c r="AC112" s="135"/>
      <c r="AD112" s="135"/>
    </row>
    <row r="113" spans="1:32" ht="1.5" customHeight="1" x14ac:dyDescent="0.2">
      <c r="A113" s="474">
        <v>44470</v>
      </c>
      <c r="B113" s="178">
        <v>2101.0500000000002</v>
      </c>
      <c r="C113" s="179">
        <v>65000</v>
      </c>
      <c r="D113" s="180">
        <f t="shared" si="4"/>
        <v>67101.05</v>
      </c>
      <c r="E113" s="179"/>
      <c r="F113" s="179"/>
      <c r="G113" s="179"/>
      <c r="H113" s="179"/>
      <c r="I113" s="191">
        <f t="shared" si="12"/>
        <v>67101.05</v>
      </c>
      <c r="J113" s="189">
        <f t="shared" si="13"/>
        <v>756.26000000000931</v>
      </c>
      <c r="K113" s="141"/>
      <c r="L113" s="135"/>
      <c r="M113" s="135"/>
      <c r="N113" s="135"/>
      <c r="O113" s="135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35"/>
      <c r="AC113" s="135"/>
      <c r="AD113" s="135"/>
    </row>
    <row r="114" spans="1:32" ht="1.5" customHeight="1" x14ac:dyDescent="0.2">
      <c r="A114" s="474">
        <v>44501</v>
      </c>
      <c r="B114" s="178">
        <v>3123.13</v>
      </c>
      <c r="C114" s="179">
        <v>65000</v>
      </c>
      <c r="D114" s="180">
        <f t="shared" si="4"/>
        <v>68123.13</v>
      </c>
      <c r="E114" s="179"/>
      <c r="F114" s="179"/>
      <c r="G114" s="179"/>
      <c r="H114" s="179"/>
      <c r="I114" s="191">
        <f t="shared" si="12"/>
        <v>68123.13</v>
      </c>
      <c r="J114" s="189">
        <f t="shared" si="13"/>
        <v>1022.0800000000017</v>
      </c>
      <c r="K114" s="141"/>
      <c r="L114" s="135"/>
      <c r="M114" s="135"/>
      <c r="N114" s="135"/>
      <c r="O114" s="135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35"/>
      <c r="AC114" s="135"/>
      <c r="AD114" s="135"/>
    </row>
    <row r="115" spans="1:32" s="146" customFormat="1" ht="1.5" customHeight="1" x14ac:dyDescent="0.1">
      <c r="A115" s="474">
        <v>44531</v>
      </c>
      <c r="B115" s="178">
        <v>3061.34</v>
      </c>
      <c r="C115" s="179">
        <v>65000</v>
      </c>
      <c r="D115" s="180">
        <f t="shared" si="4"/>
        <v>68061.34</v>
      </c>
      <c r="E115" s="179"/>
      <c r="F115" s="179"/>
      <c r="G115" s="179"/>
      <c r="H115" s="179"/>
      <c r="I115" s="191">
        <f t="shared" ref="I115:I121" si="14">B115+C115</f>
        <v>68061.34</v>
      </c>
      <c r="J115" s="189">
        <f t="shared" ref="J115:J121" si="15">I115-I114</f>
        <v>-61.790000000008149</v>
      </c>
      <c r="K115" s="144">
        <f>SUM(J104:J115)</f>
        <v>10416.129999999997</v>
      </c>
      <c r="L115" s="145"/>
      <c r="M115" s="145"/>
      <c r="N115" s="145"/>
      <c r="O115" s="145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5"/>
      <c r="AC115" s="145"/>
      <c r="AD115" s="145"/>
      <c r="AE115" s="145"/>
      <c r="AF115" s="145"/>
    </row>
    <row r="116" spans="1:32" s="146" customFormat="1" ht="1.5" customHeight="1" x14ac:dyDescent="0.1">
      <c r="A116" s="474">
        <v>44562</v>
      </c>
      <c r="B116" s="178">
        <v>3078.74</v>
      </c>
      <c r="C116" s="179">
        <v>65000</v>
      </c>
      <c r="D116" s="180">
        <f t="shared" si="4"/>
        <v>68078.740000000005</v>
      </c>
      <c r="E116" s="179"/>
      <c r="F116" s="179"/>
      <c r="G116" s="179"/>
      <c r="H116" s="179"/>
      <c r="I116" s="191">
        <f t="shared" si="14"/>
        <v>68078.740000000005</v>
      </c>
      <c r="J116" s="189">
        <f t="shared" si="15"/>
        <v>17.400000000008731</v>
      </c>
      <c r="K116" s="145"/>
      <c r="L116" s="145"/>
      <c r="M116" s="145"/>
      <c r="N116" s="145"/>
      <c r="O116" s="145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5"/>
      <c r="AC116" s="145"/>
      <c r="AD116" s="145"/>
      <c r="AE116" s="145"/>
      <c r="AF116" s="145"/>
    </row>
    <row r="117" spans="1:32" s="146" customFormat="1" ht="1.5" customHeight="1" x14ac:dyDescent="0.1">
      <c r="A117" s="474">
        <v>44593</v>
      </c>
      <c r="B117" s="178">
        <v>2101.13</v>
      </c>
      <c r="C117" s="179">
        <v>66000</v>
      </c>
      <c r="D117" s="180">
        <f t="shared" si="4"/>
        <v>68101.13</v>
      </c>
      <c r="E117" s="179"/>
      <c r="F117" s="179"/>
      <c r="G117" s="179"/>
      <c r="H117" s="179"/>
      <c r="I117" s="191">
        <f t="shared" si="14"/>
        <v>68101.13</v>
      </c>
      <c r="J117" s="189">
        <f t="shared" si="15"/>
        <v>22.389999999999418</v>
      </c>
      <c r="K117" s="145"/>
      <c r="L117" s="145"/>
      <c r="M117" s="145"/>
      <c r="N117" s="145"/>
      <c r="O117" s="145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5"/>
      <c r="AC117" s="145"/>
      <c r="AD117" s="145"/>
      <c r="AE117" s="145"/>
      <c r="AF117" s="145"/>
    </row>
    <row r="118" spans="1:32" s="146" customFormat="1" ht="1.5" customHeight="1" x14ac:dyDescent="0.1">
      <c r="A118" s="474">
        <v>44621</v>
      </c>
      <c r="B118" s="178">
        <v>2182.6999999999998</v>
      </c>
      <c r="C118" s="179">
        <v>66000</v>
      </c>
      <c r="D118" s="180">
        <f t="shared" si="4"/>
        <v>68182.7</v>
      </c>
      <c r="E118" s="179"/>
      <c r="F118" s="179"/>
      <c r="G118" s="179"/>
      <c r="H118" s="179"/>
      <c r="I118" s="191">
        <f t="shared" si="14"/>
        <v>68182.7</v>
      </c>
      <c r="J118" s="189">
        <f t="shared" si="15"/>
        <v>81.569999999992433</v>
      </c>
      <c r="K118" s="145"/>
      <c r="L118" s="145"/>
      <c r="M118" s="145"/>
      <c r="N118" s="145"/>
      <c r="O118" s="145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5"/>
      <c r="AC118" s="145"/>
      <c r="AD118" s="145"/>
      <c r="AE118" s="145"/>
      <c r="AF118" s="145"/>
    </row>
    <row r="119" spans="1:32" s="146" customFormat="1" ht="1.5" customHeight="1" x14ac:dyDescent="0.1">
      <c r="A119" s="474">
        <v>44652</v>
      </c>
      <c r="B119" s="178">
        <v>1431.28</v>
      </c>
      <c r="C119" s="179">
        <v>67000</v>
      </c>
      <c r="D119" s="180">
        <f t="shared" si="4"/>
        <v>68431.28</v>
      </c>
      <c r="E119" s="179"/>
      <c r="F119" s="179"/>
      <c r="G119" s="179"/>
      <c r="H119" s="179"/>
      <c r="I119" s="191">
        <f t="shared" si="14"/>
        <v>68431.28</v>
      </c>
      <c r="J119" s="189">
        <f t="shared" si="15"/>
        <v>248.58000000000175</v>
      </c>
      <c r="K119" s="145"/>
      <c r="L119" s="145"/>
      <c r="M119" s="145"/>
      <c r="N119" s="145"/>
      <c r="O119" s="145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5"/>
      <c r="AC119" s="145"/>
      <c r="AD119" s="145"/>
      <c r="AE119" s="145"/>
      <c r="AF119" s="145"/>
    </row>
    <row r="120" spans="1:32" s="146" customFormat="1" ht="1.5" customHeight="1" x14ac:dyDescent="0.1">
      <c r="A120" s="474">
        <v>44682</v>
      </c>
      <c r="B120" s="178">
        <v>1754.92</v>
      </c>
      <c r="C120" s="179">
        <v>68000</v>
      </c>
      <c r="D120" s="180">
        <f t="shared" si="4"/>
        <v>69754.92</v>
      </c>
      <c r="E120" s="179"/>
      <c r="F120" s="179"/>
      <c r="G120" s="179"/>
      <c r="H120" s="179"/>
      <c r="I120" s="191">
        <f t="shared" si="14"/>
        <v>69754.92</v>
      </c>
      <c r="J120" s="189">
        <f t="shared" si="15"/>
        <v>1323.6399999999994</v>
      </c>
      <c r="K120" s="145"/>
      <c r="L120" s="145"/>
      <c r="M120" s="145"/>
      <c r="N120" s="145"/>
      <c r="O120" s="145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5"/>
      <c r="AC120" s="145"/>
      <c r="AD120" s="145"/>
      <c r="AE120" s="145"/>
      <c r="AF120" s="145"/>
    </row>
    <row r="121" spans="1:32" s="146" customFormat="1" ht="1.5" customHeight="1" x14ac:dyDescent="0.1">
      <c r="A121" s="474">
        <v>44713</v>
      </c>
      <c r="B121" s="178">
        <v>1874.95</v>
      </c>
      <c r="C121" s="179">
        <v>69000</v>
      </c>
      <c r="D121" s="180">
        <f t="shared" si="4"/>
        <v>70874.95</v>
      </c>
      <c r="E121" s="179"/>
      <c r="F121" s="179"/>
      <c r="G121" s="179"/>
      <c r="H121" s="179"/>
      <c r="I121" s="191">
        <f t="shared" si="14"/>
        <v>70874.95</v>
      </c>
      <c r="J121" s="189">
        <f t="shared" si="15"/>
        <v>1120.0299999999988</v>
      </c>
      <c r="K121" s="145"/>
      <c r="L121" s="145"/>
      <c r="M121" s="145"/>
      <c r="N121" s="145"/>
      <c r="O121" s="145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5"/>
      <c r="AC121" s="145"/>
      <c r="AD121" s="145"/>
      <c r="AE121" s="145"/>
      <c r="AF121" s="145"/>
    </row>
    <row r="122" spans="1:32" s="146" customFormat="1" ht="1.5" customHeight="1" x14ac:dyDescent="0.1">
      <c r="A122" s="474">
        <v>44743</v>
      </c>
      <c r="B122" s="178">
        <v>1937.76</v>
      </c>
      <c r="C122" s="179">
        <v>71000</v>
      </c>
      <c r="D122" s="180">
        <f t="shared" si="4"/>
        <v>72937.759999999995</v>
      </c>
      <c r="E122" s="179">
        <v>0</v>
      </c>
      <c r="F122" s="179"/>
      <c r="G122" s="179"/>
      <c r="H122" s="179"/>
      <c r="I122" s="191">
        <f>B122+C122+E122</f>
        <v>72937.759999999995</v>
      </c>
      <c r="J122" s="189">
        <f>I122-I121</f>
        <v>2062.8099999999977</v>
      </c>
      <c r="K122" s="145"/>
      <c r="L122" s="145"/>
      <c r="M122" s="145"/>
      <c r="N122" s="145"/>
      <c r="O122" s="145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5"/>
      <c r="AC122" s="145"/>
      <c r="AD122" s="145"/>
      <c r="AE122" s="145"/>
      <c r="AF122" s="145"/>
    </row>
    <row r="123" spans="1:32" s="146" customFormat="1" ht="1.5" customHeight="1" x14ac:dyDescent="0.1">
      <c r="A123" s="474">
        <v>44774</v>
      </c>
      <c r="B123" s="178">
        <v>1287.57</v>
      </c>
      <c r="C123" s="179">
        <v>73000</v>
      </c>
      <c r="D123" s="180">
        <f>IFERROR(IF(ISBLANK(B123)=FALSE,B123,"")+IF(ISBLANK(C123)=FALSE,C123,""),"")</f>
        <v>74287.570000000007</v>
      </c>
      <c r="E123" s="179">
        <v>0</v>
      </c>
      <c r="F123" s="179"/>
      <c r="G123" s="179"/>
      <c r="H123" s="179"/>
      <c r="I123" s="191">
        <f>IFERROR(IF(ISBLANK(D123)=FALSE,D123,"")+IF(ISBLANK(E123)=FALSE,E123,""),"")</f>
        <v>74287.570000000007</v>
      </c>
      <c r="J123" s="189">
        <f t="shared" ref="J123:J124" si="16">I123-I122</f>
        <v>1349.8100000000122</v>
      </c>
      <c r="K123" s="145"/>
      <c r="L123" s="145"/>
      <c r="M123" s="145"/>
      <c r="N123" s="145"/>
      <c r="O123" s="145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5"/>
      <c r="AC123" s="145"/>
      <c r="AD123" s="145"/>
      <c r="AE123" s="145"/>
      <c r="AF123" s="145"/>
    </row>
    <row r="124" spans="1:32" s="146" customFormat="1" ht="1.5" customHeight="1" x14ac:dyDescent="0.1">
      <c r="A124" s="474">
        <v>44805</v>
      </c>
      <c r="B124" s="178">
        <v>1616.06</v>
      </c>
      <c r="C124" s="179">
        <v>72000</v>
      </c>
      <c r="D124" s="180">
        <f t="shared" ref="D124:D129" si="17">IFERROR(IF(ISBLANK(B124)=FALSE,B124,"")+IF(ISBLANK(C124)=FALSE,C124,""),"")</f>
        <v>73616.06</v>
      </c>
      <c r="E124" s="179">
        <v>2000</v>
      </c>
      <c r="F124" s="179"/>
      <c r="G124" s="179"/>
      <c r="H124" s="179"/>
      <c r="I124" s="191">
        <f t="shared" ref="I124:I129" si="18">IFERROR(IF(ISBLANK(D124)=FALSE,D124,"")+IF(ISBLANK(E124)=FALSE,E124,""),"")</f>
        <v>75616.06</v>
      </c>
      <c r="J124" s="189">
        <f t="shared" si="16"/>
        <v>1328.4899999999907</v>
      </c>
      <c r="K124" s="145"/>
      <c r="L124" s="145"/>
      <c r="M124" s="145"/>
      <c r="N124" s="145"/>
      <c r="O124" s="145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5"/>
      <c r="AC124" s="145"/>
      <c r="AD124" s="145"/>
      <c r="AE124" s="145"/>
      <c r="AF124" s="145"/>
    </row>
    <row r="125" spans="1:32" s="146" customFormat="1" ht="1.5" customHeight="1" x14ac:dyDescent="0.1">
      <c r="A125" s="474">
        <v>44835</v>
      </c>
      <c r="B125" s="178">
        <v>1952.45</v>
      </c>
      <c r="C125" s="179">
        <v>73000</v>
      </c>
      <c r="D125" s="180">
        <f t="shared" si="17"/>
        <v>74952.45</v>
      </c>
      <c r="E125" s="179">
        <v>2000</v>
      </c>
      <c r="F125" s="179"/>
      <c r="G125" s="179"/>
      <c r="H125" s="179"/>
      <c r="I125" s="191">
        <f t="shared" si="18"/>
        <v>76952.45</v>
      </c>
      <c r="J125" s="189">
        <f>IF(ISBLANK(I125)=FALSE,I125-I124,"")</f>
        <v>1336.3899999999994</v>
      </c>
      <c r="K125" s="144"/>
      <c r="L125" s="145"/>
      <c r="M125" s="145"/>
      <c r="N125" s="145"/>
      <c r="O125" s="145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5"/>
      <c r="AC125" s="145"/>
      <c r="AD125" s="145"/>
      <c r="AE125" s="145"/>
      <c r="AF125" s="145"/>
    </row>
    <row r="126" spans="1:32" s="146" customFormat="1" ht="1.5" customHeight="1" x14ac:dyDescent="0.1">
      <c r="A126" s="474">
        <v>44866</v>
      </c>
      <c r="B126" s="178">
        <v>1311.93</v>
      </c>
      <c r="C126" s="179">
        <v>75000</v>
      </c>
      <c r="D126" s="180">
        <f t="shared" si="17"/>
        <v>76311.929999999993</v>
      </c>
      <c r="E126" s="179">
        <v>2000</v>
      </c>
      <c r="F126" s="179"/>
      <c r="G126" s="179"/>
      <c r="H126" s="179"/>
      <c r="I126" s="191">
        <f t="shared" si="18"/>
        <v>78311.929999999993</v>
      </c>
      <c r="J126" s="189">
        <f>IFERROR(IF(ISBLANK(E126)=FALSE,E126,"")+IF(ISBLANK(I126)=FALSE,I126-I125-E126,""),"")</f>
        <v>1359.4799999999959</v>
      </c>
      <c r="K126" s="145"/>
      <c r="L126" s="145"/>
      <c r="M126" s="145"/>
      <c r="N126" s="145"/>
      <c r="O126" s="145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5"/>
      <c r="AC126" s="145"/>
      <c r="AD126" s="145"/>
      <c r="AE126" s="145"/>
      <c r="AF126" s="145"/>
    </row>
    <row r="127" spans="1:32" s="146" customFormat="1" ht="1.5" customHeight="1" x14ac:dyDescent="0.1">
      <c r="A127" s="474">
        <v>44896</v>
      </c>
      <c r="B127" s="178">
        <f>1143.24+10-11.99-1.42</f>
        <v>1139.83</v>
      </c>
      <c r="C127" s="179">
        <v>75000</v>
      </c>
      <c r="D127" s="180">
        <f t="shared" si="17"/>
        <v>76139.83</v>
      </c>
      <c r="E127" s="179">
        <v>5000</v>
      </c>
      <c r="F127" s="179"/>
      <c r="G127" s="179"/>
      <c r="H127" s="179"/>
      <c r="I127" s="191">
        <f t="shared" si="18"/>
        <v>81139.83</v>
      </c>
      <c r="J127" s="189">
        <f t="shared" ref="J127:J129" si="19">IFERROR(IF(ISBLANK(E127)=FALSE,E127,"")+IF(ISBLANK(I127)=FALSE,I127-I126-E127,""),"")</f>
        <v>2827.9000000000087</v>
      </c>
      <c r="K127" s="147">
        <f>SUM(J116:J127)</f>
        <v>13078.490000000005</v>
      </c>
      <c r="L127" s="145"/>
      <c r="M127" s="145"/>
      <c r="N127" s="145"/>
      <c r="O127" s="145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5"/>
      <c r="AC127" s="145"/>
      <c r="AD127" s="145"/>
      <c r="AE127" s="145"/>
      <c r="AF127" s="145"/>
    </row>
    <row r="128" spans="1:32" s="146" customFormat="1" ht="1.5" customHeight="1" x14ac:dyDescent="0.1">
      <c r="A128" s="474">
        <v>44927</v>
      </c>
      <c r="B128" s="178">
        <v>1418.23</v>
      </c>
      <c r="C128" s="179">
        <v>76000</v>
      </c>
      <c r="D128" s="180">
        <f t="shared" si="17"/>
        <v>77418.23</v>
      </c>
      <c r="E128" s="179">
        <v>5000</v>
      </c>
      <c r="F128" s="179"/>
      <c r="G128" s="179"/>
      <c r="H128" s="179"/>
      <c r="I128" s="191">
        <f t="shared" si="18"/>
        <v>82418.23</v>
      </c>
      <c r="J128" s="189">
        <f t="shared" si="19"/>
        <v>1278.3999999999942</v>
      </c>
      <c r="K128" s="145"/>
      <c r="L128" s="145"/>
      <c r="M128" s="145"/>
      <c r="N128" s="145"/>
      <c r="O128" s="145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5"/>
      <c r="AC128" s="145"/>
      <c r="AD128" s="145"/>
      <c r="AE128" s="145"/>
      <c r="AF128" s="145"/>
    </row>
    <row r="129" spans="1:32" s="146" customFormat="1" ht="1.5" customHeight="1" x14ac:dyDescent="0.1">
      <c r="A129" s="474">
        <v>44958</v>
      </c>
      <c r="B129" s="181">
        <v>1826.87</v>
      </c>
      <c r="C129" s="182">
        <v>77000</v>
      </c>
      <c r="D129" s="180">
        <f t="shared" si="17"/>
        <v>78826.87</v>
      </c>
      <c r="E129" s="182">
        <v>5000</v>
      </c>
      <c r="F129" s="182"/>
      <c r="G129" s="182"/>
      <c r="H129" s="182"/>
      <c r="I129" s="191">
        <f t="shared" si="18"/>
        <v>83826.87</v>
      </c>
      <c r="J129" s="189">
        <f t="shared" si="19"/>
        <v>1408.6399999999994</v>
      </c>
      <c r="K129" s="145"/>
      <c r="L129" s="145"/>
      <c r="M129" s="145"/>
      <c r="N129" s="145"/>
      <c r="O129" s="145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5"/>
      <c r="AC129" s="145"/>
      <c r="AD129" s="145"/>
      <c r="AE129" s="145"/>
      <c r="AF129" s="145"/>
    </row>
    <row r="130" spans="1:32" s="146" customFormat="1" ht="1.5" customHeight="1" x14ac:dyDescent="0.05">
      <c r="A130" s="474">
        <v>44986</v>
      </c>
      <c r="B130" s="178">
        <v>1188.76</v>
      </c>
      <c r="C130" s="179">
        <v>74000</v>
      </c>
      <c r="D130" s="180">
        <f t="shared" ref="D130:D139" si="20">IFERROR(IF(ISBLANK(B130)=FALSE,B130,"")+IF(ISBLANK(C130)=FALSE,C130,""),"")</f>
        <v>75188.759999999995</v>
      </c>
      <c r="E130" s="179">
        <v>10000</v>
      </c>
      <c r="F130" s="179"/>
      <c r="G130" s="179"/>
      <c r="H130" s="179"/>
      <c r="I130" s="191">
        <f t="shared" ref="I130:I133" si="21">IFERROR(IF(ISBLANK(D130)=FALSE,D130,"")+IF(ISBLANK(E130)=FALSE,E130,""),"")</f>
        <v>85188.76</v>
      </c>
      <c r="J130" s="189">
        <f t="shared" ref="J130:J139" si="22">IFERROR(IF(ISBLANK(E130)=FALSE,E130,"")+IF(ISBLANK(I130)=FALSE,I130-I129-E130,""),"")</f>
        <v>1361.8899999999994</v>
      </c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F130" s="145"/>
    </row>
    <row r="131" spans="1:32" s="146" customFormat="1" ht="1.5" customHeight="1" x14ac:dyDescent="0.05">
      <c r="A131" s="474">
        <v>45017</v>
      </c>
      <c r="B131" s="181">
        <f>1527.24-16.14</f>
        <v>1511.1</v>
      </c>
      <c r="C131" s="182">
        <v>75000</v>
      </c>
      <c r="D131" s="180">
        <f t="shared" si="20"/>
        <v>76511.100000000006</v>
      </c>
      <c r="E131" s="182">
        <v>10000</v>
      </c>
      <c r="F131" s="182"/>
      <c r="G131" s="182"/>
      <c r="H131" s="182"/>
      <c r="I131" s="191">
        <f t="shared" si="21"/>
        <v>86511.1</v>
      </c>
      <c r="J131" s="189">
        <f t="shared" si="22"/>
        <v>1322.3400000000111</v>
      </c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</row>
    <row r="132" spans="1:32" s="146" customFormat="1" ht="1.5" customHeight="1" x14ac:dyDescent="0.05">
      <c r="A132" s="474">
        <v>45047</v>
      </c>
      <c r="B132" s="178">
        <v>1687.39</v>
      </c>
      <c r="C132" s="179">
        <v>76000</v>
      </c>
      <c r="D132" s="180">
        <f t="shared" si="20"/>
        <v>77687.39</v>
      </c>
      <c r="E132" s="179">
        <v>10000</v>
      </c>
      <c r="F132" s="179"/>
      <c r="G132" s="179"/>
      <c r="H132" s="179"/>
      <c r="I132" s="191">
        <f t="shared" si="21"/>
        <v>87687.39</v>
      </c>
      <c r="J132" s="189">
        <f t="shared" si="22"/>
        <v>1176.2899999999936</v>
      </c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  <c r="AE132" s="145"/>
      <c r="AF132" s="145"/>
    </row>
    <row r="133" spans="1:32" s="146" customFormat="1" ht="1.5" customHeight="1" x14ac:dyDescent="0.05">
      <c r="A133" s="474">
        <v>45078</v>
      </c>
      <c r="B133" s="178">
        <f>1922.84-5-39.5-2.51</f>
        <v>1875.83</v>
      </c>
      <c r="C133" s="182">
        <v>72000</v>
      </c>
      <c r="D133" s="180">
        <f t="shared" si="20"/>
        <v>73875.83</v>
      </c>
      <c r="E133" s="182">
        <v>15000</v>
      </c>
      <c r="F133" s="182"/>
      <c r="G133" s="182"/>
      <c r="H133" s="182"/>
      <c r="I133" s="191">
        <f t="shared" si="21"/>
        <v>88875.83</v>
      </c>
      <c r="J133" s="189">
        <f>IFERROR(IF(ISBLANK(E133)=FALSE,E133,"")+IF(ISBLANK(I133)=FALSE,I133-I132-E133,""),"")</f>
        <v>1188.4400000000023</v>
      </c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  <c r="AE133" s="145"/>
      <c r="AF133" s="145"/>
    </row>
    <row r="134" spans="1:32" s="146" customFormat="1" ht="1.5" customHeight="1" x14ac:dyDescent="0.05">
      <c r="A134" s="474">
        <v>45108</v>
      </c>
      <c r="B134" s="178">
        <v>1560.58</v>
      </c>
      <c r="C134" s="179">
        <v>25000</v>
      </c>
      <c r="D134" s="180">
        <f t="shared" si="20"/>
        <v>26560.58</v>
      </c>
      <c r="E134" s="179">
        <v>1000</v>
      </c>
      <c r="F134" s="179">
        <v>34000</v>
      </c>
      <c r="G134" s="179">
        <v>30000</v>
      </c>
      <c r="H134" s="179"/>
      <c r="I134" s="191">
        <f t="shared" ref="I134:I136" si="23">IFERROR(IF(ISBLANK(D134)=FALSE,D134,"")+IF(ISBLANK(E134)=FALSE,E134,"")+IF(ISBLANK(F134)=FALSE,F134,"")+IF(ISBLANK(G134)=FALSE,G134,""),"")</f>
        <v>91560.58</v>
      </c>
      <c r="J134" s="189">
        <f t="shared" si="22"/>
        <v>2684.75</v>
      </c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  <c r="AE134" s="145"/>
      <c r="AF134" s="145"/>
    </row>
    <row r="135" spans="1:32" s="146" customFormat="1" ht="1.5" customHeight="1" x14ac:dyDescent="0.05">
      <c r="A135" s="474">
        <v>45139</v>
      </c>
      <c r="B135" s="181">
        <v>1810.41</v>
      </c>
      <c r="C135" s="182">
        <v>26000</v>
      </c>
      <c r="D135" s="180">
        <f t="shared" si="20"/>
        <v>27810.41</v>
      </c>
      <c r="E135" s="182">
        <v>1000</v>
      </c>
      <c r="F135" s="182">
        <v>34000</v>
      </c>
      <c r="G135" s="182">
        <v>30000</v>
      </c>
      <c r="H135" s="182"/>
      <c r="I135" s="191">
        <f t="shared" si="23"/>
        <v>92810.41</v>
      </c>
      <c r="J135" s="189">
        <f t="shared" si="22"/>
        <v>1249.8300000000017</v>
      </c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  <c r="AE135" s="145"/>
      <c r="AF135" s="145"/>
    </row>
    <row r="136" spans="1:32" s="146" customFormat="1" ht="1.5" customHeight="1" x14ac:dyDescent="0.05">
      <c r="A136" s="474">
        <v>45170</v>
      </c>
      <c r="B136" s="178">
        <v>2195.11</v>
      </c>
      <c r="C136" s="179">
        <v>27000</v>
      </c>
      <c r="D136" s="180">
        <f t="shared" si="20"/>
        <v>29195.11</v>
      </c>
      <c r="E136" s="179">
        <v>1000</v>
      </c>
      <c r="F136" s="182">
        <v>34000</v>
      </c>
      <c r="G136" s="182">
        <v>30000</v>
      </c>
      <c r="H136" s="182"/>
      <c r="I136" s="191">
        <f t="shared" si="23"/>
        <v>94195.11</v>
      </c>
      <c r="J136" s="189">
        <f t="shared" si="22"/>
        <v>1384.6999999999971</v>
      </c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  <c r="AE136" s="145"/>
      <c r="AF136" s="145"/>
    </row>
    <row r="137" spans="1:32" s="146" customFormat="1" ht="1.5" customHeight="1" x14ac:dyDescent="0.05">
      <c r="A137" s="474">
        <v>45200</v>
      </c>
      <c r="B137" s="181">
        <v>1449.22</v>
      </c>
      <c r="C137" s="182">
        <v>1000</v>
      </c>
      <c r="D137" s="180">
        <f t="shared" si="20"/>
        <v>2449.2200000000003</v>
      </c>
      <c r="E137" s="182">
        <v>1000</v>
      </c>
      <c r="F137" s="182">
        <v>34000</v>
      </c>
      <c r="G137" s="182">
        <v>30000</v>
      </c>
      <c r="H137" s="182">
        <v>28000</v>
      </c>
      <c r="I137" s="191">
        <f>IFERROR(IF(ISBLANK(D137)=FALSE,D137,"")+IF(ISBLANK(E137)=FALSE,E137,"")+IF(ISBLANK(F137)=FALSE,F137,"")+IF(ISBLANK(G137)=FALSE,G137,"")+IF(ISBLANK(H137)=FALSE,H137,""),"")</f>
        <v>95449.22</v>
      </c>
      <c r="J137" s="189">
        <f t="shared" si="22"/>
        <v>1254.1100000000006</v>
      </c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</row>
    <row r="138" spans="1:32" s="146" customFormat="1" ht="1.5" customHeight="1" x14ac:dyDescent="0.05">
      <c r="A138" s="474">
        <v>45231</v>
      </c>
      <c r="B138" s="178">
        <v>1067.4100000000001</v>
      </c>
      <c r="C138" s="179">
        <v>1000</v>
      </c>
      <c r="D138" s="180">
        <f t="shared" si="20"/>
        <v>2067.41</v>
      </c>
      <c r="E138" s="182">
        <v>1000</v>
      </c>
      <c r="F138" s="182">
        <v>34000</v>
      </c>
      <c r="G138" s="182">
        <v>30000</v>
      </c>
      <c r="H138" s="179">
        <v>30000</v>
      </c>
      <c r="I138" s="191">
        <f>IFERROR(IF(ISBLANK(D138)=FALSE,D138,"")+IF(ISBLANK(E138)=FALSE,E138,"")+IF(ISBLANK(F138)=FALSE,F138,"")+IF(ISBLANK(G138)=FALSE,G138,"")+IF(ISBLANK(H138)=FALSE,H138,""),"")</f>
        <v>97067.41</v>
      </c>
      <c r="J138" s="189">
        <f t="shared" si="22"/>
        <v>1618.1900000000023</v>
      </c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</row>
    <row r="139" spans="1:32" s="146" customFormat="1" ht="1.5" customHeight="1" x14ac:dyDescent="0.05">
      <c r="A139" s="474">
        <v>45261</v>
      </c>
      <c r="B139" s="181">
        <v>656.78</v>
      </c>
      <c r="C139" s="182">
        <v>0</v>
      </c>
      <c r="D139" s="180">
        <f t="shared" si="20"/>
        <v>656.78</v>
      </c>
      <c r="E139" s="182">
        <v>1000</v>
      </c>
      <c r="F139" s="182">
        <v>34000</v>
      </c>
      <c r="G139" s="182">
        <v>30000</v>
      </c>
      <c r="H139" s="182">
        <v>34000</v>
      </c>
      <c r="I139" s="191">
        <f t="shared" ref="I139:I151" si="24">IFERROR(IF(ISBLANK(D139)=FALSE,D139,"")+IF(ISBLANK(E139)=FALSE,E139,"")+IF(ISBLANK(F139)=FALSE,F139,"")+IF(ISBLANK(G139)=FALSE,G139,"")+IF(ISBLANK(H139)=FALSE,H139,""),"")</f>
        <v>99656.78</v>
      </c>
      <c r="J139" s="189">
        <f t="shared" si="22"/>
        <v>2589.3699999999953</v>
      </c>
      <c r="K139" s="147">
        <f>SUM(J128:J139)</f>
        <v>18516.949999999997</v>
      </c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  <c r="AE139" s="145"/>
      <c r="AF139" s="145"/>
    </row>
    <row r="140" spans="1:32" x14ac:dyDescent="0.2">
      <c r="A140" s="475">
        <v>45292</v>
      </c>
      <c r="B140" s="183">
        <v>1072.5</v>
      </c>
      <c r="C140" s="184">
        <v>0</v>
      </c>
      <c r="D140" s="185">
        <f t="shared" ref="D140:D151" si="25">IFERROR(IF(ISBLANK(B140)=FALSE,B140,"")+IF(ISBLANK(C140)=FALSE,C140,""),"")</f>
        <v>1072.5</v>
      </c>
      <c r="E140" s="184">
        <v>1000</v>
      </c>
      <c r="F140" s="184">
        <v>34000</v>
      </c>
      <c r="G140" s="184">
        <v>30000</v>
      </c>
      <c r="H140" s="184">
        <v>35000</v>
      </c>
      <c r="I140" s="192">
        <f t="shared" si="24"/>
        <v>101072.5</v>
      </c>
      <c r="J140" s="190">
        <f t="shared" ref="J140:J151" si="26">IFERROR(IF(ISBLANK(E140)=FALSE,E140,"")+IF(ISBLANK(I140)=FALSE,I140-I139-E140,""),"")</f>
        <v>1415.7200000000012</v>
      </c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</row>
    <row r="141" spans="1:32" x14ac:dyDescent="0.2">
      <c r="A141" s="475">
        <v>45323</v>
      </c>
      <c r="B141" s="183">
        <f>1084.15-6.7-200-0.72</f>
        <v>876.73</v>
      </c>
      <c r="C141" s="184">
        <v>0</v>
      </c>
      <c r="D141" s="185">
        <f t="shared" si="25"/>
        <v>876.73</v>
      </c>
      <c r="E141" s="184">
        <v>500</v>
      </c>
      <c r="F141" s="184">
        <v>34000</v>
      </c>
      <c r="G141" s="184">
        <v>30000</v>
      </c>
      <c r="H141" s="184">
        <v>37000</v>
      </c>
      <c r="I141" s="192">
        <f t="shared" si="24"/>
        <v>102376.73000000001</v>
      </c>
      <c r="J141" s="190">
        <f t="shared" si="26"/>
        <v>1304.2300000000105</v>
      </c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</row>
    <row r="142" spans="1:32" x14ac:dyDescent="0.2">
      <c r="A142" s="475">
        <v>45352</v>
      </c>
      <c r="B142" s="183">
        <v>1140.4000000000001</v>
      </c>
      <c r="C142" s="184">
        <v>0</v>
      </c>
      <c r="D142" s="185">
        <f t="shared" si="25"/>
        <v>1140.4000000000001</v>
      </c>
      <c r="E142" s="184">
        <v>500</v>
      </c>
      <c r="F142" s="184">
        <v>34000</v>
      </c>
      <c r="G142" s="184">
        <v>30000</v>
      </c>
      <c r="H142" s="184">
        <v>38000</v>
      </c>
      <c r="I142" s="192">
        <f t="shared" si="24"/>
        <v>103640.4</v>
      </c>
      <c r="J142" s="190">
        <f t="shared" si="26"/>
        <v>1263.6699999999837</v>
      </c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</row>
    <row r="143" spans="1:32" x14ac:dyDescent="0.2">
      <c r="A143" s="475">
        <v>45383</v>
      </c>
      <c r="B143" s="183">
        <f>1113.35-17.59</f>
        <v>1095.76</v>
      </c>
      <c r="C143" s="184">
        <v>0</v>
      </c>
      <c r="D143" s="185">
        <f t="shared" si="25"/>
        <v>1095.76</v>
      </c>
      <c r="E143" s="184">
        <v>0</v>
      </c>
      <c r="F143" s="184">
        <v>34000</v>
      </c>
      <c r="G143" s="184">
        <v>30000</v>
      </c>
      <c r="H143" s="184">
        <v>40500</v>
      </c>
      <c r="I143" s="192">
        <f t="shared" si="24"/>
        <v>105595.76000000001</v>
      </c>
      <c r="J143" s="190">
        <f t="shared" si="26"/>
        <v>1955.3600000000151</v>
      </c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</row>
    <row r="144" spans="1:32" s="135" customFormat="1" x14ac:dyDescent="0.2">
      <c r="A144" s="475">
        <v>45413</v>
      </c>
      <c r="B144" s="183">
        <v>1056.05</v>
      </c>
      <c r="C144" s="184">
        <v>0</v>
      </c>
      <c r="D144" s="185">
        <f t="shared" si="25"/>
        <v>1056.05</v>
      </c>
      <c r="E144" s="184">
        <v>0</v>
      </c>
      <c r="F144" s="184">
        <v>34000</v>
      </c>
      <c r="G144" s="184">
        <v>30000</v>
      </c>
      <c r="H144" s="184">
        <v>42000</v>
      </c>
      <c r="I144" s="192">
        <f t="shared" si="24"/>
        <v>107056.05</v>
      </c>
      <c r="J144" s="190">
        <f t="shared" si="26"/>
        <v>1460.2899999999936</v>
      </c>
    </row>
    <row r="145" spans="1:10" s="135" customFormat="1" x14ac:dyDescent="0.2">
      <c r="A145" s="475">
        <v>45444</v>
      </c>
      <c r="B145" s="183">
        <v>1082.82</v>
      </c>
      <c r="C145" s="184">
        <v>0</v>
      </c>
      <c r="D145" s="185">
        <f t="shared" si="25"/>
        <v>1082.82</v>
      </c>
      <c r="E145" s="184">
        <v>0</v>
      </c>
      <c r="F145" s="184">
        <v>300</v>
      </c>
      <c r="G145" s="184">
        <v>0</v>
      </c>
      <c r="H145" s="184">
        <v>106500</v>
      </c>
      <c r="I145" s="192">
        <f t="shared" si="24"/>
        <v>107882.82</v>
      </c>
      <c r="J145" s="190">
        <f t="shared" si="26"/>
        <v>826.77000000000407</v>
      </c>
    </row>
    <row r="146" spans="1:10" s="135" customFormat="1" x14ac:dyDescent="0.2">
      <c r="A146" s="475">
        <v>45474</v>
      </c>
      <c r="B146" s="183">
        <v>1230.75</v>
      </c>
      <c r="C146" s="184">
        <v>0</v>
      </c>
      <c r="D146" s="185">
        <f t="shared" si="25"/>
        <v>1230.75</v>
      </c>
      <c r="E146" s="184">
        <v>0</v>
      </c>
      <c r="F146" s="184">
        <v>0</v>
      </c>
      <c r="G146" s="184">
        <v>0</v>
      </c>
      <c r="H146" s="184">
        <v>109500</v>
      </c>
      <c r="I146" s="192">
        <f t="shared" si="24"/>
        <v>110730.75</v>
      </c>
      <c r="J146" s="190">
        <f t="shared" si="26"/>
        <v>2847.929999999993</v>
      </c>
    </row>
    <row r="147" spans="1:10" s="135" customFormat="1" x14ac:dyDescent="0.2">
      <c r="A147" s="475">
        <v>45505</v>
      </c>
      <c r="B147" s="183">
        <v>787.19</v>
      </c>
      <c r="C147" s="184">
        <v>0</v>
      </c>
      <c r="D147" s="185">
        <f t="shared" si="25"/>
        <v>787.19</v>
      </c>
      <c r="E147" s="184">
        <v>0</v>
      </c>
      <c r="F147" s="184">
        <v>0</v>
      </c>
      <c r="G147" s="184">
        <v>0</v>
      </c>
      <c r="H147" s="184">
        <f>111000+700+460+500</f>
        <v>112660</v>
      </c>
      <c r="I147" s="192">
        <f t="shared" si="24"/>
        <v>113447.19</v>
      </c>
      <c r="J147" s="190">
        <f t="shared" si="26"/>
        <v>2716.4400000000023</v>
      </c>
    </row>
    <row r="148" spans="1:10" s="135" customFormat="1" x14ac:dyDescent="0.2">
      <c r="A148" s="475">
        <v>45536</v>
      </c>
      <c r="B148" s="183">
        <f>1339.13</f>
        <v>1339.13</v>
      </c>
      <c r="C148" s="184">
        <v>0</v>
      </c>
      <c r="D148" s="185">
        <f t="shared" si="25"/>
        <v>1339.13</v>
      </c>
      <c r="E148" s="184">
        <v>0</v>
      </c>
      <c r="F148" s="184">
        <v>0</v>
      </c>
      <c r="G148" s="184">
        <v>0</v>
      </c>
      <c r="H148" s="184">
        <v>113660</v>
      </c>
      <c r="I148" s="192">
        <f t="shared" si="24"/>
        <v>114999.13</v>
      </c>
      <c r="J148" s="190">
        <f t="shared" si="26"/>
        <v>1551.9400000000023</v>
      </c>
    </row>
    <row r="149" spans="1:10" s="135" customFormat="1" x14ac:dyDescent="0.2">
      <c r="A149" s="475">
        <v>45566</v>
      </c>
      <c r="B149" s="183">
        <v>215.84</v>
      </c>
      <c r="C149" s="184">
        <v>0</v>
      </c>
      <c r="D149" s="185">
        <f t="shared" si="25"/>
        <v>215.84</v>
      </c>
      <c r="E149" s="184">
        <v>0</v>
      </c>
      <c r="F149" s="184">
        <v>0</v>
      </c>
      <c r="G149" s="184">
        <v>0</v>
      </c>
      <c r="H149" s="184">
        <v>116500</v>
      </c>
      <c r="I149" s="192">
        <f t="shared" si="24"/>
        <v>116715.84</v>
      </c>
      <c r="J149" s="190">
        <f t="shared" si="26"/>
        <v>1716.7099999999919</v>
      </c>
    </row>
    <row r="150" spans="1:10" s="135" customFormat="1" x14ac:dyDescent="0.2">
      <c r="A150" s="475">
        <v>45597</v>
      </c>
      <c r="B150" s="183">
        <v>683.08</v>
      </c>
      <c r="C150" s="184">
        <v>0</v>
      </c>
      <c r="D150" s="185">
        <f t="shared" si="25"/>
        <v>683.08</v>
      </c>
      <c r="E150" s="184">
        <v>0</v>
      </c>
      <c r="F150" s="184">
        <v>0</v>
      </c>
      <c r="G150" s="184">
        <v>0</v>
      </c>
      <c r="H150" s="184">
        <v>123500</v>
      </c>
      <c r="I150" s="192">
        <f t="shared" si="24"/>
        <v>124183.08</v>
      </c>
      <c r="J150" s="190">
        <f t="shared" si="26"/>
        <v>7467.2400000000052</v>
      </c>
    </row>
    <row r="151" spans="1:10" s="135" customFormat="1" x14ac:dyDescent="0.2">
      <c r="A151" s="475">
        <v>45627</v>
      </c>
      <c r="B151" s="183">
        <v>932.17</v>
      </c>
      <c r="C151" s="184">
        <v>0</v>
      </c>
      <c r="D151" s="185">
        <f t="shared" si="25"/>
        <v>932.17</v>
      </c>
      <c r="E151" s="184">
        <v>0</v>
      </c>
      <c r="F151" s="184">
        <v>0</v>
      </c>
      <c r="G151" s="184">
        <v>0</v>
      </c>
      <c r="H151" s="184">
        <v>126500</v>
      </c>
      <c r="I151" s="192">
        <f t="shared" si="24"/>
        <v>127432.17</v>
      </c>
      <c r="J151" s="190">
        <f t="shared" si="26"/>
        <v>3249.0899999999965</v>
      </c>
    </row>
    <row r="152" spans="1:10" s="135" customFormat="1" x14ac:dyDescent="0.2">
      <c r="A152" s="475">
        <v>45658</v>
      </c>
      <c r="B152" s="183">
        <v>928.01</v>
      </c>
      <c r="C152" s="184">
        <v>0</v>
      </c>
      <c r="D152" s="185">
        <f t="shared" ref="D152:D163" si="27">IFERROR(IF(ISBLANK(B152)=FALSE,B152,"")+IF(ISBLANK(C152)=FALSE,C152,""),"")</f>
        <v>928.01</v>
      </c>
      <c r="E152" s="184">
        <v>0</v>
      </c>
      <c r="F152" s="184">
        <v>0</v>
      </c>
      <c r="G152" s="184">
        <v>50000</v>
      </c>
      <c r="H152" s="184">
        <v>78000</v>
      </c>
      <c r="I152" s="192">
        <f t="shared" ref="I152:I163" si="28">IFERROR(IF(ISBLANK(D152)=FALSE,D152,"")+IF(ISBLANK(E152)=FALSE,E152,"")+IF(ISBLANK(F152)=FALSE,F152,"")+IF(ISBLANK(G152)=FALSE,G152,"")+IF(ISBLANK(H152)=FALSE,H152,""),"")</f>
        <v>128928.01000000001</v>
      </c>
      <c r="J152" s="190">
        <f t="shared" ref="J152:J163" si="29">IFERROR(IF(ISBLANK(E152)=FALSE,E152,"")+IF(ISBLANK(I152)=FALSE,I152-I151-E152,""),"")</f>
        <v>1495.8400000000111</v>
      </c>
    </row>
    <row r="153" spans="1:10" s="135" customFormat="1" x14ac:dyDescent="0.2">
      <c r="A153" s="475">
        <v>45689</v>
      </c>
      <c r="B153" s="183">
        <v>400.35</v>
      </c>
      <c r="C153" s="184">
        <v>0</v>
      </c>
      <c r="D153" s="185">
        <f t="shared" si="27"/>
        <v>400.35</v>
      </c>
      <c r="E153" s="184">
        <v>0</v>
      </c>
      <c r="F153" s="184">
        <v>0</v>
      </c>
      <c r="G153" s="184">
        <v>50000</v>
      </c>
      <c r="H153" s="184">
        <v>81000</v>
      </c>
      <c r="I153" s="192">
        <f t="shared" si="28"/>
        <v>131400.35</v>
      </c>
      <c r="J153" s="190">
        <f t="shared" si="29"/>
        <v>2472.3399999999965</v>
      </c>
    </row>
    <row r="154" spans="1:10" s="135" customFormat="1" x14ac:dyDescent="0.2">
      <c r="A154" s="475">
        <v>45717</v>
      </c>
      <c r="B154" s="183">
        <v>350.28</v>
      </c>
      <c r="C154" s="184">
        <v>0</v>
      </c>
      <c r="D154" s="185">
        <f t="shared" si="27"/>
        <v>350.28</v>
      </c>
      <c r="E154" s="184">
        <v>0</v>
      </c>
      <c r="F154" s="184">
        <v>0</v>
      </c>
      <c r="G154" s="184">
        <v>0</v>
      </c>
      <c r="H154" s="184">
        <v>132000</v>
      </c>
      <c r="I154" s="192">
        <f t="shared" si="28"/>
        <v>132350.28</v>
      </c>
      <c r="J154" s="190">
        <f t="shared" si="29"/>
        <v>949.92999999999302</v>
      </c>
    </row>
    <row r="155" spans="1:10" s="135" customFormat="1" x14ac:dyDescent="0.2">
      <c r="A155" s="475">
        <v>45748</v>
      </c>
      <c r="B155" s="183">
        <v>684.82</v>
      </c>
      <c r="C155" s="184">
        <v>0</v>
      </c>
      <c r="D155" s="185">
        <f t="shared" si="27"/>
        <v>684.82</v>
      </c>
      <c r="E155" s="184">
        <v>0</v>
      </c>
      <c r="F155" s="184">
        <v>0</v>
      </c>
      <c r="G155" s="184">
        <v>0</v>
      </c>
      <c r="H155" s="184">
        <v>133500</v>
      </c>
      <c r="I155" s="192">
        <f t="shared" si="28"/>
        <v>134184.82</v>
      </c>
      <c r="J155" s="190">
        <f t="shared" si="29"/>
        <v>1834.5400000000081</v>
      </c>
    </row>
    <row r="156" spans="1:10" s="135" customFormat="1" x14ac:dyDescent="0.2">
      <c r="A156" s="475">
        <v>45778</v>
      </c>
      <c r="B156" s="183"/>
      <c r="C156" s="184">
        <v>0</v>
      </c>
      <c r="D156" s="185" t="str">
        <f t="shared" si="27"/>
        <v/>
      </c>
      <c r="E156" s="184">
        <v>0</v>
      </c>
      <c r="F156" s="184">
        <v>0</v>
      </c>
      <c r="G156" s="184"/>
      <c r="H156" s="184"/>
      <c r="I156" s="192" t="str">
        <f t="shared" si="28"/>
        <v/>
      </c>
      <c r="J156" s="190" t="str">
        <f t="shared" si="29"/>
        <v/>
      </c>
    </row>
    <row r="157" spans="1:10" s="135" customFormat="1" x14ac:dyDescent="0.2">
      <c r="A157" s="475">
        <v>45809</v>
      </c>
      <c r="B157" s="183"/>
      <c r="C157" s="184">
        <v>0</v>
      </c>
      <c r="D157" s="185" t="str">
        <f t="shared" si="27"/>
        <v/>
      </c>
      <c r="E157" s="184">
        <v>0</v>
      </c>
      <c r="F157" s="184">
        <v>0</v>
      </c>
      <c r="G157" s="184"/>
      <c r="H157" s="184"/>
      <c r="I157" s="192" t="str">
        <f t="shared" si="28"/>
        <v/>
      </c>
      <c r="J157" s="190" t="str">
        <f t="shared" si="29"/>
        <v/>
      </c>
    </row>
    <row r="158" spans="1:10" s="135" customFormat="1" x14ac:dyDescent="0.2">
      <c r="A158" s="475">
        <v>45839</v>
      </c>
      <c r="B158" s="183"/>
      <c r="C158" s="184">
        <v>0</v>
      </c>
      <c r="D158" s="185" t="str">
        <f t="shared" si="27"/>
        <v/>
      </c>
      <c r="E158" s="184">
        <v>0</v>
      </c>
      <c r="F158" s="184">
        <v>0</v>
      </c>
      <c r="G158" s="184"/>
      <c r="H158" s="184"/>
      <c r="I158" s="192" t="str">
        <f t="shared" si="28"/>
        <v/>
      </c>
      <c r="J158" s="190" t="str">
        <f t="shared" si="29"/>
        <v/>
      </c>
    </row>
    <row r="159" spans="1:10" s="135" customFormat="1" x14ac:dyDescent="0.2">
      <c r="A159" s="475">
        <v>45870</v>
      </c>
      <c r="B159" s="183"/>
      <c r="C159" s="184">
        <v>0</v>
      </c>
      <c r="D159" s="185" t="str">
        <f t="shared" si="27"/>
        <v/>
      </c>
      <c r="E159" s="184">
        <v>0</v>
      </c>
      <c r="F159" s="184">
        <v>0</v>
      </c>
      <c r="G159" s="184"/>
      <c r="H159" s="184"/>
      <c r="I159" s="192" t="str">
        <f t="shared" si="28"/>
        <v/>
      </c>
      <c r="J159" s="190" t="str">
        <f t="shared" si="29"/>
        <v/>
      </c>
    </row>
    <row r="160" spans="1:10" s="135" customFormat="1" x14ac:dyDescent="0.2">
      <c r="A160" s="475">
        <v>45901</v>
      </c>
      <c r="B160" s="183"/>
      <c r="C160" s="184">
        <v>0</v>
      </c>
      <c r="D160" s="185" t="str">
        <f t="shared" si="27"/>
        <v/>
      </c>
      <c r="E160" s="184">
        <v>0</v>
      </c>
      <c r="F160" s="184">
        <v>0</v>
      </c>
      <c r="G160" s="184"/>
      <c r="H160" s="184"/>
      <c r="I160" s="192" t="str">
        <f t="shared" si="28"/>
        <v/>
      </c>
      <c r="J160" s="190" t="str">
        <f t="shared" si="29"/>
        <v/>
      </c>
    </row>
    <row r="161" spans="1:10" s="135" customFormat="1" x14ac:dyDescent="0.2">
      <c r="A161" s="475">
        <v>45931</v>
      </c>
      <c r="B161" s="183"/>
      <c r="C161" s="184">
        <v>0</v>
      </c>
      <c r="D161" s="185" t="str">
        <f t="shared" si="27"/>
        <v/>
      </c>
      <c r="E161" s="184">
        <v>0</v>
      </c>
      <c r="F161" s="184">
        <v>0</v>
      </c>
      <c r="G161" s="184"/>
      <c r="H161" s="184"/>
      <c r="I161" s="192" t="str">
        <f t="shared" si="28"/>
        <v/>
      </c>
      <c r="J161" s="190" t="str">
        <f t="shared" si="29"/>
        <v/>
      </c>
    </row>
    <row r="162" spans="1:10" s="135" customFormat="1" x14ac:dyDescent="0.2">
      <c r="A162" s="475">
        <v>45962</v>
      </c>
      <c r="B162" s="183"/>
      <c r="C162" s="184">
        <v>0</v>
      </c>
      <c r="D162" s="185" t="str">
        <f t="shared" si="27"/>
        <v/>
      </c>
      <c r="E162" s="184">
        <v>0</v>
      </c>
      <c r="F162" s="184">
        <v>0</v>
      </c>
      <c r="G162" s="184"/>
      <c r="H162" s="184"/>
      <c r="I162" s="192" t="str">
        <f t="shared" si="28"/>
        <v/>
      </c>
      <c r="J162" s="190" t="str">
        <f t="shared" si="29"/>
        <v/>
      </c>
    </row>
    <row r="163" spans="1:10" s="135" customFormat="1" x14ac:dyDescent="0.2">
      <c r="A163" s="475">
        <v>45992</v>
      </c>
      <c r="B163" s="183"/>
      <c r="C163" s="184">
        <v>0</v>
      </c>
      <c r="D163" s="185" t="str">
        <f t="shared" si="27"/>
        <v/>
      </c>
      <c r="E163" s="184">
        <v>0</v>
      </c>
      <c r="F163" s="184">
        <v>0</v>
      </c>
      <c r="G163" s="184"/>
      <c r="H163" s="184"/>
      <c r="I163" s="192" t="str">
        <f t="shared" si="28"/>
        <v/>
      </c>
      <c r="J163" s="190" t="str">
        <f t="shared" si="29"/>
        <v/>
      </c>
    </row>
    <row r="164" spans="1:10" s="135" customFormat="1" x14ac:dyDescent="0.2">
      <c r="A164" s="167"/>
      <c r="B164" s="167"/>
      <c r="C164" s="167"/>
      <c r="D164" s="167"/>
      <c r="E164" s="167"/>
      <c r="F164" s="167"/>
      <c r="G164" s="167"/>
      <c r="H164" s="167"/>
      <c r="I164" s="167"/>
      <c r="J164" s="168"/>
    </row>
    <row r="165" spans="1:10" s="135" customFormat="1" x14ac:dyDescent="0.2">
      <c r="A165" s="167"/>
      <c r="B165" s="167"/>
      <c r="C165" s="167"/>
      <c r="D165" s="167"/>
      <c r="E165" s="167"/>
      <c r="F165" s="167"/>
      <c r="G165" s="167"/>
      <c r="H165" s="167"/>
      <c r="I165" s="167"/>
      <c r="J165" s="168"/>
    </row>
    <row r="166" spans="1:10" s="135" customFormat="1" x14ac:dyDescent="0.2">
      <c r="A166" s="167"/>
      <c r="B166" s="167"/>
      <c r="C166" s="167"/>
      <c r="D166" s="167"/>
      <c r="E166" s="167"/>
      <c r="F166" s="167"/>
      <c r="G166" s="167"/>
      <c r="H166" s="167"/>
      <c r="I166" s="167"/>
      <c r="J166" s="168"/>
    </row>
    <row r="167" spans="1:10" s="135" customFormat="1" x14ac:dyDescent="0.2">
      <c r="A167" s="167"/>
      <c r="B167" s="167"/>
      <c r="C167" s="167"/>
      <c r="D167" s="167"/>
      <c r="E167" s="167"/>
      <c r="F167" s="167"/>
      <c r="G167" s="167"/>
      <c r="H167" s="167"/>
      <c r="I167" s="167"/>
      <c r="J167" s="168"/>
    </row>
    <row r="168" spans="1:10" s="135" customFormat="1" x14ac:dyDescent="0.2">
      <c r="A168" s="167"/>
      <c r="B168" s="167"/>
      <c r="C168" s="167"/>
      <c r="D168" s="167"/>
      <c r="E168" s="167"/>
      <c r="F168" s="167"/>
      <c r="G168" s="167"/>
      <c r="H168" s="167"/>
      <c r="I168" s="167"/>
      <c r="J168" s="168"/>
    </row>
    <row r="169" spans="1:10" s="135" customFormat="1" x14ac:dyDescent="0.2">
      <c r="A169" s="167"/>
      <c r="B169" s="167"/>
      <c r="C169" s="167"/>
      <c r="D169" s="167"/>
      <c r="E169" s="167"/>
      <c r="F169" s="167"/>
      <c r="G169" s="167"/>
      <c r="H169" s="167"/>
      <c r="I169" s="167"/>
      <c r="J169" s="168"/>
    </row>
    <row r="170" spans="1:10" s="135" customFormat="1" x14ac:dyDescent="0.2">
      <c r="A170" s="167"/>
      <c r="B170" s="167"/>
      <c r="C170" s="167"/>
      <c r="D170" s="167"/>
      <c r="E170" s="167"/>
      <c r="F170" s="167"/>
      <c r="G170" s="167"/>
      <c r="H170" s="167"/>
      <c r="I170" s="167"/>
      <c r="J170" s="168"/>
    </row>
    <row r="171" spans="1:10" s="135" customFormat="1" x14ac:dyDescent="0.2">
      <c r="A171" s="167"/>
      <c r="B171" s="167"/>
      <c r="C171" s="167"/>
      <c r="D171" s="167"/>
      <c r="E171" s="167"/>
      <c r="F171" s="167"/>
      <c r="G171" s="167"/>
      <c r="H171" s="167"/>
      <c r="I171" s="167"/>
      <c r="J171" s="168"/>
    </row>
    <row r="172" spans="1:10" s="135" customFormat="1" x14ac:dyDescent="0.2">
      <c r="A172" s="167"/>
      <c r="B172" s="167"/>
      <c r="C172" s="167"/>
      <c r="D172" s="167"/>
      <c r="E172" s="167"/>
      <c r="F172" s="167"/>
      <c r="G172" s="167"/>
      <c r="H172" s="167"/>
      <c r="I172" s="167"/>
      <c r="J172" s="168"/>
    </row>
    <row r="173" spans="1:10" s="135" customFormat="1" x14ac:dyDescent="0.2">
      <c r="A173" s="167"/>
      <c r="B173" s="167"/>
      <c r="C173" s="167"/>
      <c r="D173" s="167"/>
      <c r="E173" s="167"/>
      <c r="F173" s="167"/>
      <c r="G173" s="167"/>
      <c r="H173" s="167"/>
      <c r="I173" s="167"/>
      <c r="J173" s="168"/>
    </row>
    <row r="174" spans="1:10" s="135" customFormat="1" x14ac:dyDescent="0.2">
      <c r="A174" s="167"/>
      <c r="B174" s="167"/>
      <c r="C174" s="167"/>
      <c r="D174" s="167"/>
      <c r="E174" s="167"/>
      <c r="F174" s="167"/>
      <c r="G174" s="167"/>
      <c r="H174" s="167"/>
      <c r="I174" s="167"/>
      <c r="J174" s="168"/>
    </row>
    <row r="175" spans="1:10" s="135" customFormat="1" x14ac:dyDescent="0.2">
      <c r="A175" s="167"/>
      <c r="B175" s="167"/>
      <c r="C175" s="167"/>
      <c r="D175" s="167"/>
      <c r="E175" s="167"/>
      <c r="F175" s="167"/>
      <c r="G175" s="167"/>
      <c r="H175" s="167"/>
      <c r="I175" s="167"/>
      <c r="J175" s="168"/>
    </row>
    <row r="176" spans="1:10" s="135" customFormat="1" x14ac:dyDescent="0.2">
      <c r="A176" s="167"/>
      <c r="B176" s="167"/>
      <c r="C176" s="167"/>
      <c r="D176" s="167"/>
      <c r="E176" s="167"/>
      <c r="F176" s="167"/>
      <c r="G176" s="167"/>
      <c r="H176" s="167"/>
      <c r="I176" s="167"/>
      <c r="J176" s="168"/>
    </row>
    <row r="177" spans="1:10" s="135" customFormat="1" x14ac:dyDescent="0.2">
      <c r="A177" s="167"/>
      <c r="B177" s="167"/>
      <c r="C177" s="167"/>
      <c r="D177" s="167"/>
      <c r="E177" s="167"/>
      <c r="F177" s="167"/>
      <c r="G177" s="167"/>
      <c r="H177" s="167"/>
      <c r="I177" s="167"/>
      <c r="J177" s="168"/>
    </row>
    <row r="178" spans="1:10" s="135" customFormat="1" x14ac:dyDescent="0.2">
      <c r="A178" s="167"/>
      <c r="B178" s="167"/>
      <c r="C178" s="167"/>
      <c r="D178" s="167"/>
      <c r="E178" s="167"/>
      <c r="F178" s="167"/>
      <c r="G178" s="167"/>
      <c r="H178" s="167"/>
      <c r="I178" s="167"/>
      <c r="J178" s="168"/>
    </row>
    <row r="179" spans="1:10" s="135" customFormat="1" x14ac:dyDescent="0.2">
      <c r="A179" s="167"/>
      <c r="B179" s="167"/>
      <c r="C179" s="167"/>
      <c r="D179" s="167"/>
      <c r="E179" s="167"/>
      <c r="F179" s="167"/>
      <c r="G179" s="167"/>
      <c r="H179" s="167"/>
      <c r="I179" s="167"/>
      <c r="J179" s="168"/>
    </row>
    <row r="180" spans="1:10" s="135" customFormat="1" x14ac:dyDescent="0.2">
      <c r="A180" s="167"/>
      <c r="B180" s="167"/>
      <c r="C180" s="167"/>
      <c r="D180" s="167"/>
      <c r="E180" s="167"/>
      <c r="F180" s="167"/>
      <c r="G180" s="167"/>
      <c r="H180" s="167"/>
      <c r="I180" s="167"/>
      <c r="J180" s="168"/>
    </row>
    <row r="181" spans="1:10" s="135" customFormat="1" x14ac:dyDescent="0.2">
      <c r="A181" s="167"/>
      <c r="B181" s="167"/>
      <c r="C181" s="167"/>
      <c r="D181" s="167"/>
      <c r="E181" s="167"/>
      <c r="F181" s="167"/>
      <c r="G181" s="167"/>
      <c r="H181" s="167"/>
      <c r="I181" s="167"/>
      <c r="J181" s="168"/>
    </row>
    <row r="182" spans="1:10" s="135" customFormat="1" x14ac:dyDescent="0.2">
      <c r="A182" s="167"/>
      <c r="B182" s="167"/>
      <c r="C182" s="167"/>
      <c r="D182" s="167"/>
      <c r="E182" s="167"/>
      <c r="F182" s="167"/>
      <c r="G182" s="167"/>
      <c r="H182" s="167"/>
      <c r="I182" s="167"/>
      <c r="J182" s="168"/>
    </row>
    <row r="183" spans="1:10" s="135" customFormat="1" x14ac:dyDescent="0.2">
      <c r="A183" s="167"/>
      <c r="B183" s="167"/>
      <c r="C183" s="167"/>
      <c r="D183" s="167"/>
      <c r="E183" s="167"/>
      <c r="F183" s="167"/>
      <c r="G183" s="167"/>
      <c r="H183" s="167"/>
      <c r="I183" s="167"/>
      <c r="J183" s="168"/>
    </row>
    <row r="184" spans="1:10" s="135" customFormat="1" x14ac:dyDescent="0.2">
      <c r="A184" s="167"/>
      <c r="B184" s="167"/>
      <c r="C184" s="167"/>
      <c r="D184" s="167"/>
      <c r="E184" s="167"/>
      <c r="F184" s="167"/>
      <c r="G184" s="167"/>
      <c r="H184" s="167"/>
      <c r="I184" s="167"/>
      <c r="J184" s="168"/>
    </row>
    <row r="185" spans="1:10" s="135" customFormat="1" x14ac:dyDescent="0.2">
      <c r="A185" s="167"/>
      <c r="B185" s="167"/>
      <c r="C185" s="167"/>
      <c r="D185" s="167"/>
      <c r="E185" s="167"/>
      <c r="F185" s="167"/>
      <c r="G185" s="167"/>
      <c r="H185" s="167"/>
      <c r="I185" s="167"/>
      <c r="J185" s="168"/>
    </row>
    <row r="186" spans="1:10" s="135" customFormat="1" x14ac:dyDescent="0.2">
      <c r="A186" s="167"/>
      <c r="B186" s="167"/>
      <c r="C186" s="167"/>
      <c r="D186" s="167"/>
      <c r="E186" s="167"/>
      <c r="F186" s="167"/>
      <c r="G186" s="167"/>
      <c r="H186" s="167"/>
      <c r="I186" s="167"/>
      <c r="J186" s="168"/>
    </row>
    <row r="187" spans="1:10" s="135" customFormat="1" x14ac:dyDescent="0.2">
      <c r="A187" s="167"/>
      <c r="B187" s="167"/>
      <c r="C187" s="167"/>
      <c r="D187" s="167"/>
      <c r="E187" s="167"/>
      <c r="F187" s="167"/>
      <c r="G187" s="167"/>
      <c r="H187" s="167"/>
      <c r="I187" s="167"/>
      <c r="J187" s="168"/>
    </row>
    <row r="188" spans="1:10" s="135" customFormat="1" x14ac:dyDescent="0.2">
      <c r="A188" s="167"/>
      <c r="B188" s="167"/>
      <c r="C188" s="167"/>
      <c r="D188" s="167"/>
      <c r="E188" s="167"/>
      <c r="F188" s="167"/>
      <c r="G188" s="167"/>
      <c r="H188" s="167"/>
      <c r="I188" s="167"/>
      <c r="J188" s="168"/>
    </row>
    <row r="189" spans="1:10" s="135" customFormat="1" x14ac:dyDescent="0.2">
      <c r="A189" s="167"/>
      <c r="B189" s="167"/>
      <c r="C189" s="167"/>
      <c r="D189" s="167"/>
      <c r="E189" s="167"/>
      <c r="F189" s="167"/>
      <c r="G189" s="167"/>
      <c r="H189" s="167"/>
      <c r="I189" s="167"/>
      <c r="J189" s="168"/>
    </row>
    <row r="190" spans="1:10" s="135" customFormat="1" x14ac:dyDescent="0.2">
      <c r="A190" s="167"/>
      <c r="B190" s="167"/>
      <c r="C190" s="167"/>
      <c r="D190" s="167"/>
      <c r="E190" s="167"/>
      <c r="F190" s="167"/>
      <c r="G190" s="167"/>
      <c r="H190" s="167"/>
      <c r="I190" s="167"/>
      <c r="J190" s="168"/>
    </row>
    <row r="191" spans="1:10" s="135" customFormat="1" x14ac:dyDescent="0.2">
      <c r="A191" s="167"/>
      <c r="B191" s="167"/>
      <c r="C191" s="167"/>
      <c r="D191" s="167"/>
      <c r="E191" s="167"/>
      <c r="F191" s="167"/>
      <c r="G191" s="167"/>
      <c r="H191" s="167"/>
      <c r="I191" s="167"/>
      <c r="J191" s="168"/>
    </row>
    <row r="192" spans="1:10" s="135" customFormat="1" x14ac:dyDescent="0.2">
      <c r="A192" s="167"/>
      <c r="B192" s="167"/>
      <c r="C192" s="167"/>
      <c r="D192" s="167"/>
      <c r="E192" s="167"/>
      <c r="F192" s="167"/>
      <c r="G192" s="167"/>
      <c r="H192" s="167"/>
      <c r="I192" s="167"/>
      <c r="J192" s="168"/>
    </row>
    <row r="193" spans="1:10" s="135" customFormat="1" x14ac:dyDescent="0.2">
      <c r="A193" s="167"/>
      <c r="B193" s="167"/>
      <c r="C193" s="167"/>
      <c r="D193" s="167"/>
      <c r="E193" s="167"/>
      <c r="F193" s="167"/>
      <c r="G193" s="167"/>
      <c r="H193" s="167"/>
      <c r="I193" s="167"/>
      <c r="J193" s="168"/>
    </row>
    <row r="194" spans="1:10" s="135" customFormat="1" x14ac:dyDescent="0.2">
      <c r="A194" s="167"/>
      <c r="B194" s="167"/>
      <c r="C194" s="167"/>
      <c r="D194" s="167"/>
      <c r="E194" s="167"/>
      <c r="F194" s="167"/>
      <c r="G194" s="167"/>
      <c r="H194" s="167"/>
      <c r="I194" s="167"/>
      <c r="J194" s="168"/>
    </row>
    <row r="195" spans="1:10" s="135" customFormat="1" x14ac:dyDescent="0.2">
      <c r="A195" s="167"/>
      <c r="B195" s="167"/>
      <c r="C195" s="167"/>
      <c r="D195" s="167"/>
      <c r="E195" s="167"/>
      <c r="F195" s="167"/>
      <c r="G195" s="167"/>
      <c r="H195" s="167"/>
      <c r="I195" s="167"/>
      <c r="J195" s="168"/>
    </row>
    <row r="196" spans="1:10" s="135" customFormat="1" x14ac:dyDescent="0.2">
      <c r="A196" s="167"/>
      <c r="B196" s="167"/>
      <c r="C196" s="167"/>
      <c r="D196" s="167"/>
      <c r="E196" s="167"/>
      <c r="F196" s="167"/>
      <c r="G196" s="167"/>
      <c r="H196" s="167"/>
      <c r="I196" s="167"/>
      <c r="J196" s="168"/>
    </row>
    <row r="197" spans="1:10" s="135" customFormat="1" x14ac:dyDescent="0.2">
      <c r="A197" s="167"/>
      <c r="B197" s="167"/>
      <c r="C197" s="167"/>
      <c r="D197" s="167"/>
      <c r="E197" s="167"/>
      <c r="F197" s="167"/>
      <c r="G197" s="167"/>
      <c r="H197" s="167"/>
      <c r="I197" s="167"/>
      <c r="J197" s="168"/>
    </row>
    <row r="198" spans="1:10" s="135" customFormat="1" x14ac:dyDescent="0.2">
      <c r="A198" s="167"/>
      <c r="B198" s="167"/>
      <c r="C198" s="167"/>
      <c r="D198" s="167"/>
      <c r="E198" s="167"/>
      <c r="F198" s="167"/>
      <c r="G198" s="167"/>
      <c r="H198" s="167"/>
      <c r="I198" s="167"/>
      <c r="J198" s="168"/>
    </row>
    <row r="199" spans="1:10" s="135" customFormat="1" x14ac:dyDescent="0.2">
      <c r="A199" s="167"/>
      <c r="B199" s="167"/>
      <c r="C199" s="167"/>
      <c r="D199" s="167"/>
      <c r="E199" s="167"/>
      <c r="F199" s="167"/>
      <c r="G199" s="167"/>
      <c r="H199" s="167"/>
      <c r="I199" s="167"/>
      <c r="J199" s="168"/>
    </row>
    <row r="200" spans="1:10" s="135" customFormat="1" x14ac:dyDescent="0.2">
      <c r="A200" s="167"/>
      <c r="B200" s="167"/>
      <c r="C200" s="167"/>
      <c r="D200" s="167"/>
      <c r="E200" s="167"/>
      <c r="F200" s="167"/>
      <c r="G200" s="167"/>
      <c r="H200" s="167"/>
      <c r="I200" s="167"/>
      <c r="J200" s="168"/>
    </row>
    <row r="201" spans="1:10" s="135" customFormat="1" x14ac:dyDescent="0.2">
      <c r="A201" s="167"/>
      <c r="B201" s="167"/>
      <c r="C201" s="167"/>
      <c r="D201" s="167"/>
      <c r="E201" s="167"/>
      <c r="F201" s="167"/>
      <c r="G201" s="167"/>
      <c r="H201" s="167"/>
      <c r="I201" s="167"/>
      <c r="J201" s="168"/>
    </row>
    <row r="202" spans="1:10" s="135" customFormat="1" x14ac:dyDescent="0.2">
      <c r="A202" s="167"/>
      <c r="B202" s="167"/>
      <c r="C202" s="167"/>
      <c r="D202" s="167"/>
      <c r="E202" s="167"/>
      <c r="F202" s="167"/>
      <c r="G202" s="167"/>
      <c r="H202" s="167"/>
      <c r="I202" s="167"/>
      <c r="J202" s="168"/>
    </row>
    <row r="203" spans="1:10" s="135" customFormat="1" x14ac:dyDescent="0.2">
      <c r="A203" s="167"/>
      <c r="B203" s="167"/>
      <c r="C203" s="167"/>
      <c r="D203" s="167"/>
      <c r="E203" s="167"/>
      <c r="F203" s="167"/>
      <c r="G203" s="167"/>
      <c r="H203" s="167"/>
      <c r="I203" s="167"/>
      <c r="J203" s="168"/>
    </row>
    <row r="204" spans="1:10" s="135" customFormat="1" x14ac:dyDescent="0.2">
      <c r="A204" s="167"/>
      <c r="B204" s="167"/>
      <c r="C204" s="167"/>
      <c r="D204" s="167"/>
      <c r="E204" s="167"/>
      <c r="F204" s="167"/>
      <c r="G204" s="167"/>
      <c r="H204" s="167"/>
      <c r="I204" s="167"/>
      <c r="J204" s="168"/>
    </row>
    <row r="205" spans="1:10" s="135" customFormat="1" x14ac:dyDescent="0.2">
      <c r="A205" s="167"/>
      <c r="B205" s="167"/>
      <c r="C205" s="167"/>
      <c r="D205" s="167"/>
      <c r="E205" s="167"/>
      <c r="F205" s="167"/>
      <c r="G205" s="167"/>
      <c r="H205" s="167"/>
      <c r="I205" s="167"/>
      <c r="J205" s="168"/>
    </row>
    <row r="206" spans="1:10" s="135" customFormat="1" x14ac:dyDescent="0.2">
      <c r="A206" s="167"/>
      <c r="B206" s="167"/>
      <c r="C206" s="167"/>
      <c r="D206" s="167"/>
      <c r="E206" s="167"/>
      <c r="F206" s="167"/>
      <c r="G206" s="167"/>
      <c r="H206" s="167"/>
      <c r="I206" s="167"/>
      <c r="J206" s="168"/>
    </row>
    <row r="207" spans="1:10" s="135" customFormat="1" x14ac:dyDescent="0.2">
      <c r="A207" s="167"/>
      <c r="B207" s="167"/>
      <c r="C207" s="167"/>
      <c r="D207" s="167"/>
      <c r="E207" s="167"/>
      <c r="F207" s="167"/>
      <c r="G207" s="167"/>
      <c r="H207" s="167"/>
      <c r="I207" s="167"/>
      <c r="J207" s="168"/>
    </row>
    <row r="208" spans="1:10" s="135" customFormat="1" x14ac:dyDescent="0.2">
      <c r="A208" s="167"/>
      <c r="B208" s="167"/>
      <c r="C208" s="167"/>
      <c r="D208" s="167"/>
      <c r="E208" s="167"/>
      <c r="F208" s="167"/>
      <c r="G208" s="167"/>
      <c r="H208" s="167"/>
      <c r="I208" s="167"/>
      <c r="J208" s="168"/>
    </row>
    <row r="209" spans="1:10" s="135" customFormat="1" x14ac:dyDescent="0.2">
      <c r="A209" s="167"/>
      <c r="B209" s="167"/>
      <c r="C209" s="167"/>
      <c r="D209" s="167"/>
      <c r="E209" s="167"/>
      <c r="F209" s="167"/>
      <c r="G209" s="167"/>
      <c r="H209" s="167"/>
      <c r="I209" s="167"/>
      <c r="J209" s="168"/>
    </row>
    <row r="210" spans="1:10" s="135" customFormat="1" x14ac:dyDescent="0.2">
      <c r="A210" s="167"/>
      <c r="B210" s="167"/>
      <c r="C210" s="167"/>
      <c r="D210" s="167"/>
      <c r="E210" s="167"/>
      <c r="F210" s="167"/>
      <c r="G210" s="167"/>
      <c r="H210" s="167"/>
      <c r="I210" s="167"/>
      <c r="J210" s="168"/>
    </row>
    <row r="211" spans="1:10" s="135" customFormat="1" x14ac:dyDescent="0.2">
      <c r="A211" s="167"/>
      <c r="B211" s="167"/>
      <c r="C211" s="167"/>
      <c r="D211" s="167"/>
      <c r="E211" s="167"/>
      <c r="F211" s="167"/>
      <c r="G211" s="167"/>
      <c r="H211" s="167"/>
      <c r="I211" s="167"/>
      <c r="J211" s="168"/>
    </row>
    <row r="212" spans="1:10" s="135" customFormat="1" x14ac:dyDescent="0.2">
      <c r="A212" s="167"/>
      <c r="B212" s="167"/>
      <c r="C212" s="167"/>
      <c r="D212" s="167"/>
      <c r="E212" s="167"/>
      <c r="F212" s="167"/>
      <c r="G212" s="167"/>
      <c r="H212" s="167"/>
      <c r="I212" s="167"/>
      <c r="J212" s="168"/>
    </row>
    <row r="213" spans="1:10" s="135" customFormat="1" x14ac:dyDescent="0.2">
      <c r="A213" s="167"/>
      <c r="B213" s="167"/>
      <c r="C213" s="167"/>
      <c r="D213" s="167"/>
      <c r="E213" s="167"/>
      <c r="F213" s="167"/>
      <c r="G213" s="167"/>
      <c r="H213" s="167"/>
      <c r="I213" s="167"/>
      <c r="J213" s="168"/>
    </row>
    <row r="214" spans="1:10" s="135" customFormat="1" x14ac:dyDescent="0.2">
      <c r="A214" s="167"/>
      <c r="B214" s="167"/>
      <c r="C214" s="167"/>
      <c r="D214" s="167"/>
      <c r="E214" s="167"/>
      <c r="F214" s="167"/>
      <c r="G214" s="167"/>
      <c r="H214" s="167"/>
      <c r="I214" s="167"/>
      <c r="J214" s="168"/>
    </row>
    <row r="215" spans="1:10" s="135" customFormat="1" x14ac:dyDescent="0.2">
      <c r="A215" s="167"/>
      <c r="B215" s="167"/>
      <c r="C215" s="167"/>
      <c r="D215" s="167"/>
      <c r="E215" s="167"/>
      <c r="F215" s="167"/>
      <c r="G215" s="167"/>
      <c r="H215" s="167"/>
      <c r="I215" s="167"/>
      <c r="J215" s="168"/>
    </row>
    <row r="216" spans="1:10" s="135" customFormat="1" x14ac:dyDescent="0.2">
      <c r="A216" s="167"/>
      <c r="B216" s="167"/>
      <c r="C216" s="167"/>
      <c r="D216" s="167"/>
      <c r="E216" s="167"/>
      <c r="F216" s="167"/>
      <c r="G216" s="167"/>
      <c r="H216" s="167"/>
      <c r="I216" s="167"/>
      <c r="J216" s="168"/>
    </row>
    <row r="217" spans="1:10" s="135" customFormat="1" x14ac:dyDescent="0.2">
      <c r="A217" s="167"/>
      <c r="B217" s="167"/>
      <c r="C217" s="167"/>
      <c r="D217" s="167"/>
      <c r="E217" s="167"/>
      <c r="F217" s="167"/>
      <c r="G217" s="167"/>
      <c r="H217" s="167"/>
      <c r="I217" s="167"/>
      <c r="J217" s="168"/>
    </row>
    <row r="218" spans="1:10" s="135" customFormat="1" x14ac:dyDescent="0.2">
      <c r="A218" s="167"/>
      <c r="B218" s="167"/>
      <c r="C218" s="167"/>
      <c r="D218" s="167"/>
      <c r="E218" s="167"/>
      <c r="F218" s="167"/>
      <c r="G218" s="167"/>
      <c r="H218" s="167"/>
      <c r="I218" s="167"/>
      <c r="J218" s="168"/>
    </row>
    <row r="219" spans="1:10" s="135" customFormat="1" x14ac:dyDescent="0.2">
      <c r="A219" s="167"/>
      <c r="B219" s="167"/>
      <c r="C219" s="167"/>
      <c r="D219" s="167"/>
      <c r="E219" s="167"/>
      <c r="F219" s="167"/>
      <c r="G219" s="167"/>
      <c r="H219" s="167"/>
      <c r="I219" s="167"/>
      <c r="J219" s="168"/>
    </row>
    <row r="220" spans="1:10" s="135" customFormat="1" x14ac:dyDescent="0.2">
      <c r="A220" s="167"/>
      <c r="B220" s="167"/>
      <c r="C220" s="167"/>
      <c r="D220" s="167"/>
      <c r="E220" s="167"/>
      <c r="F220" s="167"/>
      <c r="G220" s="167"/>
      <c r="H220" s="167"/>
      <c r="I220" s="167"/>
      <c r="J220" s="168"/>
    </row>
    <row r="221" spans="1:10" s="135" customFormat="1" x14ac:dyDescent="0.2">
      <c r="A221" s="167"/>
      <c r="B221" s="167"/>
      <c r="C221" s="167"/>
      <c r="D221" s="167"/>
      <c r="E221" s="167"/>
      <c r="F221" s="167"/>
      <c r="G221" s="167"/>
      <c r="H221" s="167"/>
      <c r="I221" s="167"/>
      <c r="J221" s="168"/>
    </row>
    <row r="222" spans="1:10" s="135" customFormat="1" x14ac:dyDescent="0.2">
      <c r="A222" s="167"/>
      <c r="B222" s="167"/>
      <c r="C222" s="167"/>
      <c r="D222" s="167"/>
      <c r="E222" s="167"/>
      <c r="F222" s="167"/>
      <c r="G222" s="167"/>
      <c r="H222" s="167"/>
      <c r="I222" s="167"/>
      <c r="J222" s="168"/>
    </row>
    <row r="223" spans="1:10" s="135" customFormat="1" x14ac:dyDescent="0.2">
      <c r="A223" s="167"/>
      <c r="B223" s="167"/>
      <c r="C223" s="167"/>
      <c r="D223" s="167"/>
      <c r="E223" s="167"/>
      <c r="F223" s="167"/>
      <c r="G223" s="167"/>
      <c r="H223" s="167"/>
      <c r="I223" s="167"/>
      <c r="J223" s="168"/>
    </row>
    <row r="224" spans="1:10" s="135" customFormat="1" x14ac:dyDescent="0.2">
      <c r="A224" s="167"/>
      <c r="B224" s="167"/>
      <c r="C224" s="167"/>
      <c r="D224" s="167"/>
      <c r="E224" s="167"/>
      <c r="F224" s="167"/>
      <c r="G224" s="167"/>
      <c r="H224" s="167"/>
      <c r="I224" s="167"/>
      <c r="J224" s="168"/>
    </row>
    <row r="225" spans="1:10" s="135" customFormat="1" x14ac:dyDescent="0.2">
      <c r="A225" s="167"/>
      <c r="B225" s="167"/>
      <c r="C225" s="167"/>
      <c r="D225" s="167"/>
      <c r="E225" s="167"/>
      <c r="F225" s="167"/>
      <c r="G225" s="167"/>
      <c r="H225" s="167"/>
      <c r="I225" s="167"/>
      <c r="J225" s="168"/>
    </row>
    <row r="226" spans="1:10" s="135" customFormat="1" x14ac:dyDescent="0.2">
      <c r="A226" s="167"/>
      <c r="B226" s="167"/>
      <c r="C226" s="167"/>
      <c r="D226" s="167"/>
      <c r="E226" s="167"/>
      <c r="F226" s="167"/>
      <c r="G226" s="167"/>
      <c r="H226" s="167"/>
      <c r="I226" s="167"/>
      <c r="J226" s="168"/>
    </row>
    <row r="227" spans="1:10" s="135" customFormat="1" x14ac:dyDescent="0.2">
      <c r="A227" s="167"/>
      <c r="B227" s="167"/>
      <c r="C227" s="167"/>
      <c r="D227" s="167"/>
      <c r="E227" s="167"/>
      <c r="F227" s="167"/>
      <c r="G227" s="167"/>
      <c r="H227" s="167"/>
      <c r="I227" s="167"/>
      <c r="J227" s="168"/>
    </row>
    <row r="228" spans="1:10" s="135" customFormat="1" x14ac:dyDescent="0.2">
      <c r="A228" s="167"/>
      <c r="B228" s="167"/>
      <c r="C228" s="167"/>
      <c r="D228" s="167"/>
      <c r="E228" s="167"/>
      <c r="F228" s="167"/>
      <c r="G228" s="167"/>
      <c r="H228" s="167"/>
      <c r="I228" s="167"/>
      <c r="J228" s="168"/>
    </row>
    <row r="229" spans="1:10" s="135" customFormat="1" x14ac:dyDescent="0.2">
      <c r="A229" s="167"/>
      <c r="B229" s="167"/>
      <c r="C229" s="167"/>
      <c r="D229" s="167"/>
      <c r="E229" s="167"/>
      <c r="F229" s="167"/>
      <c r="G229" s="167"/>
      <c r="H229" s="167"/>
      <c r="I229" s="167"/>
      <c r="J229" s="168"/>
    </row>
    <row r="230" spans="1:10" s="135" customFormat="1" x14ac:dyDescent="0.2">
      <c r="A230" s="167"/>
      <c r="B230" s="167"/>
      <c r="C230" s="167"/>
      <c r="D230" s="167"/>
      <c r="E230" s="167"/>
      <c r="F230" s="167"/>
      <c r="G230" s="167"/>
      <c r="H230" s="167"/>
      <c r="I230" s="167"/>
      <c r="J230" s="168"/>
    </row>
    <row r="231" spans="1:10" s="135" customFormat="1" x14ac:dyDescent="0.2">
      <c r="A231" s="167"/>
      <c r="B231" s="167"/>
      <c r="C231" s="167"/>
      <c r="D231" s="167"/>
      <c r="E231" s="167"/>
      <c r="F231" s="167"/>
      <c r="G231" s="167"/>
      <c r="H231" s="167"/>
      <c r="I231" s="167"/>
      <c r="J231" s="168"/>
    </row>
    <row r="232" spans="1:10" s="135" customFormat="1" x14ac:dyDescent="0.2">
      <c r="A232" s="167"/>
      <c r="B232" s="167"/>
      <c r="C232" s="167"/>
      <c r="D232" s="167"/>
      <c r="E232" s="167"/>
      <c r="F232" s="167"/>
      <c r="G232" s="167"/>
      <c r="H232" s="167"/>
      <c r="I232" s="167"/>
      <c r="J232" s="168"/>
    </row>
    <row r="233" spans="1:10" s="135" customFormat="1" x14ac:dyDescent="0.2">
      <c r="A233" s="167"/>
      <c r="B233" s="167"/>
      <c r="C233" s="167"/>
      <c r="D233" s="167"/>
      <c r="E233" s="167"/>
      <c r="F233" s="167"/>
      <c r="G233" s="167"/>
      <c r="H233" s="167"/>
      <c r="I233" s="167"/>
      <c r="J233" s="168"/>
    </row>
    <row r="234" spans="1:10" s="135" customFormat="1" x14ac:dyDescent="0.2">
      <c r="A234" s="167"/>
      <c r="B234" s="167"/>
      <c r="C234" s="167"/>
      <c r="D234" s="167"/>
      <c r="E234" s="167"/>
      <c r="F234" s="167"/>
      <c r="G234" s="167"/>
      <c r="H234" s="167"/>
      <c r="I234" s="167"/>
      <c r="J234" s="168"/>
    </row>
    <row r="235" spans="1:10" s="135" customFormat="1" x14ac:dyDescent="0.2">
      <c r="A235" s="167"/>
      <c r="B235" s="167"/>
      <c r="C235" s="167"/>
      <c r="D235" s="167"/>
      <c r="E235" s="167"/>
      <c r="F235" s="167"/>
      <c r="G235" s="167"/>
      <c r="H235" s="167"/>
      <c r="I235" s="167"/>
      <c r="J235" s="168"/>
    </row>
    <row r="236" spans="1:10" s="135" customFormat="1" x14ac:dyDescent="0.2">
      <c r="A236" s="167"/>
      <c r="B236" s="167"/>
      <c r="C236" s="167"/>
      <c r="D236" s="167"/>
      <c r="E236" s="167"/>
      <c r="F236" s="167"/>
      <c r="G236" s="167"/>
      <c r="H236" s="167"/>
      <c r="I236" s="167"/>
      <c r="J236" s="168"/>
    </row>
    <row r="237" spans="1:10" s="135" customFormat="1" x14ac:dyDescent="0.2">
      <c r="A237" s="167"/>
      <c r="B237" s="167"/>
      <c r="C237" s="167"/>
      <c r="D237" s="167"/>
      <c r="E237" s="167"/>
      <c r="F237" s="167"/>
      <c r="G237" s="167"/>
      <c r="H237" s="167"/>
      <c r="I237" s="167"/>
      <c r="J237" s="168"/>
    </row>
    <row r="238" spans="1:10" s="135" customFormat="1" x14ac:dyDescent="0.2">
      <c r="A238" s="167"/>
      <c r="B238" s="167"/>
      <c r="C238" s="167"/>
      <c r="D238" s="167"/>
      <c r="E238" s="167"/>
      <c r="F238" s="167"/>
      <c r="G238" s="167"/>
      <c r="H238" s="167"/>
      <c r="I238" s="167"/>
      <c r="J238" s="168"/>
    </row>
    <row r="239" spans="1:10" s="135" customFormat="1" x14ac:dyDescent="0.2">
      <c r="A239" s="167"/>
      <c r="B239" s="167"/>
      <c r="C239" s="167"/>
      <c r="D239" s="167"/>
      <c r="E239" s="167"/>
      <c r="F239" s="167"/>
      <c r="G239" s="167"/>
      <c r="H239" s="167"/>
      <c r="I239" s="167"/>
      <c r="J239" s="168"/>
    </row>
    <row r="240" spans="1:10" s="135" customFormat="1" x14ac:dyDescent="0.2">
      <c r="A240" s="167"/>
      <c r="B240" s="167"/>
      <c r="C240" s="167"/>
      <c r="D240" s="167"/>
      <c r="E240" s="167"/>
      <c r="F240" s="167"/>
      <c r="G240" s="167"/>
      <c r="H240" s="167"/>
      <c r="I240" s="167"/>
      <c r="J240" s="168"/>
    </row>
    <row r="241" spans="1:10" s="135" customFormat="1" x14ac:dyDescent="0.2">
      <c r="A241" s="167"/>
      <c r="B241" s="167"/>
      <c r="C241" s="167"/>
      <c r="D241" s="167"/>
      <c r="E241" s="167"/>
      <c r="F241" s="167"/>
      <c r="G241" s="167"/>
      <c r="H241" s="167"/>
      <c r="I241" s="167"/>
      <c r="J241" s="168"/>
    </row>
    <row r="242" spans="1:10" s="135" customFormat="1" x14ac:dyDescent="0.2">
      <c r="A242" s="167"/>
      <c r="B242" s="167"/>
      <c r="C242" s="167"/>
      <c r="D242" s="167"/>
      <c r="E242" s="167"/>
      <c r="F242" s="167"/>
      <c r="G242" s="167"/>
      <c r="H242" s="167"/>
      <c r="I242" s="167"/>
      <c r="J242" s="168"/>
    </row>
    <row r="243" spans="1:10" s="135" customFormat="1" x14ac:dyDescent="0.2">
      <c r="A243" s="167"/>
      <c r="B243" s="167"/>
      <c r="C243" s="167"/>
      <c r="D243" s="167"/>
      <c r="E243" s="167"/>
      <c r="F243" s="167"/>
      <c r="G243" s="167"/>
      <c r="H243" s="167"/>
      <c r="I243" s="167"/>
      <c r="J243" s="168"/>
    </row>
    <row r="244" spans="1:10" s="135" customFormat="1" x14ac:dyDescent="0.2">
      <c r="A244" s="167"/>
      <c r="B244" s="167"/>
      <c r="C244" s="167"/>
      <c r="D244" s="167"/>
      <c r="E244" s="167"/>
      <c r="F244" s="167"/>
      <c r="G244" s="167"/>
      <c r="H244" s="167"/>
      <c r="I244" s="167"/>
      <c r="J244" s="168"/>
    </row>
    <row r="245" spans="1:10" s="135" customFormat="1" x14ac:dyDescent="0.2">
      <c r="A245" s="167"/>
      <c r="B245" s="167"/>
      <c r="C245" s="167"/>
      <c r="D245" s="167"/>
      <c r="E245" s="167"/>
      <c r="F245" s="167"/>
      <c r="G245" s="167"/>
      <c r="H245" s="167"/>
      <c r="I245" s="167"/>
      <c r="J245" s="168"/>
    </row>
    <row r="246" spans="1:10" s="135" customFormat="1" x14ac:dyDescent="0.2">
      <c r="A246" s="167"/>
      <c r="B246" s="167"/>
      <c r="C246" s="167"/>
      <c r="D246" s="167"/>
      <c r="E246" s="167"/>
      <c r="F246" s="167"/>
      <c r="G246" s="167"/>
      <c r="H246" s="167"/>
      <c r="I246" s="167"/>
      <c r="J246" s="168"/>
    </row>
    <row r="247" spans="1:10" s="135" customFormat="1" x14ac:dyDescent="0.2">
      <c r="A247" s="167"/>
      <c r="B247" s="167"/>
      <c r="C247" s="167"/>
      <c r="D247" s="167"/>
      <c r="E247" s="167"/>
      <c r="F247" s="167"/>
      <c r="G247" s="167"/>
      <c r="H247" s="167"/>
      <c r="I247" s="167"/>
      <c r="J247" s="168"/>
    </row>
    <row r="248" spans="1:10" s="135" customFormat="1" x14ac:dyDescent="0.2">
      <c r="A248" s="167"/>
      <c r="B248" s="167"/>
      <c r="C248" s="167"/>
      <c r="D248" s="167"/>
      <c r="E248" s="167"/>
      <c r="F248" s="167"/>
      <c r="G248" s="167"/>
      <c r="H248" s="167"/>
      <c r="I248" s="167"/>
      <c r="J248" s="168"/>
    </row>
    <row r="249" spans="1:10" s="135" customFormat="1" x14ac:dyDescent="0.2">
      <c r="A249" s="167"/>
      <c r="B249" s="167"/>
      <c r="C249" s="167"/>
      <c r="D249" s="167"/>
      <c r="E249" s="167"/>
      <c r="F249" s="167"/>
      <c r="G249" s="167"/>
      <c r="H249" s="167"/>
      <c r="I249" s="167"/>
      <c r="J249" s="168"/>
    </row>
    <row r="250" spans="1:10" s="135" customFormat="1" x14ac:dyDescent="0.2">
      <c r="A250" s="167"/>
      <c r="B250" s="167"/>
      <c r="C250" s="167"/>
      <c r="D250" s="167"/>
      <c r="E250" s="167"/>
      <c r="F250" s="167"/>
      <c r="G250" s="167"/>
      <c r="H250" s="167"/>
      <c r="I250" s="167"/>
      <c r="J250" s="168"/>
    </row>
    <row r="251" spans="1:10" s="135" customFormat="1" x14ac:dyDescent="0.2">
      <c r="A251" s="167"/>
      <c r="B251" s="167"/>
      <c r="C251" s="167"/>
      <c r="D251" s="167"/>
      <c r="E251" s="167"/>
      <c r="F251" s="167"/>
      <c r="G251" s="167"/>
      <c r="H251" s="167"/>
      <c r="I251" s="167"/>
      <c r="J251" s="168"/>
    </row>
    <row r="252" spans="1:10" s="135" customFormat="1" x14ac:dyDescent="0.2">
      <c r="A252" s="167"/>
      <c r="B252" s="167"/>
      <c r="C252" s="167"/>
      <c r="D252" s="167"/>
      <c r="E252" s="167"/>
      <c r="F252" s="167"/>
      <c r="G252" s="167"/>
      <c r="H252" s="167"/>
      <c r="I252" s="167"/>
      <c r="J252" s="168"/>
    </row>
    <row r="253" spans="1:10" s="135" customFormat="1" x14ac:dyDescent="0.2">
      <c r="A253" s="167"/>
      <c r="B253" s="167"/>
      <c r="C253" s="167"/>
      <c r="D253" s="167"/>
      <c r="E253" s="167"/>
      <c r="F253" s="167"/>
      <c r="G253" s="167"/>
      <c r="H253" s="167"/>
      <c r="I253" s="167"/>
      <c r="J253" s="168"/>
    </row>
    <row r="254" spans="1:10" s="135" customFormat="1" x14ac:dyDescent="0.2">
      <c r="A254" s="167"/>
      <c r="B254" s="167"/>
      <c r="C254" s="167"/>
      <c r="D254" s="167"/>
      <c r="E254" s="167"/>
      <c r="F254" s="167"/>
      <c r="G254" s="167"/>
      <c r="H254" s="167"/>
      <c r="I254" s="167"/>
      <c r="J254" s="168"/>
    </row>
    <row r="255" spans="1:10" s="135" customFormat="1" x14ac:dyDescent="0.2">
      <c r="A255" s="167"/>
      <c r="B255" s="167"/>
      <c r="C255" s="167"/>
      <c r="D255" s="167"/>
      <c r="E255" s="167"/>
      <c r="F255" s="167"/>
      <c r="G255" s="167"/>
      <c r="H255" s="167"/>
      <c r="I255" s="167"/>
      <c r="J255" s="168"/>
    </row>
    <row r="256" spans="1:10" s="135" customFormat="1" x14ac:dyDescent="0.2">
      <c r="A256" s="167"/>
      <c r="B256" s="167"/>
      <c r="C256" s="167"/>
      <c r="D256" s="167"/>
      <c r="E256" s="167"/>
      <c r="F256" s="167"/>
      <c r="G256" s="167"/>
      <c r="H256" s="167"/>
      <c r="I256" s="167"/>
      <c r="J256" s="168"/>
    </row>
    <row r="257" spans="1:10" s="135" customFormat="1" x14ac:dyDescent="0.2">
      <c r="A257" s="167"/>
      <c r="B257" s="167"/>
      <c r="C257" s="167"/>
      <c r="D257" s="167"/>
      <c r="E257" s="167"/>
      <c r="F257" s="167"/>
      <c r="G257" s="167"/>
      <c r="H257" s="167"/>
      <c r="I257" s="167"/>
      <c r="J257" s="168"/>
    </row>
    <row r="258" spans="1:10" s="135" customFormat="1" x14ac:dyDescent="0.2">
      <c r="A258" s="167"/>
      <c r="B258" s="167"/>
      <c r="C258" s="167"/>
      <c r="D258" s="167"/>
      <c r="E258" s="167"/>
      <c r="F258" s="167"/>
      <c r="G258" s="167"/>
      <c r="H258" s="167"/>
      <c r="I258" s="167"/>
      <c r="J258" s="168"/>
    </row>
    <row r="259" spans="1:10" s="135" customFormat="1" x14ac:dyDescent="0.2">
      <c r="A259" s="167"/>
      <c r="B259" s="167"/>
      <c r="C259" s="167"/>
      <c r="D259" s="167"/>
      <c r="E259" s="167"/>
      <c r="F259" s="167"/>
      <c r="G259" s="167"/>
      <c r="H259" s="167"/>
      <c r="I259" s="167"/>
      <c r="J259" s="168"/>
    </row>
    <row r="260" spans="1:10" s="135" customFormat="1" x14ac:dyDescent="0.2">
      <c r="A260" s="167"/>
      <c r="B260" s="167"/>
      <c r="C260" s="167"/>
      <c r="D260" s="167"/>
      <c r="E260" s="167"/>
      <c r="F260" s="167"/>
      <c r="G260" s="167"/>
      <c r="H260" s="167"/>
      <c r="I260" s="167"/>
      <c r="J260" s="168"/>
    </row>
    <row r="261" spans="1:10" s="135" customFormat="1" x14ac:dyDescent="0.2">
      <c r="A261" s="167"/>
      <c r="B261" s="167"/>
      <c r="C261" s="167"/>
      <c r="D261" s="167"/>
      <c r="E261" s="167"/>
      <c r="F261" s="167"/>
      <c r="G261" s="167"/>
      <c r="H261" s="167"/>
      <c r="I261" s="167"/>
      <c r="J261" s="168"/>
    </row>
    <row r="262" spans="1:10" s="135" customFormat="1" x14ac:dyDescent="0.2">
      <c r="A262" s="167"/>
      <c r="B262" s="167"/>
      <c r="C262" s="167"/>
      <c r="D262" s="167"/>
      <c r="E262" s="167"/>
      <c r="F262" s="167"/>
      <c r="G262" s="167"/>
      <c r="H262" s="167"/>
      <c r="I262" s="167"/>
      <c r="J262" s="168"/>
    </row>
    <row r="263" spans="1:10" s="135" customFormat="1" x14ac:dyDescent="0.2">
      <c r="A263" s="167"/>
      <c r="B263" s="167"/>
      <c r="C263" s="167"/>
      <c r="D263" s="167"/>
      <c r="E263" s="167"/>
      <c r="F263" s="167"/>
      <c r="G263" s="167"/>
      <c r="H263" s="167"/>
      <c r="I263" s="167"/>
      <c r="J263" s="168"/>
    </row>
    <row r="264" spans="1:10" s="135" customFormat="1" x14ac:dyDescent="0.2">
      <c r="A264" s="167"/>
      <c r="B264" s="167"/>
      <c r="C264" s="167"/>
      <c r="D264" s="167"/>
      <c r="E264" s="167"/>
      <c r="F264" s="167"/>
      <c r="G264" s="167"/>
      <c r="H264" s="167"/>
      <c r="I264" s="167"/>
      <c r="J264" s="168"/>
    </row>
    <row r="265" spans="1:10" s="135" customFormat="1" x14ac:dyDescent="0.2">
      <c r="A265" s="167"/>
      <c r="B265" s="167"/>
      <c r="C265" s="167"/>
      <c r="D265" s="167"/>
      <c r="E265" s="167"/>
      <c r="F265" s="167"/>
      <c r="G265" s="167"/>
      <c r="H265" s="167"/>
      <c r="I265" s="167"/>
      <c r="J265" s="168"/>
    </row>
    <row r="266" spans="1:10" s="135" customFormat="1" x14ac:dyDescent="0.2">
      <c r="A266" s="167"/>
      <c r="B266" s="167"/>
      <c r="C266" s="167"/>
      <c r="D266" s="167"/>
      <c r="E266" s="167"/>
      <c r="F266" s="167"/>
      <c r="G266" s="167"/>
      <c r="H266" s="167"/>
      <c r="I266" s="167"/>
      <c r="J266" s="168"/>
    </row>
    <row r="267" spans="1:10" s="135" customFormat="1" x14ac:dyDescent="0.2">
      <c r="A267" s="167"/>
      <c r="B267" s="167"/>
      <c r="C267" s="167"/>
      <c r="D267" s="167"/>
      <c r="E267" s="167"/>
      <c r="F267" s="167"/>
      <c r="G267" s="167"/>
      <c r="H267" s="167"/>
      <c r="I267" s="167"/>
      <c r="J267" s="168"/>
    </row>
    <row r="268" spans="1:10" s="135" customFormat="1" x14ac:dyDescent="0.2">
      <c r="A268" s="167"/>
      <c r="B268" s="167"/>
      <c r="C268" s="167"/>
      <c r="D268" s="167"/>
      <c r="E268" s="167"/>
      <c r="F268" s="167"/>
      <c r="G268" s="167"/>
      <c r="H268" s="167"/>
      <c r="I268" s="167"/>
      <c r="J268" s="168"/>
    </row>
    <row r="269" spans="1:10" s="135" customFormat="1" x14ac:dyDescent="0.2">
      <c r="A269" s="167"/>
      <c r="B269" s="167"/>
      <c r="C269" s="167"/>
      <c r="D269" s="167"/>
      <c r="E269" s="167"/>
      <c r="F269" s="167"/>
      <c r="G269" s="167"/>
      <c r="H269" s="167"/>
      <c r="I269" s="167"/>
      <c r="J269" s="168"/>
    </row>
    <row r="270" spans="1:10" s="135" customFormat="1" x14ac:dyDescent="0.2">
      <c r="A270" s="167"/>
      <c r="B270" s="167"/>
      <c r="C270" s="167"/>
      <c r="D270" s="167"/>
      <c r="E270" s="167"/>
      <c r="F270" s="167"/>
      <c r="G270" s="167"/>
      <c r="H270" s="167"/>
      <c r="I270" s="167"/>
      <c r="J270" s="168"/>
    </row>
    <row r="271" spans="1:10" s="135" customFormat="1" x14ac:dyDescent="0.2">
      <c r="A271" s="167"/>
      <c r="B271" s="167"/>
      <c r="C271" s="167"/>
      <c r="D271" s="167"/>
      <c r="E271" s="167"/>
      <c r="F271" s="167"/>
      <c r="G271" s="167"/>
      <c r="H271" s="167"/>
      <c r="I271" s="167"/>
      <c r="J271" s="168"/>
    </row>
    <row r="272" spans="1:10" s="135" customFormat="1" x14ac:dyDescent="0.2">
      <c r="A272" s="167"/>
      <c r="B272" s="167"/>
      <c r="C272" s="167"/>
      <c r="D272" s="167"/>
      <c r="E272" s="167"/>
      <c r="F272" s="167"/>
      <c r="G272" s="167"/>
      <c r="H272" s="167"/>
      <c r="I272" s="167"/>
      <c r="J272" s="168"/>
    </row>
    <row r="273" spans="1:10" s="135" customFormat="1" x14ac:dyDescent="0.2">
      <c r="A273" s="167"/>
      <c r="B273" s="167"/>
      <c r="C273" s="167"/>
      <c r="D273" s="167"/>
      <c r="E273" s="167"/>
      <c r="F273" s="167"/>
      <c r="G273" s="167"/>
      <c r="H273" s="167"/>
      <c r="I273" s="167"/>
      <c r="J273" s="168"/>
    </row>
    <row r="274" spans="1:10" s="135" customFormat="1" x14ac:dyDescent="0.2">
      <c r="A274" s="167"/>
      <c r="B274" s="167"/>
      <c r="C274" s="167"/>
      <c r="D274" s="167"/>
      <c r="E274" s="167"/>
      <c r="F274" s="167"/>
      <c r="G274" s="167"/>
      <c r="H274" s="167"/>
      <c r="I274" s="167"/>
      <c r="J274" s="168"/>
    </row>
    <row r="275" spans="1:10" s="135" customFormat="1" x14ac:dyDescent="0.2">
      <c r="A275" s="167"/>
      <c r="B275" s="167"/>
      <c r="C275" s="167"/>
      <c r="D275" s="167"/>
      <c r="E275" s="167"/>
      <c r="F275" s="167"/>
      <c r="G275" s="167"/>
      <c r="H275" s="167"/>
      <c r="I275" s="167"/>
      <c r="J275" s="168"/>
    </row>
    <row r="276" spans="1:10" s="135" customFormat="1" x14ac:dyDescent="0.2">
      <c r="A276" s="167"/>
      <c r="B276" s="167"/>
      <c r="C276" s="167"/>
      <c r="D276" s="167"/>
      <c r="E276" s="167"/>
      <c r="F276" s="167"/>
      <c r="G276" s="167"/>
      <c r="H276" s="167"/>
      <c r="I276" s="167"/>
      <c r="J276" s="168"/>
    </row>
    <row r="277" spans="1:10" s="135" customFormat="1" x14ac:dyDescent="0.2">
      <c r="A277" s="167"/>
      <c r="B277" s="167"/>
      <c r="C277" s="167"/>
      <c r="D277" s="167"/>
      <c r="E277" s="167"/>
      <c r="F277" s="167"/>
      <c r="G277" s="167"/>
      <c r="H277" s="167"/>
      <c r="I277" s="167"/>
      <c r="J277" s="168"/>
    </row>
    <row r="278" spans="1:10" s="135" customFormat="1" x14ac:dyDescent="0.2">
      <c r="A278" s="167"/>
      <c r="B278" s="167"/>
      <c r="C278" s="167"/>
      <c r="D278" s="167"/>
      <c r="E278" s="167"/>
      <c r="F278" s="167"/>
      <c r="G278" s="167"/>
      <c r="H278" s="167"/>
      <c r="I278" s="167"/>
      <c r="J278" s="168"/>
    </row>
    <row r="279" spans="1:10" s="135" customFormat="1" x14ac:dyDescent="0.2">
      <c r="A279" s="167"/>
      <c r="B279" s="167"/>
      <c r="C279" s="167"/>
      <c r="D279" s="167"/>
      <c r="E279" s="167"/>
      <c r="F279" s="167"/>
      <c r="G279" s="167"/>
      <c r="H279" s="167"/>
      <c r="I279" s="167"/>
      <c r="J279" s="168"/>
    </row>
    <row r="280" spans="1:10" s="135" customFormat="1" x14ac:dyDescent="0.2">
      <c r="A280" s="167"/>
      <c r="B280" s="167"/>
      <c r="C280" s="167"/>
      <c r="D280" s="167"/>
      <c r="E280" s="167"/>
      <c r="F280" s="167"/>
      <c r="G280" s="167"/>
      <c r="H280" s="167"/>
      <c r="I280" s="167"/>
      <c r="J280" s="168"/>
    </row>
    <row r="281" spans="1:10" s="135" customFormat="1" x14ac:dyDescent="0.2">
      <c r="A281" s="167"/>
      <c r="B281" s="167"/>
      <c r="C281" s="167"/>
      <c r="D281" s="167"/>
      <c r="E281" s="167"/>
      <c r="F281" s="167"/>
      <c r="G281" s="167"/>
      <c r="H281" s="167"/>
      <c r="I281" s="167"/>
      <c r="J281" s="168"/>
    </row>
    <row r="282" spans="1:10" s="135" customFormat="1" x14ac:dyDescent="0.2">
      <c r="A282" s="167"/>
      <c r="B282" s="167"/>
      <c r="C282" s="167"/>
      <c r="D282" s="167"/>
      <c r="E282" s="167"/>
      <c r="F282" s="167"/>
      <c r="G282" s="167"/>
      <c r="H282" s="167"/>
      <c r="I282" s="167"/>
      <c r="J282" s="168"/>
    </row>
    <row r="283" spans="1:10" s="135" customFormat="1" x14ac:dyDescent="0.2">
      <c r="A283" s="167"/>
      <c r="B283" s="167"/>
      <c r="C283" s="167"/>
      <c r="D283" s="167"/>
      <c r="E283" s="167"/>
      <c r="F283" s="167"/>
      <c r="G283" s="167"/>
      <c r="H283" s="167"/>
      <c r="I283" s="167"/>
      <c r="J283" s="168"/>
    </row>
    <row r="284" spans="1:10" s="135" customFormat="1" x14ac:dyDescent="0.2">
      <c r="A284" s="167"/>
      <c r="B284" s="167"/>
      <c r="C284" s="167"/>
      <c r="D284" s="167"/>
      <c r="E284" s="167"/>
      <c r="F284" s="167"/>
      <c r="G284" s="167"/>
      <c r="H284" s="167"/>
      <c r="I284" s="167"/>
      <c r="J284" s="168"/>
    </row>
    <row r="285" spans="1:10" s="135" customFormat="1" x14ac:dyDescent="0.2">
      <c r="A285" s="167"/>
      <c r="B285" s="167"/>
      <c r="C285" s="167"/>
      <c r="D285" s="167"/>
      <c r="E285" s="167"/>
      <c r="F285" s="167"/>
      <c r="G285" s="167"/>
      <c r="H285" s="167"/>
      <c r="I285" s="167"/>
      <c r="J285" s="168"/>
    </row>
    <row r="286" spans="1:10" s="135" customFormat="1" x14ac:dyDescent="0.2">
      <c r="A286" s="167"/>
      <c r="B286" s="167"/>
      <c r="C286" s="167"/>
      <c r="D286" s="167"/>
      <c r="E286" s="167"/>
      <c r="F286" s="167"/>
      <c r="G286" s="167"/>
      <c r="H286" s="167"/>
      <c r="I286" s="167"/>
      <c r="J286" s="168"/>
    </row>
    <row r="287" spans="1:10" s="135" customFormat="1" x14ac:dyDescent="0.2">
      <c r="A287" s="167"/>
      <c r="B287" s="167"/>
      <c r="C287" s="167"/>
      <c r="D287" s="167"/>
      <c r="E287" s="167"/>
      <c r="F287" s="167"/>
      <c r="G287" s="167"/>
      <c r="H287" s="167"/>
      <c r="I287" s="167"/>
      <c r="J287" s="168"/>
    </row>
    <row r="288" spans="1:10" s="135" customFormat="1" x14ac:dyDescent="0.2">
      <c r="A288" s="167"/>
      <c r="B288" s="167"/>
      <c r="C288" s="167"/>
      <c r="D288" s="167"/>
      <c r="E288" s="167"/>
      <c r="F288" s="167"/>
      <c r="G288" s="167"/>
      <c r="H288" s="167"/>
      <c r="I288" s="167"/>
      <c r="J288" s="168"/>
    </row>
    <row r="289" spans="1:10" s="135" customFormat="1" x14ac:dyDescent="0.2">
      <c r="A289" s="167"/>
      <c r="B289" s="167"/>
      <c r="C289" s="167"/>
      <c r="D289" s="167"/>
      <c r="E289" s="167"/>
      <c r="F289" s="167"/>
      <c r="G289" s="167"/>
      <c r="H289" s="167"/>
      <c r="I289" s="167"/>
      <c r="J289" s="168"/>
    </row>
    <row r="290" spans="1:10" s="135" customFormat="1" x14ac:dyDescent="0.2">
      <c r="A290" s="167"/>
      <c r="B290" s="167"/>
      <c r="C290" s="167"/>
      <c r="D290" s="167"/>
      <c r="E290" s="167"/>
      <c r="F290" s="167"/>
      <c r="G290" s="167"/>
      <c r="H290" s="167"/>
      <c r="I290" s="167"/>
      <c r="J290" s="168"/>
    </row>
    <row r="291" spans="1:10" s="135" customFormat="1" x14ac:dyDescent="0.2">
      <c r="A291" s="167"/>
      <c r="B291" s="167"/>
      <c r="C291" s="167"/>
      <c r="D291" s="167"/>
      <c r="E291" s="167"/>
      <c r="F291" s="167"/>
      <c r="G291" s="167"/>
      <c r="H291" s="167"/>
      <c r="I291" s="167"/>
      <c r="J291" s="168"/>
    </row>
    <row r="292" spans="1:10" s="135" customFormat="1" x14ac:dyDescent="0.2">
      <c r="A292" s="167"/>
      <c r="B292" s="167"/>
      <c r="C292" s="167"/>
      <c r="D292" s="167"/>
      <c r="E292" s="167"/>
      <c r="F292" s="167"/>
      <c r="G292" s="167"/>
      <c r="H292" s="167"/>
      <c r="I292" s="167"/>
      <c r="J292" s="168"/>
    </row>
    <row r="293" spans="1:10" s="135" customFormat="1" x14ac:dyDescent="0.2">
      <c r="A293" s="167"/>
      <c r="B293" s="167"/>
      <c r="C293" s="167"/>
      <c r="D293" s="167"/>
      <c r="E293" s="167"/>
      <c r="F293" s="167"/>
      <c r="G293" s="167"/>
      <c r="H293" s="167"/>
      <c r="I293" s="167"/>
      <c r="J293" s="168"/>
    </row>
    <row r="294" spans="1:10" s="135" customFormat="1" x14ac:dyDescent="0.2">
      <c r="A294" s="167"/>
      <c r="B294" s="167"/>
      <c r="C294" s="167"/>
      <c r="D294" s="167"/>
      <c r="E294" s="167"/>
      <c r="F294" s="167"/>
      <c r="G294" s="167"/>
      <c r="H294" s="167"/>
      <c r="I294" s="167"/>
      <c r="J294" s="168"/>
    </row>
    <row r="295" spans="1:10" s="135" customFormat="1" x14ac:dyDescent="0.2">
      <c r="A295" s="167"/>
      <c r="B295" s="167"/>
      <c r="C295" s="167"/>
      <c r="D295" s="167"/>
      <c r="E295" s="167"/>
      <c r="F295" s="167"/>
      <c r="G295" s="167"/>
      <c r="H295" s="167"/>
      <c r="I295" s="167"/>
      <c r="J295" s="168"/>
    </row>
    <row r="296" spans="1:10" s="135" customFormat="1" x14ac:dyDescent="0.2">
      <c r="A296" s="167"/>
      <c r="B296" s="167"/>
      <c r="C296" s="167"/>
      <c r="D296" s="167"/>
      <c r="E296" s="167"/>
      <c r="F296" s="167"/>
      <c r="G296" s="167"/>
      <c r="H296" s="167"/>
      <c r="I296" s="167"/>
      <c r="J296" s="168"/>
    </row>
    <row r="297" spans="1:10" s="135" customFormat="1" x14ac:dyDescent="0.2">
      <c r="A297" s="167"/>
      <c r="B297" s="167"/>
      <c r="C297" s="167"/>
      <c r="D297" s="167"/>
      <c r="E297" s="167"/>
      <c r="F297" s="167"/>
      <c r="G297" s="167"/>
      <c r="H297" s="167"/>
      <c r="I297" s="167"/>
      <c r="J297" s="168"/>
    </row>
    <row r="298" spans="1:10" s="135" customFormat="1" x14ac:dyDescent="0.2">
      <c r="A298" s="167"/>
      <c r="B298" s="167"/>
      <c r="C298" s="167"/>
      <c r="D298" s="167"/>
      <c r="E298" s="167"/>
      <c r="F298" s="167"/>
      <c r="G298" s="167"/>
      <c r="H298" s="167"/>
      <c r="I298" s="167"/>
      <c r="J298" s="168"/>
    </row>
    <row r="299" spans="1:10" s="135" customFormat="1" x14ac:dyDescent="0.2">
      <c r="A299" s="167"/>
      <c r="B299" s="167"/>
      <c r="C299" s="167"/>
      <c r="D299" s="167"/>
      <c r="E299" s="167"/>
      <c r="F299" s="167"/>
      <c r="G299" s="167"/>
      <c r="H299" s="167"/>
      <c r="I299" s="167"/>
      <c r="J299" s="168"/>
    </row>
    <row r="300" spans="1:10" s="135" customFormat="1" x14ac:dyDescent="0.2">
      <c r="A300" s="167"/>
      <c r="B300" s="167"/>
      <c r="C300" s="167"/>
      <c r="D300" s="167"/>
      <c r="E300" s="167"/>
      <c r="F300" s="167"/>
      <c r="G300" s="167"/>
      <c r="H300" s="167"/>
      <c r="I300" s="167"/>
      <c r="J300" s="168"/>
    </row>
    <row r="301" spans="1:10" s="135" customFormat="1" x14ac:dyDescent="0.2">
      <c r="A301" s="167"/>
      <c r="B301" s="167"/>
      <c r="C301" s="167"/>
      <c r="D301" s="167"/>
      <c r="E301" s="167"/>
      <c r="F301" s="167"/>
      <c r="G301" s="167"/>
      <c r="H301" s="167"/>
      <c r="I301" s="167"/>
      <c r="J301" s="168"/>
    </row>
    <row r="302" spans="1:10" s="135" customFormat="1" x14ac:dyDescent="0.2">
      <c r="A302" s="167"/>
      <c r="B302" s="167"/>
      <c r="C302" s="167"/>
      <c r="D302" s="167"/>
      <c r="E302" s="167"/>
      <c r="F302" s="167"/>
      <c r="G302" s="167"/>
      <c r="H302" s="167"/>
      <c r="I302" s="167"/>
      <c r="J302" s="168"/>
    </row>
    <row r="303" spans="1:10" s="135" customFormat="1" x14ac:dyDescent="0.2">
      <c r="A303" s="167"/>
      <c r="B303" s="167"/>
      <c r="C303" s="167"/>
      <c r="D303" s="167"/>
      <c r="E303" s="167"/>
      <c r="F303" s="167"/>
      <c r="G303" s="167"/>
      <c r="H303" s="167"/>
      <c r="I303" s="167"/>
      <c r="J303" s="168"/>
    </row>
    <row r="304" spans="1:10" s="135" customFormat="1" x14ac:dyDescent="0.2">
      <c r="A304" s="167"/>
      <c r="B304" s="167"/>
      <c r="C304" s="167"/>
      <c r="D304" s="167"/>
      <c r="E304" s="167"/>
      <c r="F304" s="167"/>
      <c r="G304" s="167"/>
      <c r="H304" s="167"/>
      <c r="I304" s="167"/>
      <c r="J304" s="168"/>
    </row>
    <row r="305" spans="1:10" s="135" customFormat="1" x14ac:dyDescent="0.2">
      <c r="A305" s="167"/>
      <c r="B305" s="167"/>
      <c r="C305" s="167"/>
      <c r="D305" s="167"/>
      <c r="E305" s="167"/>
      <c r="F305" s="167"/>
      <c r="G305" s="167"/>
      <c r="H305" s="167"/>
      <c r="I305" s="167"/>
      <c r="J305" s="168"/>
    </row>
    <row r="306" spans="1:10" s="135" customFormat="1" x14ac:dyDescent="0.2">
      <c r="A306" s="167"/>
      <c r="B306" s="167"/>
      <c r="C306" s="167"/>
      <c r="D306" s="167"/>
      <c r="E306" s="167"/>
      <c r="F306" s="167"/>
      <c r="G306" s="167"/>
      <c r="H306" s="167"/>
      <c r="I306" s="167"/>
      <c r="J306" s="168"/>
    </row>
    <row r="307" spans="1:10" s="135" customFormat="1" x14ac:dyDescent="0.2">
      <c r="A307" s="167"/>
      <c r="B307" s="167"/>
      <c r="C307" s="167"/>
      <c r="D307" s="167"/>
      <c r="E307" s="167"/>
      <c r="F307" s="167"/>
      <c r="G307" s="167"/>
      <c r="H307" s="167"/>
      <c r="I307" s="167"/>
      <c r="J307" s="168"/>
    </row>
    <row r="308" spans="1:10" s="135" customFormat="1" x14ac:dyDescent="0.2">
      <c r="A308" s="167"/>
      <c r="B308" s="167"/>
      <c r="C308" s="167"/>
      <c r="D308" s="167"/>
      <c r="E308" s="167"/>
      <c r="F308" s="167"/>
      <c r="G308" s="167"/>
      <c r="H308" s="167"/>
      <c r="I308" s="167"/>
      <c r="J308" s="168"/>
    </row>
    <row r="309" spans="1:10" s="135" customFormat="1" x14ac:dyDescent="0.2">
      <c r="A309" s="167"/>
      <c r="B309" s="167"/>
      <c r="C309" s="167"/>
      <c r="D309" s="167"/>
      <c r="E309" s="167"/>
      <c r="F309" s="167"/>
      <c r="G309" s="167"/>
      <c r="H309" s="167"/>
      <c r="I309" s="167"/>
      <c r="J309" s="168"/>
    </row>
    <row r="310" spans="1:10" s="135" customFormat="1" x14ac:dyDescent="0.2">
      <c r="A310" s="167"/>
      <c r="B310" s="167"/>
      <c r="C310" s="167"/>
      <c r="D310" s="167"/>
      <c r="E310" s="167"/>
      <c r="F310" s="167"/>
      <c r="G310" s="167"/>
      <c r="H310" s="167"/>
      <c r="I310" s="167"/>
      <c r="J310" s="168"/>
    </row>
    <row r="311" spans="1:10" s="135" customFormat="1" x14ac:dyDescent="0.2">
      <c r="A311" s="167"/>
      <c r="B311" s="167"/>
      <c r="C311" s="167"/>
      <c r="D311" s="167"/>
      <c r="E311" s="167"/>
      <c r="F311" s="167"/>
      <c r="G311" s="167"/>
      <c r="H311" s="167"/>
      <c r="I311" s="167"/>
      <c r="J311" s="168"/>
    </row>
    <row r="312" spans="1:10" s="135" customFormat="1" x14ac:dyDescent="0.2">
      <c r="A312" s="167"/>
      <c r="B312" s="167"/>
      <c r="C312" s="167"/>
      <c r="D312" s="167"/>
      <c r="E312" s="167"/>
      <c r="F312" s="167"/>
      <c r="G312" s="167"/>
      <c r="H312" s="167"/>
      <c r="I312" s="167"/>
      <c r="J312" s="168"/>
    </row>
    <row r="313" spans="1:10" s="135" customFormat="1" x14ac:dyDescent="0.2">
      <c r="A313" s="167"/>
      <c r="B313" s="167"/>
      <c r="C313" s="167"/>
      <c r="D313" s="167"/>
      <c r="E313" s="167"/>
      <c r="F313" s="167"/>
      <c r="G313" s="167"/>
      <c r="H313" s="167"/>
      <c r="I313" s="167"/>
      <c r="J313" s="168"/>
    </row>
    <row r="314" spans="1:10" s="135" customFormat="1" x14ac:dyDescent="0.2">
      <c r="A314" s="167"/>
      <c r="B314" s="167"/>
      <c r="C314" s="167"/>
      <c r="D314" s="167"/>
      <c r="E314" s="167"/>
      <c r="F314" s="167"/>
      <c r="G314" s="167"/>
      <c r="H314" s="167"/>
      <c r="I314" s="167"/>
      <c r="J314" s="168"/>
    </row>
    <row r="315" spans="1:10" s="135" customFormat="1" x14ac:dyDescent="0.2">
      <c r="A315" s="167"/>
      <c r="B315" s="167"/>
      <c r="C315" s="167"/>
      <c r="D315" s="167"/>
      <c r="E315" s="167"/>
      <c r="F315" s="167"/>
      <c r="G315" s="167"/>
      <c r="H315" s="167"/>
      <c r="I315" s="167"/>
      <c r="J315" s="168"/>
    </row>
    <row r="316" spans="1:10" s="135" customFormat="1" x14ac:dyDescent="0.2">
      <c r="A316" s="167"/>
      <c r="B316" s="167"/>
      <c r="C316" s="167"/>
      <c r="D316" s="167"/>
      <c r="E316" s="167"/>
      <c r="F316" s="167"/>
      <c r="G316" s="167"/>
      <c r="H316" s="167"/>
      <c r="I316" s="167"/>
      <c r="J316" s="168"/>
    </row>
    <row r="317" spans="1:10" s="135" customFormat="1" x14ac:dyDescent="0.2">
      <c r="A317" s="167"/>
      <c r="B317" s="167"/>
      <c r="C317" s="167"/>
      <c r="D317" s="167"/>
      <c r="E317" s="167"/>
      <c r="F317" s="167"/>
      <c r="G317" s="167"/>
      <c r="H317" s="167"/>
      <c r="I317" s="167"/>
      <c r="J317" s="168"/>
    </row>
    <row r="318" spans="1:10" s="135" customFormat="1" x14ac:dyDescent="0.2">
      <c r="A318" s="167"/>
      <c r="B318" s="167"/>
      <c r="C318" s="167"/>
      <c r="D318" s="167"/>
      <c r="E318" s="167"/>
      <c r="F318" s="167"/>
      <c r="G318" s="167"/>
      <c r="H318" s="167"/>
      <c r="I318" s="167"/>
      <c r="J318" s="168"/>
    </row>
    <row r="319" spans="1:10" s="135" customFormat="1" x14ac:dyDescent="0.2">
      <c r="A319" s="167"/>
      <c r="B319" s="167"/>
      <c r="C319" s="167"/>
      <c r="D319" s="167"/>
      <c r="E319" s="167"/>
      <c r="F319" s="167"/>
      <c r="G319" s="167"/>
      <c r="H319" s="167"/>
      <c r="I319" s="167"/>
      <c r="J319" s="168"/>
    </row>
    <row r="320" spans="1:10" s="135" customFormat="1" x14ac:dyDescent="0.2">
      <c r="A320" s="167"/>
      <c r="B320" s="167"/>
      <c r="C320" s="167"/>
      <c r="D320" s="167"/>
      <c r="E320" s="167"/>
      <c r="F320" s="167"/>
      <c r="G320" s="167"/>
      <c r="H320" s="167"/>
      <c r="I320" s="167"/>
      <c r="J320" s="168"/>
    </row>
    <row r="321" spans="1:10" s="135" customFormat="1" x14ac:dyDescent="0.2">
      <c r="A321" s="167"/>
      <c r="B321" s="167"/>
      <c r="C321" s="167"/>
      <c r="D321" s="167"/>
      <c r="E321" s="167"/>
      <c r="F321" s="167"/>
      <c r="G321" s="167"/>
      <c r="H321" s="167"/>
      <c r="I321" s="167"/>
      <c r="J321" s="168"/>
    </row>
    <row r="322" spans="1:10" s="135" customFormat="1" x14ac:dyDescent="0.2">
      <c r="A322" s="167"/>
      <c r="B322" s="167"/>
      <c r="C322" s="167"/>
      <c r="D322" s="167"/>
      <c r="E322" s="167"/>
      <c r="F322" s="167"/>
      <c r="G322" s="167"/>
      <c r="H322" s="167"/>
      <c r="I322" s="167"/>
      <c r="J322" s="168"/>
    </row>
    <row r="323" spans="1:10" s="135" customFormat="1" x14ac:dyDescent="0.2">
      <c r="A323" s="167"/>
      <c r="B323" s="167"/>
      <c r="C323" s="167"/>
      <c r="D323" s="167"/>
      <c r="E323" s="167"/>
      <c r="F323" s="167"/>
      <c r="G323" s="167"/>
      <c r="H323" s="167"/>
      <c r="I323" s="167"/>
      <c r="J323" s="168"/>
    </row>
    <row r="324" spans="1:10" s="135" customFormat="1" x14ac:dyDescent="0.2">
      <c r="A324" s="167"/>
      <c r="B324" s="167"/>
      <c r="C324" s="167"/>
      <c r="D324" s="167"/>
      <c r="E324" s="167"/>
      <c r="F324" s="167"/>
      <c r="G324" s="167"/>
      <c r="H324" s="167"/>
      <c r="I324" s="167"/>
      <c r="J324" s="168"/>
    </row>
    <row r="325" spans="1:10" s="135" customFormat="1" x14ac:dyDescent="0.2">
      <c r="A325" s="167"/>
      <c r="B325" s="167"/>
      <c r="C325" s="167"/>
      <c r="D325" s="167"/>
      <c r="E325" s="167"/>
      <c r="F325" s="167"/>
      <c r="G325" s="167"/>
      <c r="H325" s="167"/>
      <c r="I325" s="167"/>
      <c r="J325" s="168"/>
    </row>
    <row r="326" spans="1:10" s="135" customFormat="1" x14ac:dyDescent="0.2">
      <c r="A326" s="167"/>
      <c r="B326" s="167"/>
      <c r="C326" s="167"/>
      <c r="D326" s="167"/>
      <c r="E326" s="167"/>
      <c r="F326" s="167"/>
      <c r="G326" s="167"/>
      <c r="H326" s="167"/>
      <c r="I326" s="167"/>
      <c r="J326" s="168"/>
    </row>
    <row r="327" spans="1:10" s="135" customFormat="1" x14ac:dyDescent="0.2">
      <c r="A327" s="167"/>
      <c r="B327" s="167"/>
      <c r="C327" s="167"/>
      <c r="D327" s="167"/>
      <c r="E327" s="167"/>
      <c r="F327" s="167"/>
      <c r="G327" s="167"/>
      <c r="H327" s="167"/>
      <c r="I327" s="167"/>
      <c r="J327" s="168"/>
    </row>
    <row r="328" spans="1:10" s="135" customFormat="1" x14ac:dyDescent="0.2">
      <c r="A328" s="167"/>
      <c r="B328" s="167"/>
      <c r="C328" s="167"/>
      <c r="D328" s="167"/>
      <c r="E328" s="167"/>
      <c r="F328" s="167"/>
      <c r="G328" s="167"/>
      <c r="H328" s="167"/>
      <c r="I328" s="167"/>
      <c r="J328" s="168"/>
    </row>
    <row r="329" spans="1:10" s="135" customFormat="1" x14ac:dyDescent="0.2">
      <c r="A329" s="167"/>
      <c r="B329" s="167"/>
      <c r="C329" s="167"/>
      <c r="D329" s="167"/>
      <c r="E329" s="167"/>
      <c r="F329" s="167"/>
      <c r="G329" s="167"/>
      <c r="H329" s="167"/>
      <c r="I329" s="167"/>
      <c r="J329" s="168"/>
    </row>
    <row r="330" spans="1:10" s="135" customFormat="1" x14ac:dyDescent="0.2">
      <c r="A330" s="167"/>
      <c r="B330" s="167"/>
      <c r="C330" s="167"/>
      <c r="D330" s="167"/>
      <c r="E330" s="167"/>
      <c r="F330" s="167"/>
      <c r="G330" s="167"/>
      <c r="H330" s="167"/>
      <c r="I330" s="167"/>
      <c r="J330" s="168"/>
    </row>
    <row r="331" spans="1:10" s="135" customFormat="1" x14ac:dyDescent="0.2">
      <c r="A331" s="167"/>
      <c r="B331" s="167"/>
      <c r="C331" s="167"/>
      <c r="D331" s="167"/>
      <c r="E331" s="167"/>
      <c r="F331" s="167"/>
      <c r="G331" s="167"/>
      <c r="H331" s="167"/>
      <c r="I331" s="167"/>
      <c r="J331" s="168"/>
    </row>
    <row r="332" spans="1:10" s="135" customFormat="1" x14ac:dyDescent="0.2">
      <c r="A332" s="167"/>
      <c r="B332" s="167"/>
      <c r="C332" s="167"/>
      <c r="D332" s="167"/>
      <c r="E332" s="167"/>
      <c r="F332" s="167"/>
      <c r="G332" s="167"/>
      <c r="H332" s="167"/>
      <c r="I332" s="167"/>
      <c r="J332" s="168"/>
    </row>
    <row r="333" spans="1:10" s="135" customFormat="1" x14ac:dyDescent="0.2">
      <c r="A333" s="167"/>
      <c r="B333" s="167"/>
      <c r="C333" s="167"/>
      <c r="D333" s="167"/>
      <c r="E333" s="167"/>
      <c r="F333" s="167"/>
      <c r="G333" s="167"/>
      <c r="H333" s="167"/>
      <c r="I333" s="167"/>
      <c r="J333" s="168"/>
    </row>
    <row r="334" spans="1:10" s="135" customFormat="1" x14ac:dyDescent="0.2">
      <c r="A334" s="167"/>
      <c r="B334" s="167"/>
      <c r="C334" s="167"/>
      <c r="D334" s="167"/>
      <c r="E334" s="167"/>
      <c r="F334" s="167"/>
      <c r="G334" s="167"/>
      <c r="H334" s="167"/>
      <c r="I334" s="167"/>
      <c r="J334" s="168"/>
    </row>
    <row r="335" spans="1:10" s="135" customFormat="1" x14ac:dyDescent="0.2">
      <c r="A335" s="167"/>
      <c r="B335" s="167"/>
      <c r="C335" s="167"/>
      <c r="D335" s="167"/>
      <c r="E335" s="167"/>
      <c r="F335" s="167"/>
      <c r="G335" s="167"/>
      <c r="H335" s="167"/>
      <c r="I335" s="167"/>
      <c r="J335" s="168"/>
    </row>
    <row r="336" spans="1:10" s="135" customFormat="1" x14ac:dyDescent="0.2">
      <c r="A336" s="167"/>
      <c r="B336" s="167"/>
      <c r="C336" s="167"/>
      <c r="D336" s="167"/>
      <c r="E336" s="167"/>
      <c r="F336" s="167"/>
      <c r="G336" s="167"/>
      <c r="H336" s="167"/>
      <c r="I336" s="167"/>
      <c r="J336" s="168"/>
    </row>
    <row r="337" spans="1:10" s="135" customFormat="1" x14ac:dyDescent="0.2">
      <c r="A337" s="167"/>
      <c r="B337" s="167"/>
      <c r="C337" s="167"/>
      <c r="D337" s="167"/>
      <c r="E337" s="167"/>
      <c r="F337" s="167"/>
      <c r="G337" s="167"/>
      <c r="H337" s="167"/>
      <c r="I337" s="167"/>
      <c r="J337" s="168"/>
    </row>
    <row r="338" spans="1:10" s="135" customFormat="1" x14ac:dyDescent="0.2">
      <c r="A338" s="167"/>
      <c r="B338" s="167"/>
      <c r="C338" s="167"/>
      <c r="D338" s="167"/>
      <c r="E338" s="167"/>
      <c r="F338" s="167"/>
      <c r="G338" s="167"/>
      <c r="H338" s="167"/>
      <c r="I338" s="167"/>
      <c r="J338" s="168"/>
    </row>
    <row r="339" spans="1:10" s="135" customFormat="1" x14ac:dyDescent="0.2">
      <c r="A339" s="167"/>
      <c r="B339" s="167"/>
      <c r="C339" s="167"/>
      <c r="D339" s="167"/>
      <c r="E339" s="167"/>
      <c r="F339" s="167"/>
      <c r="G339" s="167"/>
      <c r="H339" s="167"/>
      <c r="I339" s="167"/>
      <c r="J339" s="168"/>
    </row>
    <row r="340" spans="1:10" s="135" customFormat="1" x14ac:dyDescent="0.2">
      <c r="A340" s="167"/>
      <c r="B340" s="167"/>
      <c r="C340" s="167"/>
      <c r="D340" s="167"/>
      <c r="E340" s="167"/>
      <c r="F340" s="167"/>
      <c r="G340" s="167"/>
      <c r="H340" s="167"/>
      <c r="I340" s="167"/>
      <c r="J340" s="168"/>
    </row>
    <row r="341" spans="1:10" s="135" customFormat="1" x14ac:dyDescent="0.2">
      <c r="A341" s="167"/>
      <c r="B341" s="167"/>
      <c r="C341" s="167"/>
      <c r="D341" s="167"/>
      <c r="E341" s="167"/>
      <c r="F341" s="167"/>
      <c r="G341" s="167"/>
      <c r="H341" s="167"/>
      <c r="I341" s="167"/>
      <c r="J341" s="168"/>
    </row>
    <row r="342" spans="1:10" s="135" customFormat="1" x14ac:dyDescent="0.2">
      <c r="A342" s="167"/>
      <c r="B342" s="167"/>
      <c r="C342" s="167"/>
      <c r="D342" s="167"/>
      <c r="E342" s="167"/>
      <c r="F342" s="167"/>
      <c r="G342" s="167"/>
      <c r="H342" s="167"/>
      <c r="I342" s="167"/>
      <c r="J342" s="168"/>
    </row>
    <row r="343" spans="1:10" s="135" customFormat="1" x14ac:dyDescent="0.2">
      <c r="A343" s="167"/>
      <c r="B343" s="167"/>
      <c r="C343" s="167"/>
      <c r="D343" s="167"/>
      <c r="E343" s="167"/>
      <c r="F343" s="167"/>
      <c r="G343" s="167"/>
      <c r="H343" s="167"/>
      <c r="I343" s="167"/>
      <c r="J343" s="168"/>
    </row>
    <row r="344" spans="1:10" s="135" customFormat="1" x14ac:dyDescent="0.2">
      <c r="A344" s="167"/>
      <c r="B344" s="167"/>
      <c r="C344" s="167"/>
      <c r="D344" s="167"/>
      <c r="E344" s="167"/>
      <c r="F344" s="167"/>
      <c r="G344" s="167"/>
      <c r="H344" s="167"/>
      <c r="I344" s="167"/>
      <c r="J344" s="168"/>
    </row>
    <row r="345" spans="1:10" s="135" customFormat="1" x14ac:dyDescent="0.2">
      <c r="A345" s="167"/>
      <c r="B345" s="167"/>
      <c r="C345" s="167"/>
      <c r="D345" s="167"/>
      <c r="E345" s="167"/>
      <c r="F345" s="167"/>
      <c r="G345" s="167"/>
      <c r="H345" s="167"/>
      <c r="I345" s="167"/>
      <c r="J345" s="168"/>
    </row>
    <row r="346" spans="1:10" s="135" customFormat="1" x14ac:dyDescent="0.2">
      <c r="A346" s="167"/>
      <c r="B346" s="167"/>
      <c r="C346" s="167"/>
      <c r="D346" s="167"/>
      <c r="E346" s="167"/>
      <c r="F346" s="167"/>
      <c r="G346" s="167"/>
      <c r="H346" s="167"/>
      <c r="I346" s="167"/>
      <c r="J346" s="168"/>
    </row>
    <row r="347" spans="1:10" s="135" customFormat="1" x14ac:dyDescent="0.2">
      <c r="A347" s="167"/>
      <c r="B347" s="167"/>
      <c r="C347" s="167"/>
      <c r="D347" s="167"/>
      <c r="E347" s="167"/>
      <c r="F347" s="167"/>
      <c r="G347" s="167"/>
      <c r="H347" s="167"/>
      <c r="I347" s="167"/>
      <c r="J347" s="168"/>
    </row>
    <row r="348" spans="1:10" s="135" customFormat="1" x14ac:dyDescent="0.2">
      <c r="A348" s="167"/>
      <c r="B348" s="167"/>
      <c r="C348" s="167"/>
      <c r="D348" s="167"/>
      <c r="E348" s="167"/>
      <c r="F348" s="167"/>
      <c r="G348" s="167"/>
      <c r="H348" s="167"/>
      <c r="I348" s="167"/>
      <c r="J348" s="168"/>
    </row>
    <row r="349" spans="1:10" s="135" customFormat="1" x14ac:dyDescent="0.2">
      <c r="A349" s="167"/>
      <c r="B349" s="167"/>
      <c r="C349" s="167"/>
      <c r="D349" s="167"/>
      <c r="E349" s="167"/>
      <c r="F349" s="167"/>
      <c r="G349" s="167"/>
      <c r="H349" s="167"/>
      <c r="I349" s="167"/>
      <c r="J349" s="168"/>
    </row>
    <row r="350" spans="1:10" s="135" customFormat="1" x14ac:dyDescent="0.2">
      <c r="A350" s="167"/>
      <c r="B350" s="167"/>
      <c r="C350" s="167"/>
      <c r="D350" s="167"/>
      <c r="E350" s="167"/>
      <c r="F350" s="167"/>
      <c r="G350" s="167"/>
      <c r="H350" s="167"/>
      <c r="I350" s="167"/>
      <c r="J350" s="168"/>
    </row>
    <row r="351" spans="1:10" s="135" customFormat="1" x14ac:dyDescent="0.2">
      <c r="A351" s="167"/>
      <c r="B351" s="167"/>
      <c r="C351" s="167"/>
      <c r="D351" s="167"/>
      <c r="E351" s="167"/>
      <c r="F351" s="167"/>
      <c r="G351" s="167"/>
      <c r="H351" s="167"/>
      <c r="I351" s="167"/>
      <c r="J351" s="168"/>
    </row>
    <row r="352" spans="1:10" s="135" customFormat="1" x14ac:dyDescent="0.2">
      <c r="A352" s="167"/>
      <c r="B352" s="167"/>
      <c r="C352" s="167"/>
      <c r="D352" s="167"/>
      <c r="E352" s="167"/>
      <c r="F352" s="167"/>
      <c r="G352" s="167"/>
      <c r="H352" s="167"/>
      <c r="I352" s="167"/>
      <c r="J352" s="168"/>
    </row>
    <row r="353" spans="1:10" s="135" customFormat="1" x14ac:dyDescent="0.2">
      <c r="A353" s="167"/>
      <c r="B353" s="167"/>
      <c r="C353" s="167"/>
      <c r="D353" s="167"/>
      <c r="E353" s="167"/>
      <c r="F353" s="167"/>
      <c r="G353" s="167"/>
      <c r="H353" s="167"/>
      <c r="I353" s="167"/>
      <c r="J353" s="168"/>
    </row>
    <row r="354" spans="1:10" s="135" customFormat="1" x14ac:dyDescent="0.2">
      <c r="A354" s="167"/>
      <c r="B354" s="167"/>
      <c r="C354" s="167"/>
      <c r="D354" s="167"/>
      <c r="E354" s="167"/>
      <c r="F354" s="167"/>
      <c r="G354" s="167"/>
      <c r="H354" s="167"/>
      <c r="I354" s="167"/>
      <c r="J354" s="168"/>
    </row>
    <row r="355" spans="1:10" s="135" customFormat="1" x14ac:dyDescent="0.2">
      <c r="A355" s="167"/>
      <c r="B355" s="167"/>
      <c r="C355" s="167"/>
      <c r="D355" s="167"/>
      <c r="E355" s="167"/>
      <c r="F355" s="167"/>
      <c r="G355" s="167"/>
      <c r="H355" s="167"/>
      <c r="I355" s="167"/>
      <c r="J355" s="168"/>
    </row>
    <row r="356" spans="1:10" s="135" customFormat="1" x14ac:dyDescent="0.2">
      <c r="A356" s="167"/>
      <c r="B356" s="167"/>
      <c r="C356" s="167"/>
      <c r="D356" s="167"/>
      <c r="E356" s="167"/>
      <c r="F356" s="167"/>
      <c r="G356" s="167"/>
      <c r="H356" s="167"/>
      <c r="I356" s="167"/>
      <c r="J356" s="168"/>
    </row>
    <row r="357" spans="1:10" s="135" customFormat="1" x14ac:dyDescent="0.2">
      <c r="A357" s="167"/>
      <c r="B357" s="167"/>
      <c r="C357" s="167"/>
      <c r="D357" s="167"/>
      <c r="E357" s="167"/>
      <c r="F357" s="167"/>
      <c r="G357" s="167"/>
      <c r="H357" s="167"/>
      <c r="I357" s="167"/>
      <c r="J357" s="168"/>
    </row>
    <row r="358" spans="1:10" s="135" customFormat="1" x14ac:dyDescent="0.2">
      <c r="A358" s="167"/>
      <c r="B358" s="167"/>
      <c r="C358" s="167"/>
      <c r="D358" s="167"/>
      <c r="E358" s="167"/>
      <c r="F358" s="167"/>
      <c r="G358" s="167"/>
      <c r="H358" s="167"/>
      <c r="I358" s="167"/>
      <c r="J358" s="168"/>
    </row>
    <row r="359" spans="1:10" s="135" customFormat="1" x14ac:dyDescent="0.2">
      <c r="A359" s="167"/>
      <c r="B359" s="167"/>
      <c r="C359" s="167"/>
      <c r="D359" s="167"/>
      <c r="E359" s="167"/>
      <c r="F359" s="167"/>
      <c r="G359" s="167"/>
      <c r="H359" s="167"/>
      <c r="I359" s="167"/>
      <c r="J359" s="168"/>
    </row>
    <row r="360" spans="1:10" s="135" customFormat="1" x14ac:dyDescent="0.2">
      <c r="A360" s="167"/>
      <c r="B360" s="167"/>
      <c r="C360" s="167"/>
      <c r="D360" s="167"/>
      <c r="E360" s="167"/>
      <c r="F360" s="167"/>
      <c r="G360" s="167"/>
      <c r="H360" s="167"/>
      <c r="I360" s="167"/>
      <c r="J360" s="168"/>
    </row>
    <row r="361" spans="1:10" s="135" customFormat="1" x14ac:dyDescent="0.2">
      <c r="A361" s="167"/>
      <c r="B361" s="167"/>
      <c r="C361" s="167"/>
      <c r="D361" s="167"/>
      <c r="E361" s="167"/>
      <c r="F361" s="167"/>
      <c r="G361" s="167"/>
      <c r="H361" s="167"/>
      <c r="I361" s="167"/>
      <c r="J361" s="168"/>
    </row>
    <row r="362" spans="1:10" s="135" customFormat="1" x14ac:dyDescent="0.2">
      <c r="A362" s="167"/>
      <c r="B362" s="167"/>
      <c r="C362" s="167"/>
      <c r="D362" s="167"/>
      <c r="E362" s="167"/>
      <c r="F362" s="167"/>
      <c r="G362" s="167"/>
      <c r="H362" s="167"/>
      <c r="I362" s="167"/>
      <c r="J362" s="168"/>
    </row>
    <row r="363" spans="1:10" s="135" customFormat="1" x14ac:dyDescent="0.2">
      <c r="A363" s="167"/>
      <c r="B363" s="167"/>
      <c r="C363" s="167"/>
      <c r="D363" s="167"/>
      <c r="E363" s="167"/>
      <c r="F363" s="167"/>
      <c r="G363" s="167"/>
      <c r="H363" s="167"/>
      <c r="I363" s="167"/>
      <c r="J363" s="168"/>
    </row>
    <row r="364" spans="1:10" s="135" customFormat="1" x14ac:dyDescent="0.2">
      <c r="A364" s="167"/>
      <c r="B364" s="167"/>
      <c r="C364" s="167"/>
      <c r="D364" s="167"/>
      <c r="E364" s="167"/>
      <c r="F364" s="167"/>
      <c r="G364" s="167"/>
      <c r="H364" s="167"/>
      <c r="I364" s="167"/>
      <c r="J364" s="168"/>
    </row>
    <row r="365" spans="1:10" s="135" customFormat="1" x14ac:dyDescent="0.2">
      <c r="A365" s="167"/>
      <c r="B365" s="167"/>
      <c r="C365" s="167"/>
      <c r="D365" s="167"/>
      <c r="E365" s="167"/>
      <c r="F365" s="167"/>
      <c r="G365" s="167"/>
      <c r="H365" s="167"/>
      <c r="I365" s="167"/>
      <c r="J365" s="168"/>
    </row>
    <row r="366" spans="1:10" s="135" customFormat="1" x14ac:dyDescent="0.2">
      <c r="A366" s="167"/>
      <c r="B366" s="167"/>
      <c r="C366" s="167"/>
      <c r="D366" s="167"/>
      <c r="E366" s="167"/>
      <c r="F366" s="167"/>
      <c r="G366" s="167"/>
      <c r="H366" s="167"/>
      <c r="I366" s="167"/>
      <c r="J366" s="168"/>
    </row>
    <row r="367" spans="1:10" s="135" customFormat="1" x14ac:dyDescent="0.2">
      <c r="A367" s="167"/>
      <c r="B367" s="167"/>
      <c r="C367" s="167"/>
      <c r="D367" s="167"/>
      <c r="E367" s="167"/>
      <c r="F367" s="167"/>
      <c r="G367" s="167"/>
      <c r="H367" s="167"/>
      <c r="I367" s="167"/>
      <c r="J367" s="168"/>
    </row>
    <row r="368" spans="1:10" s="135" customFormat="1" x14ac:dyDescent="0.2">
      <c r="A368" s="167"/>
      <c r="B368" s="167"/>
      <c r="C368" s="167"/>
      <c r="D368" s="167"/>
      <c r="E368" s="167"/>
      <c r="F368" s="167"/>
      <c r="G368" s="167"/>
      <c r="H368" s="167"/>
      <c r="I368" s="167"/>
      <c r="J368" s="168"/>
    </row>
    <row r="369" spans="1:10" s="135" customFormat="1" x14ac:dyDescent="0.2">
      <c r="A369" s="167"/>
      <c r="B369" s="167"/>
      <c r="C369" s="167"/>
      <c r="D369" s="167"/>
      <c r="E369" s="167"/>
      <c r="F369" s="167"/>
      <c r="G369" s="167"/>
      <c r="H369" s="167"/>
      <c r="I369" s="167"/>
      <c r="J369" s="168"/>
    </row>
    <row r="370" spans="1:10" s="135" customFormat="1" x14ac:dyDescent="0.2">
      <c r="A370" s="167"/>
      <c r="B370" s="167"/>
      <c r="C370" s="167"/>
      <c r="D370" s="167"/>
      <c r="E370" s="167"/>
      <c r="F370" s="167"/>
      <c r="G370" s="167"/>
      <c r="H370" s="167"/>
      <c r="I370" s="167"/>
      <c r="J370" s="168"/>
    </row>
    <row r="371" spans="1:10" s="135" customFormat="1" x14ac:dyDescent="0.2">
      <c r="A371" s="167"/>
      <c r="B371" s="167"/>
      <c r="C371" s="167"/>
      <c r="D371" s="167"/>
      <c r="E371" s="167"/>
      <c r="F371" s="167"/>
      <c r="G371" s="167"/>
      <c r="H371" s="167"/>
      <c r="I371" s="167"/>
      <c r="J371" s="168"/>
    </row>
    <row r="372" spans="1:10" s="135" customFormat="1" x14ac:dyDescent="0.2">
      <c r="A372" s="167"/>
      <c r="B372" s="167"/>
      <c r="C372" s="167"/>
      <c r="D372" s="167"/>
      <c r="E372" s="167"/>
      <c r="F372" s="167"/>
      <c r="G372" s="167"/>
      <c r="H372" s="167"/>
      <c r="I372" s="167"/>
      <c r="J372" s="168"/>
    </row>
    <row r="373" spans="1:10" s="135" customFormat="1" x14ac:dyDescent="0.2">
      <c r="A373" s="167"/>
      <c r="B373" s="167"/>
      <c r="C373" s="167"/>
      <c r="D373" s="167"/>
      <c r="E373" s="167"/>
      <c r="F373" s="167"/>
      <c r="G373" s="167"/>
      <c r="H373" s="167"/>
      <c r="I373" s="167"/>
      <c r="J373" s="168"/>
    </row>
    <row r="374" spans="1:10" s="135" customFormat="1" x14ac:dyDescent="0.2">
      <c r="A374" s="167"/>
      <c r="B374" s="167"/>
      <c r="C374" s="167"/>
      <c r="D374" s="167"/>
      <c r="E374" s="167"/>
      <c r="F374" s="167"/>
      <c r="G374" s="167"/>
      <c r="H374" s="167"/>
      <c r="I374" s="167"/>
      <c r="J374" s="168"/>
    </row>
    <row r="375" spans="1:10" s="135" customFormat="1" x14ac:dyDescent="0.2">
      <c r="A375" s="167"/>
      <c r="B375" s="167"/>
      <c r="C375" s="167"/>
      <c r="D375" s="167"/>
      <c r="E375" s="167"/>
      <c r="F375" s="167"/>
      <c r="G375" s="167"/>
      <c r="H375" s="167"/>
      <c r="I375" s="167"/>
      <c r="J375" s="168"/>
    </row>
    <row r="376" spans="1:10" s="135" customFormat="1" x14ac:dyDescent="0.2">
      <c r="A376" s="167"/>
      <c r="B376" s="167"/>
      <c r="C376" s="167"/>
      <c r="D376" s="167"/>
      <c r="E376" s="167"/>
      <c r="F376" s="167"/>
      <c r="G376" s="167"/>
      <c r="H376" s="167"/>
      <c r="I376" s="167"/>
      <c r="J376" s="168"/>
    </row>
    <row r="377" spans="1:10" s="135" customFormat="1" x14ac:dyDescent="0.2">
      <c r="A377" s="167"/>
      <c r="B377" s="167"/>
      <c r="C377" s="167"/>
      <c r="D377" s="167"/>
      <c r="E377" s="167"/>
      <c r="F377" s="167"/>
      <c r="G377" s="167"/>
      <c r="H377" s="167"/>
      <c r="I377" s="167"/>
      <c r="J377" s="168"/>
    </row>
    <row r="378" spans="1:10" s="135" customFormat="1" x14ac:dyDescent="0.2">
      <c r="A378" s="167"/>
      <c r="B378" s="167"/>
      <c r="C378" s="167"/>
      <c r="D378" s="167"/>
      <c r="E378" s="167"/>
      <c r="F378" s="167"/>
      <c r="G378" s="167"/>
      <c r="H378" s="167"/>
      <c r="I378" s="167"/>
      <c r="J378" s="168"/>
    </row>
    <row r="379" spans="1:10" s="135" customFormat="1" x14ac:dyDescent="0.2">
      <c r="A379" s="167"/>
      <c r="B379" s="167"/>
      <c r="C379" s="167"/>
      <c r="D379" s="167"/>
      <c r="E379" s="167"/>
      <c r="F379" s="167"/>
      <c r="G379" s="167"/>
      <c r="H379" s="167"/>
      <c r="I379" s="167"/>
      <c r="J379" s="168"/>
    </row>
    <row r="380" spans="1:10" s="135" customFormat="1" x14ac:dyDescent="0.2">
      <c r="A380" s="167"/>
      <c r="B380" s="167"/>
      <c r="C380" s="167"/>
      <c r="D380" s="167"/>
      <c r="E380" s="167"/>
      <c r="F380" s="167"/>
      <c r="G380" s="167"/>
      <c r="H380" s="167"/>
      <c r="I380" s="167"/>
      <c r="J380" s="168"/>
    </row>
    <row r="381" spans="1:10" s="135" customFormat="1" x14ac:dyDescent="0.2">
      <c r="A381" s="167"/>
      <c r="B381" s="167"/>
      <c r="C381" s="167"/>
      <c r="D381" s="167"/>
      <c r="E381" s="167"/>
      <c r="F381" s="167"/>
      <c r="G381" s="167"/>
      <c r="H381" s="167"/>
      <c r="I381" s="167"/>
      <c r="J381" s="168"/>
    </row>
    <row r="382" spans="1:10" s="135" customFormat="1" x14ac:dyDescent="0.2">
      <c r="A382" s="167"/>
      <c r="B382" s="167"/>
      <c r="C382" s="167"/>
      <c r="D382" s="167"/>
      <c r="E382" s="167"/>
      <c r="F382" s="167"/>
      <c r="G382" s="167"/>
      <c r="H382" s="167"/>
      <c r="I382" s="167"/>
      <c r="J382" s="168"/>
    </row>
    <row r="383" spans="1:10" s="135" customFormat="1" x14ac:dyDescent="0.2">
      <c r="A383" s="167"/>
      <c r="B383" s="167"/>
      <c r="C383" s="167"/>
      <c r="D383" s="167"/>
      <c r="E383" s="167"/>
      <c r="F383" s="167"/>
      <c r="G383" s="167"/>
      <c r="H383" s="167"/>
      <c r="I383" s="167"/>
      <c r="J383" s="168"/>
    </row>
    <row r="384" spans="1:10" s="135" customFormat="1" x14ac:dyDescent="0.2">
      <c r="A384" s="167"/>
      <c r="B384" s="167"/>
      <c r="C384" s="167"/>
      <c r="D384" s="167"/>
      <c r="E384" s="167"/>
      <c r="F384" s="167"/>
      <c r="G384" s="167"/>
      <c r="H384" s="167"/>
      <c r="I384" s="167"/>
      <c r="J384" s="168"/>
    </row>
    <row r="385" spans="1:10" s="135" customFormat="1" x14ac:dyDescent="0.2">
      <c r="A385" s="167"/>
      <c r="B385" s="167"/>
      <c r="C385" s="167"/>
      <c r="D385" s="167"/>
      <c r="E385" s="167"/>
      <c r="F385" s="167"/>
      <c r="G385" s="167"/>
      <c r="H385" s="167"/>
      <c r="I385" s="167"/>
      <c r="J385" s="168"/>
    </row>
    <row r="386" spans="1:10" s="135" customFormat="1" x14ac:dyDescent="0.2">
      <c r="A386" s="167"/>
      <c r="B386" s="167"/>
      <c r="C386" s="167"/>
      <c r="D386" s="167"/>
      <c r="E386" s="167"/>
      <c r="F386" s="167"/>
      <c r="G386" s="167"/>
      <c r="H386" s="167"/>
      <c r="I386" s="167"/>
      <c r="J386" s="168"/>
    </row>
    <row r="387" spans="1:10" s="135" customFormat="1" x14ac:dyDescent="0.2">
      <c r="A387" s="167"/>
      <c r="B387" s="167"/>
      <c r="C387" s="167"/>
      <c r="D387" s="167"/>
      <c r="E387" s="167"/>
      <c r="F387" s="167"/>
      <c r="G387" s="167"/>
      <c r="H387" s="167"/>
      <c r="I387" s="167"/>
      <c r="J387" s="168"/>
    </row>
    <row r="388" spans="1:10" s="135" customFormat="1" x14ac:dyDescent="0.2">
      <c r="A388" s="167"/>
      <c r="B388" s="167"/>
      <c r="C388" s="167"/>
      <c r="D388" s="167"/>
      <c r="E388" s="167"/>
      <c r="F388" s="167"/>
      <c r="G388" s="167"/>
      <c r="H388" s="167"/>
      <c r="I388" s="167"/>
      <c r="J388" s="168"/>
    </row>
    <row r="389" spans="1:10" s="135" customFormat="1" x14ac:dyDescent="0.2">
      <c r="A389" s="167"/>
      <c r="B389" s="167"/>
      <c r="C389" s="167"/>
      <c r="D389" s="167"/>
      <c r="E389" s="167"/>
      <c r="F389" s="167"/>
      <c r="G389" s="167"/>
      <c r="H389" s="167"/>
      <c r="I389" s="167"/>
      <c r="J389" s="168"/>
    </row>
    <row r="390" spans="1:10" s="135" customFormat="1" x14ac:dyDescent="0.2">
      <c r="A390" s="167"/>
      <c r="B390" s="167"/>
      <c r="C390" s="167"/>
      <c r="D390" s="167"/>
      <c r="E390" s="167"/>
      <c r="F390" s="167"/>
      <c r="G390" s="167"/>
      <c r="H390" s="167"/>
      <c r="I390" s="167"/>
      <c r="J390" s="168"/>
    </row>
    <row r="391" spans="1:10" s="135" customFormat="1" x14ac:dyDescent="0.2">
      <c r="A391" s="167"/>
      <c r="B391" s="167"/>
      <c r="C391" s="167"/>
      <c r="D391" s="167"/>
      <c r="E391" s="167"/>
      <c r="F391" s="167"/>
      <c r="G391" s="167"/>
      <c r="H391" s="167"/>
      <c r="I391" s="167"/>
      <c r="J391" s="168"/>
    </row>
    <row r="392" spans="1:10" s="135" customFormat="1" x14ac:dyDescent="0.2">
      <c r="A392" s="167"/>
      <c r="B392" s="167"/>
      <c r="C392" s="167"/>
      <c r="D392" s="167"/>
      <c r="E392" s="167"/>
      <c r="F392" s="167"/>
      <c r="G392" s="167"/>
      <c r="H392" s="167"/>
      <c r="I392" s="167"/>
      <c r="J392" s="168"/>
    </row>
    <row r="393" spans="1:10" s="135" customFormat="1" x14ac:dyDescent="0.2">
      <c r="A393" s="167"/>
      <c r="B393" s="167"/>
      <c r="C393" s="167"/>
      <c r="D393" s="167"/>
      <c r="E393" s="167"/>
      <c r="F393" s="167"/>
      <c r="G393" s="167"/>
      <c r="H393" s="167"/>
      <c r="I393" s="167"/>
      <c r="J393" s="168"/>
    </row>
    <row r="394" spans="1:10" s="135" customFormat="1" x14ac:dyDescent="0.2">
      <c r="A394" s="167"/>
      <c r="B394" s="167"/>
      <c r="C394" s="167"/>
      <c r="D394" s="167"/>
      <c r="E394" s="167"/>
      <c r="F394" s="167"/>
      <c r="G394" s="167"/>
      <c r="H394" s="167"/>
      <c r="I394" s="167"/>
      <c r="J394" s="168"/>
    </row>
    <row r="395" spans="1:10" s="135" customFormat="1" x14ac:dyDescent="0.2">
      <c r="A395" s="167"/>
      <c r="B395" s="167"/>
      <c r="C395" s="167"/>
      <c r="D395" s="167"/>
      <c r="E395" s="167"/>
      <c r="F395" s="167"/>
      <c r="G395" s="167"/>
      <c r="H395" s="167"/>
      <c r="I395" s="167"/>
      <c r="J395" s="168"/>
    </row>
    <row r="396" spans="1:10" s="135" customFormat="1" x14ac:dyDescent="0.2">
      <c r="A396" s="167"/>
      <c r="B396" s="167"/>
      <c r="C396" s="167"/>
      <c r="D396" s="167"/>
      <c r="E396" s="167"/>
      <c r="F396" s="167"/>
      <c r="G396" s="167"/>
      <c r="H396" s="167"/>
      <c r="I396" s="167"/>
      <c r="J396" s="168"/>
    </row>
    <row r="397" spans="1:10" s="135" customFormat="1" x14ac:dyDescent="0.2">
      <c r="A397" s="167"/>
      <c r="B397" s="167"/>
      <c r="C397" s="167"/>
      <c r="D397" s="167"/>
      <c r="E397" s="167"/>
      <c r="F397" s="167"/>
      <c r="G397" s="167"/>
      <c r="H397" s="167"/>
      <c r="I397" s="167"/>
      <c r="J397" s="168"/>
    </row>
    <row r="398" spans="1:10" s="135" customFormat="1" x14ac:dyDescent="0.2">
      <c r="A398" s="167"/>
      <c r="B398" s="167"/>
      <c r="C398" s="167"/>
      <c r="D398" s="167"/>
      <c r="E398" s="167"/>
      <c r="F398" s="167"/>
      <c r="G398" s="167"/>
      <c r="H398" s="167"/>
      <c r="I398" s="167"/>
      <c r="J398" s="168"/>
    </row>
    <row r="399" spans="1:10" s="135" customFormat="1" x14ac:dyDescent="0.2">
      <c r="A399" s="167"/>
      <c r="B399" s="167"/>
      <c r="C399" s="167"/>
      <c r="D399" s="167"/>
      <c r="E399" s="167"/>
      <c r="F399" s="167"/>
      <c r="G399" s="167"/>
      <c r="H399" s="167"/>
      <c r="I399" s="167"/>
      <c r="J399" s="168"/>
    </row>
    <row r="400" spans="1:10" s="135" customFormat="1" x14ac:dyDescent="0.2">
      <c r="A400" s="167"/>
      <c r="B400" s="167"/>
      <c r="C400" s="167"/>
      <c r="D400" s="167"/>
      <c r="E400" s="167"/>
      <c r="F400" s="167"/>
      <c r="G400" s="167"/>
      <c r="H400" s="167"/>
      <c r="I400" s="167"/>
      <c r="J400" s="168"/>
    </row>
    <row r="401" spans="1:10" s="135" customFormat="1" x14ac:dyDescent="0.2">
      <c r="A401" s="167"/>
      <c r="B401" s="167"/>
      <c r="C401" s="167"/>
      <c r="D401" s="167"/>
      <c r="E401" s="167"/>
      <c r="F401" s="167"/>
      <c r="G401" s="167"/>
      <c r="H401" s="167"/>
      <c r="I401" s="167"/>
      <c r="J401" s="168"/>
    </row>
    <row r="402" spans="1:10" s="135" customFormat="1" x14ac:dyDescent="0.2">
      <c r="A402" s="167"/>
      <c r="B402" s="167"/>
      <c r="C402" s="167"/>
      <c r="D402" s="167"/>
      <c r="E402" s="167"/>
      <c r="F402" s="167"/>
      <c r="G402" s="167"/>
      <c r="H402" s="167"/>
      <c r="I402" s="167"/>
      <c r="J402" s="168"/>
    </row>
    <row r="403" spans="1:10" s="135" customFormat="1" x14ac:dyDescent="0.2">
      <c r="A403" s="167"/>
      <c r="B403" s="167"/>
      <c r="C403" s="167"/>
      <c r="D403" s="167"/>
      <c r="E403" s="167"/>
      <c r="F403" s="167"/>
      <c r="G403" s="167"/>
      <c r="H403" s="167"/>
      <c r="I403" s="167"/>
      <c r="J403" s="168"/>
    </row>
    <row r="404" spans="1:10" s="135" customFormat="1" x14ac:dyDescent="0.2">
      <c r="A404" s="167"/>
      <c r="B404" s="167"/>
      <c r="C404" s="167"/>
      <c r="D404" s="167"/>
      <c r="E404" s="167"/>
      <c r="F404" s="167"/>
      <c r="G404" s="167"/>
      <c r="H404" s="167"/>
      <c r="I404" s="167"/>
      <c r="J404" s="168"/>
    </row>
    <row r="405" spans="1:10" s="135" customFormat="1" x14ac:dyDescent="0.2">
      <c r="A405" s="167"/>
      <c r="B405" s="167"/>
      <c r="C405" s="167"/>
      <c r="D405" s="167"/>
      <c r="E405" s="167"/>
      <c r="F405" s="167"/>
      <c r="G405" s="167"/>
      <c r="H405" s="167"/>
      <c r="I405" s="167"/>
      <c r="J405" s="168"/>
    </row>
    <row r="406" spans="1:10" s="135" customFormat="1" x14ac:dyDescent="0.2">
      <c r="A406" s="167"/>
      <c r="B406" s="167"/>
      <c r="C406" s="167"/>
      <c r="D406" s="167"/>
      <c r="E406" s="167"/>
      <c r="F406" s="167"/>
      <c r="G406" s="167"/>
      <c r="H406" s="167"/>
      <c r="I406" s="167"/>
      <c r="J406" s="168"/>
    </row>
    <row r="407" spans="1:10" s="135" customFormat="1" x14ac:dyDescent="0.2">
      <c r="A407" s="167"/>
      <c r="B407" s="167"/>
      <c r="C407" s="167"/>
      <c r="D407" s="167"/>
      <c r="E407" s="167"/>
      <c r="F407" s="167"/>
      <c r="G407" s="167"/>
      <c r="H407" s="167"/>
      <c r="I407" s="167"/>
      <c r="J407" s="168"/>
    </row>
    <row r="408" spans="1:10" s="135" customFormat="1" x14ac:dyDescent="0.2">
      <c r="A408" s="167"/>
      <c r="B408" s="167"/>
      <c r="C408" s="167"/>
      <c r="D408" s="167"/>
      <c r="E408" s="167"/>
      <c r="F408" s="167"/>
      <c r="G408" s="167"/>
      <c r="H408" s="167"/>
      <c r="I408" s="167"/>
      <c r="J408" s="168"/>
    </row>
    <row r="409" spans="1:10" s="135" customFormat="1" x14ac:dyDescent="0.2">
      <c r="A409" s="167"/>
      <c r="B409" s="167"/>
      <c r="C409" s="167"/>
      <c r="D409" s="167"/>
      <c r="E409" s="167"/>
      <c r="F409" s="167"/>
      <c r="G409" s="167"/>
      <c r="H409" s="167"/>
      <c r="I409" s="167"/>
      <c r="J409" s="168"/>
    </row>
    <row r="410" spans="1:10" s="135" customFormat="1" x14ac:dyDescent="0.2">
      <c r="A410" s="167"/>
      <c r="B410" s="167"/>
      <c r="C410" s="167"/>
      <c r="D410" s="167"/>
      <c r="E410" s="167"/>
      <c r="F410" s="167"/>
      <c r="G410" s="167"/>
      <c r="H410" s="167"/>
      <c r="I410" s="167"/>
      <c r="J410" s="168"/>
    </row>
    <row r="411" spans="1:10" s="135" customFormat="1" x14ac:dyDescent="0.2">
      <c r="A411" s="167"/>
      <c r="B411" s="167"/>
      <c r="C411" s="167"/>
      <c r="D411" s="167"/>
      <c r="E411" s="167"/>
      <c r="F411" s="167"/>
      <c r="G411" s="167"/>
      <c r="H411" s="167"/>
      <c r="I411" s="167"/>
      <c r="J411" s="168"/>
    </row>
    <row r="412" spans="1:10" s="135" customFormat="1" x14ac:dyDescent="0.2">
      <c r="A412" s="167"/>
      <c r="B412" s="167"/>
      <c r="C412" s="167"/>
      <c r="D412" s="167"/>
      <c r="E412" s="167"/>
      <c r="F412" s="167"/>
      <c r="G412" s="167"/>
      <c r="H412" s="167"/>
      <c r="I412" s="167"/>
      <c r="J412" s="168"/>
    </row>
    <row r="413" spans="1:10" s="135" customFormat="1" x14ac:dyDescent="0.2">
      <c r="A413" s="167"/>
      <c r="B413" s="167"/>
      <c r="C413" s="167"/>
      <c r="D413" s="167"/>
      <c r="E413" s="167"/>
      <c r="F413" s="167"/>
      <c r="G413" s="167"/>
      <c r="H413" s="167"/>
      <c r="I413" s="167"/>
      <c r="J413" s="168"/>
    </row>
    <row r="414" spans="1:10" s="135" customFormat="1" x14ac:dyDescent="0.2">
      <c r="A414" s="167"/>
      <c r="B414" s="167"/>
      <c r="C414" s="167"/>
      <c r="D414" s="167"/>
      <c r="E414" s="167"/>
      <c r="F414" s="167"/>
      <c r="G414" s="167"/>
      <c r="H414" s="167"/>
      <c r="I414" s="167"/>
      <c r="J414" s="168"/>
    </row>
    <row r="415" spans="1:10" s="135" customFormat="1" x14ac:dyDescent="0.2">
      <c r="A415" s="167"/>
      <c r="B415" s="167"/>
      <c r="C415" s="167"/>
      <c r="D415" s="167"/>
      <c r="E415" s="167"/>
      <c r="F415" s="167"/>
      <c r="G415" s="167"/>
      <c r="H415" s="167"/>
      <c r="I415" s="167"/>
      <c r="J415" s="168"/>
    </row>
    <row r="416" spans="1:10" s="135" customFormat="1" x14ac:dyDescent="0.2">
      <c r="A416" s="167"/>
      <c r="B416" s="167"/>
      <c r="C416" s="167"/>
      <c r="D416" s="167"/>
      <c r="E416" s="167"/>
      <c r="F416" s="167"/>
      <c r="G416" s="167"/>
      <c r="H416" s="167"/>
      <c r="I416" s="167"/>
      <c r="J416" s="168"/>
    </row>
    <row r="417" spans="1:10" s="135" customFormat="1" x14ac:dyDescent="0.2">
      <c r="A417" s="167"/>
      <c r="B417" s="167"/>
      <c r="C417" s="167"/>
      <c r="D417" s="167"/>
      <c r="E417" s="167"/>
      <c r="F417" s="167"/>
      <c r="G417" s="167"/>
      <c r="H417" s="167"/>
      <c r="I417" s="167"/>
      <c r="J417" s="168"/>
    </row>
    <row r="418" spans="1:10" s="135" customFormat="1" x14ac:dyDescent="0.2">
      <c r="A418" s="167"/>
      <c r="B418" s="167"/>
      <c r="C418" s="167"/>
      <c r="D418" s="167"/>
      <c r="E418" s="167"/>
      <c r="F418" s="167"/>
      <c r="G418" s="167"/>
      <c r="H418" s="167"/>
      <c r="I418" s="167"/>
      <c r="J418" s="168"/>
    </row>
    <row r="419" spans="1:10" s="135" customFormat="1" x14ac:dyDescent="0.2">
      <c r="A419" s="167"/>
      <c r="B419" s="167"/>
      <c r="C419" s="167"/>
      <c r="D419" s="167"/>
      <c r="E419" s="167"/>
      <c r="F419" s="167"/>
      <c r="G419" s="167"/>
      <c r="H419" s="167"/>
      <c r="I419" s="167"/>
      <c r="J419" s="168"/>
    </row>
    <row r="420" spans="1:10" s="135" customFormat="1" x14ac:dyDescent="0.2">
      <c r="A420" s="167"/>
      <c r="B420" s="167"/>
      <c r="C420" s="167"/>
      <c r="D420" s="167"/>
      <c r="E420" s="167"/>
      <c r="F420" s="167"/>
      <c r="G420" s="167"/>
      <c r="H420" s="167"/>
      <c r="I420" s="167"/>
      <c r="J420" s="168"/>
    </row>
    <row r="421" spans="1:10" s="135" customFormat="1" x14ac:dyDescent="0.2">
      <c r="A421" s="167"/>
      <c r="B421" s="167"/>
      <c r="C421" s="167"/>
      <c r="D421" s="167"/>
      <c r="E421" s="167"/>
      <c r="F421" s="167"/>
      <c r="G421" s="167"/>
      <c r="H421" s="167"/>
      <c r="I421" s="167"/>
      <c r="J421" s="168"/>
    </row>
    <row r="422" spans="1:10" s="135" customFormat="1" x14ac:dyDescent="0.2">
      <c r="A422" s="167"/>
      <c r="B422" s="167"/>
      <c r="C422" s="167"/>
      <c r="D422" s="167"/>
      <c r="E422" s="167"/>
      <c r="F422" s="167"/>
      <c r="G422" s="167"/>
      <c r="H422" s="167"/>
      <c r="I422" s="167"/>
      <c r="J422" s="168"/>
    </row>
    <row r="423" spans="1:10" s="135" customFormat="1" x14ac:dyDescent="0.2">
      <c r="A423" s="167"/>
      <c r="B423" s="167"/>
      <c r="C423" s="167"/>
      <c r="D423" s="167"/>
      <c r="E423" s="167"/>
      <c r="F423" s="167"/>
      <c r="G423" s="167"/>
      <c r="H423" s="167"/>
      <c r="I423" s="167"/>
      <c r="J423" s="168"/>
    </row>
    <row r="424" spans="1:10" s="135" customFormat="1" x14ac:dyDescent="0.2">
      <c r="A424" s="167"/>
      <c r="B424" s="167"/>
      <c r="C424" s="167"/>
      <c r="D424" s="167"/>
      <c r="E424" s="167"/>
      <c r="F424" s="167"/>
      <c r="G424" s="167"/>
      <c r="H424" s="167"/>
      <c r="I424" s="167"/>
      <c r="J424" s="168"/>
    </row>
    <row r="425" spans="1:10" s="135" customFormat="1" x14ac:dyDescent="0.2">
      <c r="A425" s="167"/>
      <c r="B425" s="167"/>
      <c r="C425" s="167"/>
      <c r="D425" s="167"/>
      <c r="E425" s="167"/>
      <c r="F425" s="167"/>
      <c r="G425" s="167"/>
      <c r="H425" s="167"/>
      <c r="I425" s="167"/>
      <c r="J425" s="168"/>
    </row>
    <row r="426" spans="1:10" s="135" customFormat="1" x14ac:dyDescent="0.2">
      <c r="A426" s="167"/>
      <c r="B426" s="167"/>
      <c r="C426" s="167"/>
      <c r="D426" s="167"/>
      <c r="E426" s="167"/>
      <c r="F426" s="167"/>
      <c r="G426" s="167"/>
      <c r="H426" s="167"/>
      <c r="I426" s="167"/>
      <c r="J426" s="168"/>
    </row>
    <row r="427" spans="1:10" s="135" customFormat="1" x14ac:dyDescent="0.2">
      <c r="A427" s="167"/>
      <c r="B427" s="167"/>
      <c r="C427" s="167"/>
      <c r="D427" s="167"/>
      <c r="E427" s="167"/>
      <c r="F427" s="167"/>
      <c r="G427" s="167"/>
      <c r="H427" s="167"/>
      <c r="I427" s="167"/>
      <c r="J427" s="168"/>
    </row>
    <row r="428" spans="1:10" s="135" customFormat="1" x14ac:dyDescent="0.2">
      <c r="A428" s="167"/>
      <c r="B428" s="167"/>
      <c r="C428" s="167"/>
      <c r="D428" s="167"/>
      <c r="E428" s="167"/>
      <c r="F428" s="167"/>
      <c r="G428" s="167"/>
      <c r="H428" s="167"/>
      <c r="I428" s="167"/>
      <c r="J428" s="168"/>
    </row>
    <row r="429" spans="1:10" s="135" customFormat="1" x14ac:dyDescent="0.2">
      <c r="A429" s="167"/>
      <c r="B429" s="167"/>
      <c r="C429" s="167"/>
      <c r="D429" s="167"/>
      <c r="E429" s="167"/>
      <c r="F429" s="167"/>
      <c r="G429" s="167"/>
      <c r="H429" s="167"/>
      <c r="I429" s="167"/>
      <c r="J429" s="168"/>
    </row>
    <row r="430" spans="1:10" s="135" customFormat="1" x14ac:dyDescent="0.2">
      <c r="A430" s="167"/>
      <c r="B430" s="167"/>
      <c r="C430" s="167"/>
      <c r="D430" s="167"/>
      <c r="E430" s="167"/>
      <c r="F430" s="167"/>
      <c r="G430" s="167"/>
      <c r="H430" s="167"/>
      <c r="I430" s="167"/>
      <c r="J430" s="168"/>
    </row>
    <row r="431" spans="1:10" s="135" customFormat="1" x14ac:dyDescent="0.2">
      <c r="A431" s="167"/>
      <c r="B431" s="167"/>
      <c r="C431" s="167"/>
      <c r="D431" s="167"/>
      <c r="E431" s="167"/>
      <c r="F431" s="167"/>
      <c r="G431" s="167"/>
      <c r="H431" s="167"/>
      <c r="I431" s="167"/>
      <c r="J431" s="168"/>
    </row>
    <row r="432" spans="1:10" s="135" customFormat="1" x14ac:dyDescent="0.2">
      <c r="A432" s="167"/>
      <c r="B432" s="167"/>
      <c r="C432" s="167"/>
      <c r="D432" s="167"/>
      <c r="E432" s="167"/>
      <c r="F432" s="167"/>
      <c r="G432" s="167"/>
      <c r="H432" s="167"/>
      <c r="I432" s="167"/>
      <c r="J432" s="168"/>
    </row>
    <row r="433" spans="1:10" s="135" customFormat="1" x14ac:dyDescent="0.2">
      <c r="A433" s="167"/>
      <c r="B433" s="167"/>
      <c r="C433" s="167"/>
      <c r="D433" s="167"/>
      <c r="E433" s="167"/>
      <c r="F433" s="167"/>
      <c r="G433" s="167"/>
      <c r="H433" s="167"/>
      <c r="I433" s="167"/>
      <c r="J433" s="168"/>
    </row>
    <row r="434" spans="1:10" s="135" customFormat="1" x14ac:dyDescent="0.2">
      <c r="A434" s="167"/>
      <c r="B434" s="167"/>
      <c r="C434" s="167"/>
      <c r="D434" s="167"/>
      <c r="E434" s="167"/>
      <c r="F434" s="167"/>
      <c r="G434" s="167"/>
      <c r="H434" s="167"/>
      <c r="I434" s="167"/>
      <c r="J434" s="168"/>
    </row>
    <row r="435" spans="1:10" s="135" customFormat="1" x14ac:dyDescent="0.2">
      <c r="A435" s="167"/>
      <c r="B435" s="167"/>
      <c r="C435" s="167"/>
      <c r="D435" s="167"/>
      <c r="E435" s="167"/>
      <c r="F435" s="167"/>
      <c r="G435" s="167"/>
      <c r="H435" s="167"/>
      <c r="I435" s="167"/>
      <c r="J435" s="168"/>
    </row>
    <row r="436" spans="1:10" s="135" customFormat="1" x14ac:dyDescent="0.2">
      <c r="A436" s="167"/>
      <c r="B436" s="167"/>
      <c r="C436" s="167"/>
      <c r="D436" s="167"/>
      <c r="E436" s="167"/>
      <c r="F436" s="167"/>
      <c r="G436" s="167"/>
      <c r="H436" s="167"/>
      <c r="I436" s="167"/>
      <c r="J436" s="168"/>
    </row>
    <row r="437" spans="1:10" s="135" customFormat="1" x14ac:dyDescent="0.2">
      <c r="A437" s="167"/>
      <c r="B437" s="167"/>
      <c r="C437" s="167"/>
      <c r="D437" s="167"/>
      <c r="E437" s="167"/>
      <c r="F437" s="167"/>
      <c r="G437" s="167"/>
      <c r="H437" s="167"/>
      <c r="I437" s="167"/>
      <c r="J437" s="168"/>
    </row>
    <row r="438" spans="1:10" s="135" customFormat="1" x14ac:dyDescent="0.2">
      <c r="A438" s="167"/>
      <c r="B438" s="167"/>
      <c r="C438" s="167"/>
      <c r="D438" s="167"/>
      <c r="E438" s="167"/>
      <c r="F438" s="167"/>
      <c r="G438" s="167"/>
      <c r="H438" s="167"/>
      <c r="I438" s="167"/>
      <c r="J438" s="168"/>
    </row>
    <row r="439" spans="1:10" s="135" customFormat="1" x14ac:dyDescent="0.2">
      <c r="A439" s="167"/>
      <c r="B439" s="167"/>
      <c r="C439" s="167"/>
      <c r="D439" s="167"/>
      <c r="E439" s="167"/>
      <c r="F439" s="167"/>
      <c r="G439" s="167"/>
      <c r="H439" s="167"/>
      <c r="I439" s="167"/>
      <c r="J439" s="168"/>
    </row>
    <row r="440" spans="1:10" s="135" customFormat="1" x14ac:dyDescent="0.2">
      <c r="A440" s="167"/>
      <c r="B440" s="167"/>
      <c r="C440" s="167"/>
      <c r="D440" s="167"/>
      <c r="E440" s="167"/>
      <c r="F440" s="167"/>
      <c r="G440" s="167"/>
      <c r="H440" s="167"/>
      <c r="I440" s="167"/>
      <c r="J440" s="168"/>
    </row>
    <row r="441" spans="1:10" s="135" customFormat="1" x14ac:dyDescent="0.2">
      <c r="A441" s="167"/>
      <c r="B441" s="167"/>
      <c r="C441" s="167"/>
      <c r="D441" s="167"/>
      <c r="E441" s="167"/>
      <c r="F441" s="167"/>
      <c r="G441" s="167"/>
      <c r="H441" s="167"/>
      <c r="I441" s="167"/>
      <c r="J441" s="168"/>
    </row>
    <row r="442" spans="1:10" s="135" customFormat="1" x14ac:dyDescent="0.2">
      <c r="A442" s="167"/>
      <c r="B442" s="167"/>
      <c r="C442" s="167"/>
      <c r="D442" s="167"/>
      <c r="E442" s="167"/>
      <c r="F442" s="167"/>
      <c r="G442" s="167"/>
      <c r="H442" s="167"/>
      <c r="I442" s="167"/>
      <c r="J442" s="168"/>
    </row>
    <row r="443" spans="1:10" s="135" customFormat="1" x14ac:dyDescent="0.2">
      <c r="A443" s="167"/>
      <c r="B443" s="167"/>
      <c r="C443" s="167"/>
      <c r="D443" s="167"/>
      <c r="E443" s="167"/>
      <c r="F443" s="167"/>
      <c r="G443" s="167"/>
      <c r="H443" s="167"/>
      <c r="I443" s="167"/>
      <c r="J443" s="168"/>
    </row>
    <row r="444" spans="1:10" s="135" customFormat="1" x14ac:dyDescent="0.2">
      <c r="A444" s="167"/>
      <c r="B444" s="167"/>
      <c r="C444" s="167"/>
      <c r="D444" s="167"/>
      <c r="E444" s="167"/>
      <c r="F444" s="167"/>
      <c r="G444" s="167"/>
      <c r="H444" s="167"/>
      <c r="I444" s="167"/>
      <c r="J444" s="168"/>
    </row>
    <row r="445" spans="1:10" s="135" customFormat="1" x14ac:dyDescent="0.2">
      <c r="A445" s="167"/>
      <c r="B445" s="167"/>
      <c r="C445" s="167"/>
      <c r="D445" s="167"/>
      <c r="E445" s="167"/>
      <c r="F445" s="167"/>
      <c r="G445" s="167"/>
      <c r="H445" s="167"/>
      <c r="I445" s="167"/>
      <c r="J445" s="168"/>
    </row>
    <row r="446" spans="1:10" s="135" customFormat="1" x14ac:dyDescent="0.2">
      <c r="A446" s="167"/>
      <c r="B446" s="167"/>
      <c r="C446" s="167"/>
      <c r="D446" s="167"/>
      <c r="E446" s="167"/>
      <c r="F446" s="167"/>
      <c r="G446" s="167"/>
      <c r="H446" s="167"/>
      <c r="I446" s="167"/>
      <c r="J446" s="168"/>
    </row>
    <row r="447" spans="1:10" s="135" customFormat="1" x14ac:dyDescent="0.2">
      <c r="A447" s="167"/>
      <c r="B447" s="167"/>
      <c r="C447" s="167"/>
      <c r="D447" s="167"/>
      <c r="E447" s="167"/>
      <c r="F447" s="167"/>
      <c r="G447" s="167"/>
      <c r="H447" s="167"/>
      <c r="I447" s="167"/>
      <c r="J447" s="168"/>
    </row>
    <row r="448" spans="1:10" s="135" customFormat="1" x14ac:dyDescent="0.2">
      <c r="A448" s="167"/>
      <c r="B448" s="167"/>
      <c r="C448" s="167"/>
      <c r="D448" s="167"/>
      <c r="E448" s="167"/>
      <c r="F448" s="167"/>
      <c r="G448" s="167"/>
      <c r="H448" s="167"/>
      <c r="I448" s="167"/>
      <c r="J448" s="168"/>
    </row>
    <row r="449" spans="1:10" s="135" customFormat="1" x14ac:dyDescent="0.2">
      <c r="A449" s="167"/>
      <c r="B449" s="167"/>
      <c r="C449" s="167"/>
      <c r="D449" s="167"/>
      <c r="E449" s="167"/>
      <c r="F449" s="167"/>
      <c r="G449" s="167"/>
      <c r="H449" s="167"/>
      <c r="I449" s="167"/>
      <c r="J449" s="168"/>
    </row>
    <row r="450" spans="1:10" s="135" customFormat="1" x14ac:dyDescent="0.2">
      <c r="A450" s="167"/>
      <c r="B450" s="167"/>
      <c r="C450" s="167"/>
      <c r="D450" s="167"/>
      <c r="E450" s="167"/>
      <c r="F450" s="167"/>
      <c r="G450" s="167"/>
      <c r="H450" s="167"/>
      <c r="I450" s="167"/>
      <c r="J450" s="168"/>
    </row>
    <row r="451" spans="1:10" s="135" customFormat="1" x14ac:dyDescent="0.2">
      <c r="A451" s="167"/>
      <c r="B451" s="167"/>
      <c r="C451" s="167"/>
      <c r="D451" s="167"/>
      <c r="E451" s="167"/>
      <c r="F451" s="167"/>
      <c r="G451" s="167"/>
      <c r="H451" s="167"/>
      <c r="I451" s="167"/>
      <c r="J451" s="168"/>
    </row>
    <row r="452" spans="1:10" s="135" customFormat="1" x14ac:dyDescent="0.2">
      <c r="A452" s="167"/>
      <c r="B452" s="167"/>
      <c r="C452" s="167"/>
      <c r="D452" s="167"/>
      <c r="E452" s="167"/>
      <c r="F452" s="167"/>
      <c r="G452" s="167"/>
      <c r="H452" s="167"/>
      <c r="I452" s="167"/>
      <c r="J452" s="168"/>
    </row>
    <row r="453" spans="1:10" s="135" customFormat="1" x14ac:dyDescent="0.2">
      <c r="A453" s="167"/>
      <c r="B453" s="167"/>
      <c r="C453" s="167"/>
      <c r="D453" s="167"/>
      <c r="E453" s="167"/>
      <c r="F453" s="167"/>
      <c r="G453" s="167"/>
      <c r="H453" s="167"/>
      <c r="I453" s="167"/>
      <c r="J453" s="168"/>
    </row>
    <row r="454" spans="1:10" s="135" customFormat="1" x14ac:dyDescent="0.2">
      <c r="A454" s="167"/>
      <c r="B454" s="167"/>
      <c r="C454" s="167"/>
      <c r="D454" s="167"/>
      <c r="E454" s="167"/>
      <c r="F454" s="167"/>
      <c r="G454" s="167"/>
      <c r="H454" s="167"/>
      <c r="I454" s="167"/>
      <c r="J454" s="168"/>
    </row>
    <row r="455" spans="1:10" s="135" customFormat="1" x14ac:dyDescent="0.2">
      <c r="A455" s="167"/>
      <c r="B455" s="167"/>
      <c r="C455" s="167"/>
      <c r="D455" s="167"/>
      <c r="E455" s="167"/>
      <c r="F455" s="167"/>
      <c r="G455" s="167"/>
      <c r="H455" s="167"/>
      <c r="I455" s="167"/>
      <c r="J455" s="168"/>
    </row>
    <row r="456" spans="1:10" s="135" customFormat="1" x14ac:dyDescent="0.2">
      <c r="A456" s="167"/>
      <c r="B456" s="167"/>
      <c r="C456" s="167"/>
      <c r="D456" s="167"/>
      <c r="E456" s="167"/>
      <c r="F456" s="167"/>
      <c r="G456" s="167"/>
      <c r="H456" s="167"/>
      <c r="I456" s="167"/>
      <c r="J456" s="168"/>
    </row>
    <row r="457" spans="1:10" s="135" customFormat="1" x14ac:dyDescent="0.2">
      <c r="A457" s="167"/>
      <c r="B457" s="167"/>
      <c r="C457" s="167"/>
      <c r="D457" s="167"/>
      <c r="E457" s="167"/>
      <c r="F457" s="167"/>
      <c r="G457" s="167"/>
      <c r="H457" s="167"/>
      <c r="I457" s="167"/>
      <c r="J457" s="168"/>
    </row>
    <row r="458" spans="1:10" s="135" customFormat="1" x14ac:dyDescent="0.2">
      <c r="A458" s="167"/>
      <c r="B458" s="167"/>
      <c r="C458" s="167"/>
      <c r="D458" s="167"/>
      <c r="E458" s="167"/>
      <c r="F458" s="167"/>
      <c r="G458" s="167"/>
      <c r="H458" s="167"/>
      <c r="I458" s="167"/>
      <c r="J458" s="168"/>
    </row>
    <row r="459" spans="1:10" s="135" customFormat="1" x14ac:dyDescent="0.2">
      <c r="A459" s="167"/>
      <c r="B459" s="167"/>
      <c r="C459" s="167"/>
      <c r="D459" s="167"/>
      <c r="E459" s="167"/>
      <c r="F459" s="167"/>
      <c r="G459" s="167"/>
      <c r="H459" s="167"/>
      <c r="I459" s="167"/>
      <c r="J459" s="168"/>
    </row>
    <row r="460" spans="1:10" s="135" customFormat="1" x14ac:dyDescent="0.2">
      <c r="A460" s="167"/>
      <c r="B460" s="167"/>
      <c r="C460" s="167"/>
      <c r="D460" s="167"/>
      <c r="E460" s="167"/>
      <c r="F460" s="167"/>
      <c r="G460" s="167"/>
      <c r="H460" s="167"/>
      <c r="I460" s="167"/>
      <c r="J460" s="168"/>
    </row>
    <row r="461" spans="1:10" s="135" customFormat="1" x14ac:dyDescent="0.2">
      <c r="A461" s="167"/>
      <c r="B461" s="167"/>
      <c r="C461" s="167"/>
      <c r="D461" s="167"/>
      <c r="E461" s="167"/>
      <c r="F461" s="167"/>
      <c r="G461" s="167"/>
      <c r="H461" s="167"/>
      <c r="I461" s="167"/>
      <c r="J461" s="168"/>
    </row>
    <row r="462" spans="1:10" s="135" customFormat="1" x14ac:dyDescent="0.2">
      <c r="A462" s="167"/>
      <c r="B462" s="167"/>
      <c r="C462" s="167"/>
      <c r="D462" s="167"/>
      <c r="E462" s="167"/>
      <c r="F462" s="167"/>
      <c r="G462" s="167"/>
      <c r="H462" s="167"/>
      <c r="I462" s="167"/>
      <c r="J462" s="168"/>
    </row>
    <row r="463" spans="1:10" s="135" customFormat="1" x14ac:dyDescent="0.2">
      <c r="A463" s="167"/>
      <c r="B463" s="167"/>
      <c r="C463" s="167"/>
      <c r="D463" s="167"/>
      <c r="E463" s="167"/>
      <c r="F463" s="167"/>
      <c r="G463" s="167"/>
      <c r="H463" s="167"/>
      <c r="I463" s="167"/>
      <c r="J463" s="168"/>
    </row>
    <row r="464" spans="1:10" s="135" customFormat="1" x14ac:dyDescent="0.2">
      <c r="A464" s="167"/>
      <c r="B464" s="167"/>
      <c r="C464" s="167"/>
      <c r="D464" s="167"/>
      <c r="E464" s="167"/>
      <c r="F464" s="167"/>
      <c r="G464" s="167"/>
      <c r="H464" s="167"/>
      <c r="I464" s="167"/>
      <c r="J464" s="168"/>
    </row>
    <row r="465" spans="1:10" s="135" customFormat="1" x14ac:dyDescent="0.2">
      <c r="A465" s="167"/>
      <c r="B465" s="167"/>
      <c r="C465" s="167"/>
      <c r="D465" s="167"/>
      <c r="E465" s="167"/>
      <c r="F465" s="167"/>
      <c r="G465" s="167"/>
      <c r="H465" s="167"/>
      <c r="I465" s="167"/>
      <c r="J465" s="168"/>
    </row>
    <row r="466" spans="1:10" s="135" customFormat="1" x14ac:dyDescent="0.2">
      <c r="A466" s="167"/>
      <c r="B466" s="167"/>
      <c r="C466" s="167"/>
      <c r="D466" s="167"/>
      <c r="E466" s="167"/>
      <c r="F466" s="167"/>
      <c r="G466" s="167"/>
      <c r="H466" s="167"/>
      <c r="I466" s="167"/>
      <c r="J466" s="168"/>
    </row>
    <row r="467" spans="1:10" s="135" customFormat="1" x14ac:dyDescent="0.2">
      <c r="A467" s="167"/>
      <c r="B467" s="167"/>
      <c r="C467" s="167"/>
      <c r="D467" s="167"/>
      <c r="E467" s="167"/>
      <c r="F467" s="167"/>
      <c r="G467" s="167"/>
      <c r="H467" s="167"/>
      <c r="I467" s="167"/>
      <c r="J467" s="168"/>
    </row>
    <row r="468" spans="1:10" s="135" customFormat="1" x14ac:dyDescent="0.2">
      <c r="A468" s="167"/>
      <c r="B468" s="167"/>
      <c r="C468" s="167"/>
      <c r="D468" s="167"/>
      <c r="E468" s="167"/>
      <c r="F468" s="167"/>
      <c r="G468" s="167"/>
      <c r="H468" s="167"/>
      <c r="I468" s="167"/>
      <c r="J468" s="168"/>
    </row>
    <row r="469" spans="1:10" s="135" customFormat="1" x14ac:dyDescent="0.2">
      <c r="A469" s="167"/>
      <c r="B469" s="167"/>
      <c r="C469" s="167"/>
      <c r="D469" s="167"/>
      <c r="E469" s="167"/>
      <c r="F469" s="167"/>
      <c r="G469" s="167"/>
      <c r="H469" s="167"/>
      <c r="I469" s="167"/>
      <c r="J469" s="168"/>
    </row>
    <row r="470" spans="1:10" s="135" customFormat="1" x14ac:dyDescent="0.2">
      <c r="A470" s="167"/>
      <c r="B470" s="167"/>
      <c r="C470" s="167"/>
      <c r="D470" s="167"/>
      <c r="E470" s="167"/>
      <c r="F470" s="167"/>
      <c r="G470" s="167"/>
      <c r="H470" s="167"/>
      <c r="I470" s="167"/>
      <c r="J470" s="168"/>
    </row>
    <row r="471" spans="1:10" s="135" customFormat="1" x14ac:dyDescent="0.2">
      <c r="A471" s="167"/>
      <c r="B471" s="167"/>
      <c r="C471" s="167"/>
      <c r="D471" s="167"/>
      <c r="E471" s="167"/>
      <c r="F471" s="167"/>
      <c r="G471" s="167"/>
      <c r="H471" s="167"/>
      <c r="I471" s="167"/>
      <c r="J471" s="168"/>
    </row>
    <row r="472" spans="1:10" s="135" customFormat="1" x14ac:dyDescent="0.2">
      <c r="A472" s="167"/>
      <c r="B472" s="167"/>
      <c r="C472" s="167"/>
      <c r="D472" s="167"/>
      <c r="E472" s="167"/>
      <c r="F472" s="167"/>
      <c r="G472" s="167"/>
      <c r="H472" s="167"/>
      <c r="I472" s="167"/>
      <c r="J472" s="168"/>
    </row>
    <row r="473" spans="1:10" s="135" customFormat="1" x14ac:dyDescent="0.2">
      <c r="A473" s="167"/>
      <c r="B473" s="167"/>
      <c r="C473" s="167"/>
      <c r="D473" s="167"/>
      <c r="E473" s="167"/>
      <c r="F473" s="167"/>
      <c r="G473" s="167"/>
      <c r="H473" s="167"/>
      <c r="I473" s="167"/>
      <c r="J473" s="168"/>
    </row>
    <row r="474" spans="1:10" s="135" customFormat="1" x14ac:dyDescent="0.2">
      <c r="A474" s="167"/>
      <c r="B474" s="167"/>
      <c r="C474" s="167"/>
      <c r="D474" s="167"/>
      <c r="E474" s="167"/>
      <c r="F474" s="167"/>
      <c r="G474" s="167"/>
      <c r="H474" s="167"/>
      <c r="I474" s="167"/>
      <c r="J474" s="168"/>
    </row>
    <row r="475" spans="1:10" s="135" customFormat="1" x14ac:dyDescent="0.2">
      <c r="A475" s="167"/>
      <c r="B475" s="167"/>
      <c r="C475" s="167"/>
      <c r="D475" s="167"/>
      <c r="E475" s="167"/>
      <c r="F475" s="167"/>
      <c r="G475" s="167"/>
      <c r="H475" s="167"/>
      <c r="I475" s="167"/>
      <c r="J475" s="168"/>
    </row>
    <row r="476" spans="1:10" s="135" customFormat="1" x14ac:dyDescent="0.2">
      <c r="A476" s="167"/>
      <c r="B476" s="167"/>
      <c r="C476" s="167"/>
      <c r="D476" s="167"/>
      <c r="E476" s="167"/>
      <c r="F476" s="167"/>
      <c r="G476" s="167"/>
      <c r="H476" s="167"/>
      <c r="I476" s="167"/>
      <c r="J476" s="168"/>
    </row>
    <row r="477" spans="1:10" s="135" customFormat="1" x14ac:dyDescent="0.2">
      <c r="A477" s="167"/>
      <c r="B477" s="167"/>
      <c r="C477" s="167"/>
      <c r="D477" s="167"/>
      <c r="E477" s="167"/>
      <c r="F477" s="167"/>
      <c r="G477" s="167"/>
      <c r="H477" s="167"/>
      <c r="I477" s="167"/>
      <c r="J477" s="168"/>
    </row>
    <row r="478" spans="1:10" s="135" customFormat="1" x14ac:dyDescent="0.2">
      <c r="A478" s="167"/>
      <c r="B478" s="167"/>
      <c r="C478" s="167"/>
      <c r="D478" s="167"/>
      <c r="E478" s="167"/>
      <c r="F478" s="167"/>
      <c r="G478" s="167"/>
      <c r="H478" s="167"/>
      <c r="I478" s="167"/>
      <c r="J478" s="168"/>
    </row>
    <row r="479" spans="1:10" s="135" customFormat="1" x14ac:dyDescent="0.2">
      <c r="A479" s="167"/>
      <c r="B479" s="167"/>
      <c r="C479" s="167"/>
      <c r="D479" s="167"/>
      <c r="E479" s="167"/>
      <c r="F479" s="167"/>
      <c r="G479" s="167"/>
      <c r="H479" s="167"/>
      <c r="I479" s="167"/>
      <c r="J479" s="168"/>
    </row>
    <row r="480" spans="1:10" s="135" customFormat="1" x14ac:dyDescent="0.2">
      <c r="A480" s="167"/>
      <c r="B480" s="167"/>
      <c r="C480" s="167"/>
      <c r="D480" s="167"/>
      <c r="E480" s="167"/>
      <c r="F480" s="167"/>
      <c r="G480" s="167"/>
      <c r="H480" s="167"/>
      <c r="I480" s="167"/>
      <c r="J480" s="168"/>
    </row>
    <row r="481" spans="1:10" s="135" customFormat="1" x14ac:dyDescent="0.2">
      <c r="A481" s="167"/>
      <c r="B481" s="167"/>
      <c r="C481" s="167"/>
      <c r="D481" s="167"/>
      <c r="E481" s="167"/>
      <c r="F481" s="167"/>
      <c r="G481" s="167"/>
      <c r="H481" s="167"/>
      <c r="I481" s="167"/>
      <c r="J481" s="168"/>
    </row>
    <row r="482" spans="1:10" s="135" customFormat="1" x14ac:dyDescent="0.2">
      <c r="A482" s="167"/>
      <c r="B482" s="167"/>
      <c r="C482" s="167"/>
      <c r="D482" s="167"/>
      <c r="E482" s="167"/>
      <c r="F482" s="167"/>
      <c r="G482" s="167"/>
      <c r="H482" s="167"/>
      <c r="I482" s="167"/>
      <c r="J482" s="168"/>
    </row>
    <row r="483" spans="1:10" s="135" customFormat="1" x14ac:dyDescent="0.2">
      <c r="A483" s="167"/>
      <c r="B483" s="167"/>
      <c r="C483" s="167"/>
      <c r="D483" s="167"/>
      <c r="E483" s="167"/>
      <c r="F483" s="167"/>
      <c r="G483" s="167"/>
      <c r="H483" s="167"/>
      <c r="I483" s="167"/>
      <c r="J483" s="168"/>
    </row>
    <row r="484" spans="1:10" s="135" customFormat="1" x14ac:dyDescent="0.2">
      <c r="A484" s="167"/>
      <c r="B484" s="167"/>
      <c r="C484" s="167"/>
      <c r="D484" s="167"/>
      <c r="E484" s="167"/>
      <c r="F484" s="167"/>
      <c r="G484" s="167"/>
      <c r="H484" s="167"/>
      <c r="I484" s="167"/>
      <c r="J484" s="168"/>
    </row>
    <row r="485" spans="1:10" s="135" customFormat="1" x14ac:dyDescent="0.2">
      <c r="A485" s="167"/>
      <c r="B485" s="167"/>
      <c r="C485" s="167"/>
      <c r="D485" s="167"/>
      <c r="E485" s="167"/>
      <c r="F485" s="167"/>
      <c r="G485" s="167"/>
      <c r="H485" s="167"/>
      <c r="I485" s="167"/>
      <c r="J485" s="168"/>
    </row>
    <row r="486" spans="1:10" s="135" customFormat="1" x14ac:dyDescent="0.2">
      <c r="A486" s="167"/>
      <c r="B486" s="167"/>
      <c r="C486" s="167"/>
      <c r="D486" s="167"/>
      <c r="E486" s="167"/>
      <c r="F486" s="167"/>
      <c r="G486" s="167"/>
      <c r="H486" s="167"/>
      <c r="I486" s="167"/>
      <c r="J486" s="168"/>
    </row>
    <row r="487" spans="1:10" s="135" customFormat="1" x14ac:dyDescent="0.2">
      <c r="A487" s="167"/>
      <c r="B487" s="167"/>
      <c r="C487" s="167"/>
      <c r="D487" s="167"/>
      <c r="E487" s="167"/>
      <c r="F487" s="167"/>
      <c r="G487" s="167"/>
      <c r="H487" s="167"/>
      <c r="I487" s="167"/>
      <c r="J487" s="168"/>
    </row>
    <row r="488" spans="1:10" s="135" customFormat="1" x14ac:dyDescent="0.2">
      <c r="A488" s="167"/>
      <c r="B488" s="167"/>
      <c r="C488" s="167"/>
      <c r="D488" s="167"/>
      <c r="E488" s="167"/>
      <c r="F488" s="167"/>
      <c r="G488" s="167"/>
      <c r="H488" s="167"/>
      <c r="I488" s="167"/>
      <c r="J488" s="168"/>
    </row>
    <row r="489" spans="1:10" s="135" customFormat="1" x14ac:dyDescent="0.2">
      <c r="A489" s="167"/>
      <c r="B489" s="167"/>
      <c r="C489" s="167"/>
      <c r="D489" s="167"/>
      <c r="E489" s="167"/>
      <c r="F489" s="167"/>
      <c r="G489" s="167"/>
      <c r="H489" s="167"/>
      <c r="I489" s="167"/>
      <c r="J489" s="168"/>
    </row>
    <row r="490" spans="1:10" s="135" customFormat="1" x14ac:dyDescent="0.2">
      <c r="A490" s="167"/>
      <c r="B490" s="167"/>
      <c r="C490" s="167"/>
      <c r="D490" s="167"/>
      <c r="E490" s="167"/>
      <c r="F490" s="167"/>
      <c r="G490" s="167"/>
      <c r="H490" s="167"/>
      <c r="I490" s="167"/>
      <c r="J490" s="168"/>
    </row>
    <row r="491" spans="1:10" s="135" customFormat="1" x14ac:dyDescent="0.2">
      <c r="A491" s="167"/>
      <c r="B491" s="167"/>
      <c r="C491" s="167"/>
      <c r="D491" s="167"/>
      <c r="E491" s="167"/>
      <c r="F491" s="167"/>
      <c r="G491" s="167"/>
      <c r="H491" s="167"/>
      <c r="I491" s="167"/>
      <c r="J491" s="168"/>
    </row>
    <row r="492" spans="1:10" s="135" customFormat="1" x14ac:dyDescent="0.2">
      <c r="A492" s="167"/>
      <c r="B492" s="167"/>
      <c r="C492" s="167"/>
      <c r="D492" s="167"/>
      <c r="E492" s="167"/>
      <c r="F492" s="167"/>
      <c r="G492" s="167"/>
      <c r="H492" s="167"/>
      <c r="I492" s="167"/>
      <c r="J492" s="168"/>
    </row>
    <row r="493" spans="1:10" s="135" customFormat="1" x14ac:dyDescent="0.2">
      <c r="A493" s="167"/>
      <c r="B493" s="167"/>
      <c r="C493" s="167"/>
      <c r="D493" s="167"/>
      <c r="E493" s="167"/>
      <c r="F493" s="167"/>
      <c r="G493" s="167"/>
      <c r="H493" s="167"/>
      <c r="I493" s="167"/>
      <c r="J493" s="168"/>
    </row>
    <row r="494" spans="1:10" s="135" customFormat="1" x14ac:dyDescent="0.2">
      <c r="A494" s="167"/>
      <c r="B494" s="167"/>
      <c r="C494" s="167"/>
      <c r="D494" s="167"/>
      <c r="E494" s="167"/>
      <c r="F494" s="167"/>
      <c r="G494" s="167"/>
      <c r="H494" s="167"/>
      <c r="I494" s="167"/>
      <c r="J494" s="168"/>
    </row>
    <row r="495" spans="1:10" s="135" customFormat="1" x14ac:dyDescent="0.2">
      <c r="A495" s="167"/>
      <c r="B495" s="167"/>
      <c r="C495" s="167"/>
      <c r="D495" s="167"/>
      <c r="E495" s="167"/>
      <c r="F495" s="167"/>
      <c r="G495" s="167"/>
      <c r="H495" s="167"/>
      <c r="I495" s="167"/>
      <c r="J495" s="168"/>
    </row>
    <row r="496" spans="1:10" s="135" customFormat="1" x14ac:dyDescent="0.2">
      <c r="A496" s="167"/>
      <c r="B496" s="167"/>
      <c r="C496" s="167"/>
      <c r="D496" s="167"/>
      <c r="E496" s="167"/>
      <c r="F496" s="167"/>
      <c r="G496" s="167"/>
      <c r="H496" s="167"/>
      <c r="I496" s="167"/>
      <c r="J496" s="168"/>
    </row>
    <row r="497" spans="1:10" s="135" customFormat="1" x14ac:dyDescent="0.2">
      <c r="A497" s="167"/>
      <c r="B497" s="167"/>
      <c r="C497" s="167"/>
      <c r="D497" s="167"/>
      <c r="E497" s="167"/>
      <c r="F497" s="167"/>
      <c r="G497" s="167"/>
      <c r="H497" s="167"/>
      <c r="I497" s="167"/>
      <c r="J497" s="168"/>
    </row>
    <row r="498" spans="1:10" s="135" customFormat="1" x14ac:dyDescent="0.2">
      <c r="A498" s="167"/>
      <c r="B498" s="167"/>
      <c r="C498" s="167"/>
      <c r="D498" s="167"/>
      <c r="E498" s="167"/>
      <c r="F498" s="167"/>
      <c r="G498" s="167"/>
      <c r="H498" s="167"/>
      <c r="I498" s="167"/>
      <c r="J498" s="168"/>
    </row>
    <row r="499" spans="1:10" s="135" customFormat="1" x14ac:dyDescent="0.2">
      <c r="A499" s="167"/>
      <c r="B499" s="167"/>
      <c r="C499" s="167"/>
      <c r="D499" s="167"/>
      <c r="E499" s="167"/>
      <c r="F499" s="167"/>
      <c r="G499" s="167"/>
      <c r="H499" s="167"/>
      <c r="I499" s="167"/>
      <c r="J499" s="168"/>
    </row>
    <row r="500" spans="1:10" s="135" customFormat="1" x14ac:dyDescent="0.2">
      <c r="A500" s="167"/>
      <c r="B500" s="167"/>
      <c r="C500" s="167"/>
      <c r="D500" s="167"/>
      <c r="E500" s="167"/>
      <c r="F500" s="167"/>
      <c r="G500" s="167"/>
      <c r="H500" s="167"/>
      <c r="I500" s="167"/>
      <c r="J500" s="168"/>
    </row>
    <row r="501" spans="1:10" s="135" customFormat="1" x14ac:dyDescent="0.2">
      <c r="A501" s="167"/>
      <c r="B501" s="167"/>
      <c r="C501" s="167"/>
      <c r="D501" s="167"/>
      <c r="E501" s="167"/>
      <c r="F501" s="167"/>
      <c r="G501" s="167"/>
      <c r="H501" s="167"/>
      <c r="I501" s="167"/>
      <c r="J501" s="168"/>
    </row>
    <row r="502" spans="1:10" s="135" customFormat="1" x14ac:dyDescent="0.2">
      <c r="A502" s="167"/>
      <c r="B502" s="167"/>
      <c r="C502" s="167"/>
      <c r="D502" s="167"/>
      <c r="E502" s="167"/>
      <c r="F502" s="167"/>
      <c r="G502" s="167"/>
      <c r="H502" s="167"/>
      <c r="I502" s="167"/>
      <c r="J502" s="168"/>
    </row>
    <row r="503" spans="1:10" s="135" customFormat="1" x14ac:dyDescent="0.2">
      <c r="A503" s="167"/>
      <c r="B503" s="167"/>
      <c r="C503" s="167"/>
      <c r="D503" s="167"/>
      <c r="E503" s="167"/>
      <c r="F503" s="167"/>
      <c r="G503" s="167"/>
      <c r="H503" s="167"/>
      <c r="I503" s="167"/>
      <c r="J503" s="168"/>
    </row>
    <row r="504" spans="1:10" s="135" customFormat="1" x14ac:dyDescent="0.2">
      <c r="A504" s="167"/>
      <c r="B504" s="167"/>
      <c r="C504" s="167"/>
      <c r="D504" s="167"/>
      <c r="E504" s="167"/>
      <c r="F504" s="167"/>
      <c r="G504" s="167"/>
      <c r="H504" s="167"/>
      <c r="I504" s="167"/>
      <c r="J504" s="168"/>
    </row>
    <row r="505" spans="1:10" s="135" customFormat="1" x14ac:dyDescent="0.2">
      <c r="A505" s="167"/>
      <c r="B505" s="167"/>
      <c r="C505" s="167"/>
      <c r="D505" s="167"/>
      <c r="E505" s="167"/>
      <c r="F505" s="167"/>
      <c r="G505" s="167"/>
      <c r="H505" s="167"/>
      <c r="I505" s="167"/>
      <c r="J505" s="168"/>
    </row>
    <row r="506" spans="1:10" s="135" customFormat="1" x14ac:dyDescent="0.2">
      <c r="A506" s="167"/>
      <c r="B506" s="167"/>
      <c r="C506" s="167"/>
      <c r="D506" s="167"/>
      <c r="E506" s="167"/>
      <c r="F506" s="167"/>
      <c r="G506" s="167"/>
      <c r="H506" s="167"/>
      <c r="I506" s="167"/>
      <c r="J506" s="168"/>
    </row>
    <row r="507" spans="1:10" s="135" customFormat="1" x14ac:dyDescent="0.2">
      <c r="A507" s="167"/>
      <c r="B507" s="167"/>
      <c r="C507" s="167"/>
      <c r="D507" s="167"/>
      <c r="E507" s="167"/>
      <c r="F507" s="167"/>
      <c r="G507" s="167"/>
      <c r="H507" s="167"/>
      <c r="I507" s="167"/>
      <c r="J507" s="168"/>
    </row>
    <row r="508" spans="1:10" s="135" customFormat="1" x14ac:dyDescent="0.2">
      <c r="A508" s="167"/>
      <c r="B508" s="167"/>
      <c r="C508" s="167"/>
      <c r="D508" s="167"/>
      <c r="E508" s="167"/>
      <c r="F508" s="167"/>
      <c r="G508" s="167"/>
      <c r="H508" s="167"/>
      <c r="I508" s="167"/>
      <c r="J508" s="168"/>
    </row>
    <row r="509" spans="1:10" s="135" customFormat="1" x14ac:dyDescent="0.2">
      <c r="A509" s="167"/>
      <c r="B509" s="167"/>
      <c r="C509" s="167"/>
      <c r="D509" s="167"/>
      <c r="E509" s="167"/>
      <c r="F509" s="167"/>
      <c r="G509" s="167"/>
      <c r="H509" s="167"/>
      <c r="I509" s="167"/>
      <c r="J509" s="168"/>
    </row>
    <row r="510" spans="1:10" s="135" customFormat="1" x14ac:dyDescent="0.2">
      <c r="A510" s="167"/>
      <c r="B510" s="167"/>
      <c r="C510" s="167"/>
      <c r="D510" s="167"/>
      <c r="E510" s="167"/>
      <c r="F510" s="167"/>
      <c r="G510" s="167"/>
      <c r="H510" s="167"/>
      <c r="I510" s="167"/>
      <c r="J510" s="168"/>
    </row>
    <row r="511" spans="1:10" s="135" customFormat="1" x14ac:dyDescent="0.2">
      <c r="A511" s="167"/>
      <c r="B511" s="167"/>
      <c r="C511" s="167"/>
      <c r="D511" s="167"/>
      <c r="E511" s="167"/>
      <c r="F511" s="167"/>
      <c r="G511" s="167"/>
      <c r="H511" s="167"/>
      <c r="I511" s="167"/>
      <c r="J511" s="168"/>
    </row>
    <row r="512" spans="1:10" s="135" customFormat="1" x14ac:dyDescent="0.2">
      <c r="A512" s="167"/>
      <c r="B512" s="167"/>
      <c r="C512" s="167"/>
      <c r="D512" s="167"/>
      <c r="E512" s="167"/>
      <c r="F512" s="167"/>
      <c r="G512" s="167"/>
      <c r="H512" s="167"/>
      <c r="I512" s="167"/>
      <c r="J512" s="168"/>
    </row>
    <row r="513" spans="1:10" s="135" customFormat="1" x14ac:dyDescent="0.2">
      <c r="A513" s="167"/>
      <c r="B513" s="167"/>
      <c r="C513" s="167"/>
      <c r="D513" s="167"/>
      <c r="E513" s="167"/>
      <c r="F513" s="167"/>
      <c r="G513" s="167"/>
      <c r="H513" s="167"/>
      <c r="I513" s="167"/>
      <c r="J513" s="168"/>
    </row>
    <row r="514" spans="1:10" s="135" customFormat="1" x14ac:dyDescent="0.2">
      <c r="A514" s="167"/>
      <c r="B514" s="167"/>
      <c r="C514" s="167"/>
      <c r="D514" s="167"/>
      <c r="E514" s="167"/>
      <c r="F514" s="167"/>
      <c r="G514" s="167"/>
      <c r="H514" s="167"/>
      <c r="I514" s="167"/>
      <c r="J514" s="168"/>
    </row>
    <row r="515" spans="1:10" s="135" customFormat="1" x14ac:dyDescent="0.2">
      <c r="A515" s="167"/>
      <c r="B515" s="167"/>
      <c r="C515" s="167"/>
      <c r="D515" s="167"/>
      <c r="E515" s="167"/>
      <c r="F515" s="167"/>
      <c r="G515" s="167"/>
      <c r="H515" s="167"/>
      <c r="I515" s="167"/>
      <c r="J515" s="168"/>
    </row>
    <row r="516" spans="1:10" s="135" customFormat="1" x14ac:dyDescent="0.2">
      <c r="A516" s="167"/>
      <c r="B516" s="167"/>
      <c r="C516" s="167"/>
      <c r="D516" s="167"/>
      <c r="E516" s="167"/>
      <c r="F516" s="167"/>
      <c r="G516" s="167"/>
      <c r="H516" s="167"/>
      <c r="I516" s="167"/>
      <c r="J516" s="168"/>
    </row>
    <row r="517" spans="1:10" s="135" customFormat="1" x14ac:dyDescent="0.2">
      <c r="A517" s="167"/>
      <c r="B517" s="167"/>
      <c r="C517" s="167"/>
      <c r="D517" s="167"/>
      <c r="E517" s="167"/>
      <c r="F517" s="167"/>
      <c r="G517" s="167"/>
      <c r="H517" s="167"/>
      <c r="I517" s="167"/>
      <c r="J517" s="168"/>
    </row>
    <row r="518" spans="1:10" s="135" customFormat="1" x14ac:dyDescent="0.2">
      <c r="A518" s="167"/>
      <c r="B518" s="167"/>
      <c r="C518" s="167"/>
      <c r="D518" s="167"/>
      <c r="E518" s="167"/>
      <c r="F518" s="167"/>
      <c r="G518" s="167"/>
      <c r="H518" s="167"/>
      <c r="I518" s="167"/>
      <c r="J518" s="168"/>
    </row>
    <row r="519" spans="1:10" s="135" customFormat="1" x14ac:dyDescent="0.2">
      <c r="A519" s="167"/>
      <c r="B519" s="167"/>
      <c r="C519" s="167"/>
      <c r="D519" s="167"/>
      <c r="E519" s="167"/>
      <c r="F519" s="167"/>
      <c r="G519" s="167"/>
      <c r="H519" s="167"/>
      <c r="I519" s="167"/>
      <c r="J519" s="168"/>
    </row>
    <row r="520" spans="1:10" s="135" customFormat="1" x14ac:dyDescent="0.2">
      <c r="A520" s="167"/>
      <c r="B520" s="167"/>
      <c r="C520" s="167"/>
      <c r="D520" s="167"/>
      <c r="E520" s="167"/>
      <c r="F520" s="167"/>
      <c r="G520" s="167"/>
      <c r="H520" s="167"/>
      <c r="I520" s="167"/>
      <c r="J520" s="168"/>
    </row>
    <row r="521" spans="1:10" s="135" customFormat="1" x14ac:dyDescent="0.2">
      <c r="A521" s="167"/>
      <c r="B521" s="167"/>
      <c r="C521" s="167"/>
      <c r="D521" s="167"/>
      <c r="E521" s="167"/>
      <c r="F521" s="167"/>
      <c r="G521" s="167"/>
      <c r="H521" s="167"/>
      <c r="I521" s="167"/>
      <c r="J521" s="168"/>
    </row>
    <row r="522" spans="1:10" s="135" customFormat="1" x14ac:dyDescent="0.2">
      <c r="A522" s="167"/>
      <c r="B522" s="167"/>
      <c r="C522" s="167"/>
      <c r="D522" s="167"/>
      <c r="E522" s="167"/>
      <c r="F522" s="167"/>
      <c r="G522" s="167"/>
      <c r="H522" s="167"/>
      <c r="I522" s="167"/>
      <c r="J522" s="168"/>
    </row>
    <row r="523" spans="1:10" s="135" customFormat="1" x14ac:dyDescent="0.2">
      <c r="A523" s="167"/>
      <c r="B523" s="167"/>
      <c r="C523" s="167"/>
      <c r="D523" s="167"/>
      <c r="E523" s="167"/>
      <c r="F523" s="167"/>
      <c r="G523" s="167"/>
      <c r="H523" s="167"/>
      <c r="I523" s="167"/>
      <c r="J523" s="168"/>
    </row>
    <row r="524" spans="1:10" s="135" customFormat="1" x14ac:dyDescent="0.2">
      <c r="A524" s="167"/>
      <c r="B524" s="167"/>
      <c r="C524" s="167"/>
      <c r="D524" s="167"/>
      <c r="E524" s="167"/>
      <c r="F524" s="167"/>
      <c r="G524" s="167"/>
      <c r="H524" s="167"/>
      <c r="I524" s="167"/>
      <c r="J524" s="168"/>
    </row>
    <row r="525" spans="1:10" s="135" customFormat="1" x14ac:dyDescent="0.2">
      <c r="A525" s="167"/>
      <c r="B525" s="167"/>
      <c r="C525" s="167"/>
      <c r="D525" s="167"/>
      <c r="E525" s="167"/>
      <c r="F525" s="167"/>
      <c r="G525" s="167"/>
      <c r="H525" s="167"/>
      <c r="I525" s="167"/>
      <c r="J525" s="168"/>
    </row>
    <row r="526" spans="1:10" s="135" customFormat="1" x14ac:dyDescent="0.2">
      <c r="A526" s="167"/>
      <c r="B526" s="167"/>
      <c r="C526" s="167"/>
      <c r="D526" s="167"/>
      <c r="E526" s="167"/>
      <c r="F526" s="167"/>
      <c r="G526" s="167"/>
      <c r="H526" s="167"/>
      <c r="I526" s="167"/>
      <c r="J526" s="168"/>
    </row>
    <row r="527" spans="1:10" s="135" customFormat="1" x14ac:dyDescent="0.2">
      <c r="A527" s="167"/>
      <c r="B527" s="167"/>
      <c r="C527" s="167"/>
      <c r="D527" s="167"/>
      <c r="E527" s="167"/>
      <c r="F527" s="167"/>
      <c r="G527" s="167"/>
      <c r="H527" s="167"/>
      <c r="I527" s="167"/>
      <c r="J527" s="168"/>
    </row>
    <row r="528" spans="1:10" s="135" customFormat="1" x14ac:dyDescent="0.2">
      <c r="A528" s="167"/>
      <c r="B528" s="167"/>
      <c r="C528" s="167"/>
      <c r="D528" s="167"/>
      <c r="E528" s="167"/>
      <c r="F528" s="167"/>
      <c r="G528" s="167"/>
      <c r="H528" s="167"/>
      <c r="I528" s="167"/>
      <c r="J528" s="168"/>
    </row>
    <row r="529" spans="1:10" s="135" customFormat="1" x14ac:dyDescent="0.2">
      <c r="A529" s="167"/>
      <c r="B529" s="167"/>
      <c r="C529" s="167"/>
      <c r="D529" s="167"/>
      <c r="E529" s="167"/>
      <c r="F529" s="167"/>
      <c r="G529" s="167"/>
      <c r="H529" s="167"/>
      <c r="I529" s="167"/>
      <c r="J529" s="168"/>
    </row>
    <row r="530" spans="1:10" s="135" customFormat="1" x14ac:dyDescent="0.2">
      <c r="A530" s="167"/>
      <c r="B530" s="167"/>
      <c r="C530" s="167"/>
      <c r="D530" s="167"/>
      <c r="E530" s="167"/>
      <c r="F530" s="167"/>
      <c r="G530" s="167"/>
      <c r="H530" s="167"/>
      <c r="I530" s="167"/>
      <c r="J530" s="168"/>
    </row>
    <row r="531" spans="1:10" s="135" customFormat="1" x14ac:dyDescent="0.2">
      <c r="A531" s="167"/>
      <c r="B531" s="167"/>
      <c r="C531" s="167"/>
      <c r="D531" s="167"/>
      <c r="E531" s="167"/>
      <c r="F531" s="167"/>
      <c r="G531" s="167"/>
      <c r="H531" s="167"/>
      <c r="I531" s="167"/>
      <c r="J531" s="168"/>
    </row>
    <row r="532" spans="1:10" s="135" customFormat="1" x14ac:dyDescent="0.2">
      <c r="A532" s="167"/>
      <c r="B532" s="167"/>
      <c r="C532" s="167"/>
      <c r="D532" s="167"/>
      <c r="E532" s="167"/>
      <c r="F532" s="167"/>
      <c r="G532" s="167"/>
      <c r="H532" s="167"/>
      <c r="I532" s="167"/>
      <c r="J532" s="168"/>
    </row>
    <row r="533" spans="1:10" s="135" customFormat="1" x14ac:dyDescent="0.2">
      <c r="A533" s="167"/>
      <c r="B533" s="167"/>
      <c r="C533" s="167"/>
      <c r="D533" s="167"/>
      <c r="E533" s="167"/>
      <c r="F533" s="167"/>
      <c r="G533" s="167"/>
      <c r="H533" s="167"/>
      <c r="I533" s="167"/>
      <c r="J533" s="168"/>
    </row>
    <row r="534" spans="1:10" s="135" customFormat="1" x14ac:dyDescent="0.2">
      <c r="A534" s="167"/>
      <c r="B534" s="167"/>
      <c r="C534" s="167"/>
      <c r="D534" s="167"/>
      <c r="E534" s="167"/>
      <c r="F534" s="167"/>
      <c r="G534" s="167"/>
      <c r="H534" s="167"/>
      <c r="I534" s="167"/>
      <c r="J534" s="168"/>
    </row>
    <row r="535" spans="1:10" s="135" customFormat="1" x14ac:dyDescent="0.2">
      <c r="A535" s="167"/>
      <c r="B535" s="167"/>
      <c r="C535" s="167"/>
      <c r="D535" s="167"/>
      <c r="E535" s="167"/>
      <c r="F535" s="167"/>
      <c r="G535" s="167"/>
      <c r="H535" s="167"/>
      <c r="I535" s="167"/>
      <c r="J535" s="168"/>
    </row>
    <row r="536" spans="1:10" s="135" customFormat="1" x14ac:dyDescent="0.2">
      <c r="A536" s="167"/>
      <c r="B536" s="167"/>
      <c r="C536" s="167"/>
      <c r="D536" s="167"/>
      <c r="E536" s="167"/>
      <c r="F536" s="167"/>
      <c r="G536" s="167"/>
      <c r="H536" s="167"/>
      <c r="I536" s="167"/>
      <c r="J536" s="168"/>
    </row>
    <row r="537" spans="1:10" s="135" customFormat="1" x14ac:dyDescent="0.2">
      <c r="A537" s="167"/>
      <c r="B537" s="167"/>
      <c r="C537" s="167"/>
      <c r="D537" s="167"/>
      <c r="E537" s="167"/>
      <c r="F537" s="167"/>
      <c r="G537" s="167"/>
      <c r="H537" s="167"/>
      <c r="I537" s="167"/>
      <c r="J537" s="168"/>
    </row>
    <row r="538" spans="1:10" s="135" customFormat="1" x14ac:dyDescent="0.2">
      <c r="A538" s="167"/>
      <c r="B538" s="167"/>
      <c r="C538" s="167"/>
      <c r="D538" s="167"/>
      <c r="E538" s="167"/>
      <c r="F538" s="167"/>
      <c r="G538" s="167"/>
      <c r="H538" s="167"/>
      <c r="I538" s="167"/>
      <c r="J538" s="168"/>
    </row>
    <row r="539" spans="1:10" s="135" customFormat="1" x14ac:dyDescent="0.2">
      <c r="A539" s="167"/>
      <c r="B539" s="167"/>
      <c r="C539" s="167"/>
      <c r="D539" s="167"/>
      <c r="E539" s="167"/>
      <c r="F539" s="167"/>
      <c r="G539" s="167"/>
      <c r="H539" s="167"/>
      <c r="I539" s="167"/>
      <c r="J539" s="168"/>
    </row>
    <row r="540" spans="1:10" s="135" customFormat="1" x14ac:dyDescent="0.2">
      <c r="A540" s="167"/>
      <c r="B540" s="167"/>
      <c r="C540" s="167"/>
      <c r="D540" s="167"/>
      <c r="E540" s="167"/>
      <c r="F540" s="167"/>
      <c r="G540" s="167"/>
      <c r="H540" s="167"/>
      <c r="I540" s="167"/>
      <c r="J540" s="168"/>
    </row>
    <row r="541" spans="1:10" s="135" customFormat="1" x14ac:dyDescent="0.2">
      <c r="A541" s="167"/>
      <c r="B541" s="167"/>
      <c r="C541" s="167"/>
      <c r="D541" s="167"/>
      <c r="E541" s="167"/>
      <c r="F541" s="167"/>
      <c r="G541" s="167"/>
      <c r="H541" s="167"/>
      <c r="I541" s="167"/>
      <c r="J541" s="168"/>
    </row>
    <row r="542" spans="1:10" s="135" customFormat="1" x14ac:dyDescent="0.2">
      <c r="A542" s="167"/>
      <c r="B542" s="167"/>
      <c r="C542" s="167"/>
      <c r="D542" s="167"/>
      <c r="E542" s="167"/>
      <c r="F542" s="167"/>
      <c r="G542" s="167"/>
      <c r="H542" s="167"/>
      <c r="I542" s="167"/>
      <c r="J542" s="168"/>
    </row>
    <row r="543" spans="1:10" s="135" customFormat="1" x14ac:dyDescent="0.2">
      <c r="A543" s="167"/>
      <c r="B543" s="167"/>
      <c r="C543" s="167"/>
      <c r="D543" s="167"/>
      <c r="E543" s="167"/>
      <c r="F543" s="167"/>
      <c r="G543" s="167"/>
      <c r="H543" s="167"/>
      <c r="I543" s="167"/>
      <c r="J543" s="168"/>
    </row>
    <row r="544" spans="1:10" s="135" customFormat="1" x14ac:dyDescent="0.2">
      <c r="A544" s="167"/>
      <c r="B544" s="167"/>
      <c r="C544" s="167"/>
      <c r="D544" s="167"/>
      <c r="E544" s="167"/>
      <c r="F544" s="167"/>
      <c r="G544" s="167"/>
      <c r="H544" s="167"/>
      <c r="I544" s="167"/>
      <c r="J544" s="168"/>
    </row>
    <row r="545" spans="1:10" s="135" customFormat="1" x14ac:dyDescent="0.2">
      <c r="A545" s="167"/>
      <c r="B545" s="167"/>
      <c r="C545" s="167"/>
      <c r="D545" s="167"/>
      <c r="E545" s="167"/>
      <c r="F545" s="167"/>
      <c r="G545" s="167"/>
      <c r="H545" s="167"/>
      <c r="I545" s="167"/>
      <c r="J545" s="168"/>
    </row>
    <row r="546" spans="1:10" s="135" customFormat="1" x14ac:dyDescent="0.2">
      <c r="A546" s="167"/>
      <c r="B546" s="167"/>
      <c r="C546" s="167"/>
      <c r="D546" s="167"/>
      <c r="E546" s="167"/>
      <c r="F546" s="167"/>
      <c r="G546" s="167"/>
      <c r="H546" s="167"/>
      <c r="I546" s="167"/>
      <c r="J546" s="168"/>
    </row>
    <row r="547" spans="1:10" s="135" customFormat="1" x14ac:dyDescent="0.2">
      <c r="A547" s="167"/>
      <c r="B547" s="167"/>
      <c r="C547" s="167"/>
      <c r="D547" s="167"/>
      <c r="E547" s="167"/>
      <c r="F547" s="167"/>
      <c r="G547" s="167"/>
      <c r="H547" s="167"/>
      <c r="I547" s="167"/>
      <c r="J547" s="168"/>
    </row>
    <row r="548" spans="1:10" s="135" customFormat="1" x14ac:dyDescent="0.2">
      <c r="A548" s="167"/>
      <c r="B548" s="167"/>
      <c r="C548" s="167"/>
      <c r="D548" s="167"/>
      <c r="E548" s="167"/>
      <c r="F548" s="167"/>
      <c r="G548" s="167"/>
      <c r="H548" s="167"/>
      <c r="I548" s="167"/>
      <c r="J548" s="168"/>
    </row>
    <row r="549" spans="1:10" s="135" customFormat="1" x14ac:dyDescent="0.2">
      <c r="A549" s="167"/>
      <c r="B549" s="167"/>
      <c r="C549" s="167"/>
      <c r="D549" s="167"/>
      <c r="E549" s="167"/>
      <c r="F549" s="167"/>
      <c r="G549" s="167"/>
      <c r="H549" s="167"/>
      <c r="I549" s="167"/>
      <c r="J549" s="168"/>
    </row>
    <row r="550" spans="1:10" s="135" customFormat="1" x14ac:dyDescent="0.2">
      <c r="A550" s="167"/>
      <c r="B550" s="167"/>
      <c r="C550" s="167"/>
      <c r="D550" s="167"/>
      <c r="E550" s="167"/>
      <c r="F550" s="167"/>
      <c r="G550" s="167"/>
      <c r="H550" s="167"/>
      <c r="I550" s="167"/>
      <c r="J550" s="168"/>
    </row>
    <row r="551" spans="1:10" s="135" customFormat="1" x14ac:dyDescent="0.2">
      <c r="A551" s="167"/>
      <c r="B551" s="167"/>
      <c r="C551" s="167"/>
      <c r="D551" s="167"/>
      <c r="E551" s="167"/>
      <c r="F551" s="167"/>
      <c r="G551" s="167"/>
      <c r="H551" s="167"/>
      <c r="I551" s="167"/>
      <c r="J551" s="168"/>
    </row>
    <row r="552" spans="1:10" s="135" customFormat="1" x14ac:dyDescent="0.2">
      <c r="A552" s="167"/>
      <c r="B552" s="167"/>
      <c r="C552" s="167"/>
      <c r="D552" s="167"/>
      <c r="E552" s="167"/>
      <c r="F552" s="167"/>
      <c r="G552" s="167"/>
      <c r="H552" s="167"/>
      <c r="I552" s="167"/>
      <c r="J552" s="168"/>
    </row>
    <row r="553" spans="1:10" s="135" customFormat="1" x14ac:dyDescent="0.2">
      <c r="A553" s="167"/>
      <c r="B553" s="167"/>
      <c r="C553" s="167"/>
      <c r="D553" s="167"/>
      <c r="E553" s="167"/>
      <c r="F553" s="167"/>
      <c r="G553" s="167"/>
      <c r="H553" s="167"/>
      <c r="I553" s="167"/>
      <c r="J553" s="168"/>
    </row>
    <row r="554" spans="1:10" s="135" customFormat="1" x14ac:dyDescent="0.2">
      <c r="A554" s="167"/>
      <c r="B554" s="167"/>
      <c r="C554" s="167"/>
      <c r="D554" s="167"/>
      <c r="E554" s="167"/>
      <c r="F554" s="167"/>
      <c r="G554" s="167"/>
      <c r="H554" s="167"/>
      <c r="I554" s="167"/>
      <c r="J554" s="168"/>
    </row>
    <row r="555" spans="1:10" s="135" customFormat="1" x14ac:dyDescent="0.2">
      <c r="A555" s="167"/>
      <c r="B555" s="167"/>
      <c r="C555" s="167"/>
      <c r="D555" s="167"/>
      <c r="E555" s="167"/>
      <c r="F555" s="167"/>
      <c r="G555" s="167"/>
      <c r="H555" s="167"/>
      <c r="I555" s="167"/>
      <c r="J555" s="168"/>
    </row>
    <row r="556" spans="1:10" s="135" customFormat="1" x14ac:dyDescent="0.2">
      <c r="A556" s="167"/>
      <c r="B556" s="167"/>
      <c r="C556" s="167"/>
      <c r="D556" s="167"/>
      <c r="E556" s="167"/>
      <c r="F556" s="167"/>
      <c r="G556" s="167"/>
      <c r="H556" s="167"/>
      <c r="I556" s="167"/>
      <c r="J556" s="168"/>
    </row>
    <row r="557" spans="1:10" s="135" customFormat="1" x14ac:dyDescent="0.2">
      <c r="A557" s="167"/>
      <c r="B557" s="167"/>
      <c r="C557" s="167"/>
      <c r="D557" s="167"/>
      <c r="E557" s="167"/>
      <c r="F557" s="167"/>
      <c r="G557" s="167"/>
      <c r="H557" s="167"/>
      <c r="I557" s="167"/>
      <c r="J557" s="168"/>
    </row>
    <row r="558" spans="1:10" s="135" customFormat="1" x14ac:dyDescent="0.2">
      <c r="A558" s="167"/>
      <c r="B558" s="167"/>
      <c r="C558" s="167"/>
      <c r="D558" s="167"/>
      <c r="E558" s="167"/>
      <c r="F558" s="167"/>
      <c r="G558" s="167"/>
      <c r="H558" s="167"/>
      <c r="I558" s="167"/>
      <c r="J558" s="168"/>
    </row>
    <row r="559" spans="1:10" s="135" customFormat="1" x14ac:dyDescent="0.2">
      <c r="A559" s="167"/>
      <c r="B559" s="167"/>
      <c r="C559" s="167"/>
      <c r="D559" s="167"/>
      <c r="E559" s="167"/>
      <c r="F559" s="167"/>
      <c r="G559" s="167"/>
      <c r="H559" s="167"/>
      <c r="I559" s="167"/>
      <c r="J559" s="168"/>
    </row>
    <row r="560" spans="1:10" s="135" customFormat="1" x14ac:dyDescent="0.2">
      <c r="A560" s="167"/>
      <c r="B560" s="167"/>
      <c r="C560" s="167"/>
      <c r="D560" s="167"/>
      <c r="E560" s="167"/>
      <c r="F560" s="167"/>
      <c r="G560" s="167"/>
      <c r="H560" s="167"/>
      <c r="I560" s="167"/>
      <c r="J560" s="168"/>
    </row>
    <row r="561" spans="1:10" s="135" customFormat="1" x14ac:dyDescent="0.2">
      <c r="A561" s="167"/>
      <c r="B561" s="167"/>
      <c r="C561" s="167"/>
      <c r="D561" s="167"/>
      <c r="E561" s="167"/>
      <c r="F561" s="167"/>
      <c r="G561" s="167"/>
      <c r="H561" s="167"/>
      <c r="I561" s="167"/>
      <c r="J561" s="168"/>
    </row>
    <row r="562" spans="1:10" s="135" customFormat="1" x14ac:dyDescent="0.2">
      <c r="A562" s="167"/>
      <c r="B562" s="167"/>
      <c r="C562" s="167"/>
      <c r="D562" s="167"/>
      <c r="E562" s="167"/>
      <c r="F562" s="167"/>
      <c r="G562" s="167"/>
      <c r="H562" s="167"/>
      <c r="I562" s="167"/>
      <c r="J562" s="168"/>
    </row>
    <row r="563" spans="1:10" s="135" customFormat="1" x14ac:dyDescent="0.2">
      <c r="A563" s="167"/>
      <c r="B563" s="167"/>
      <c r="C563" s="167"/>
      <c r="D563" s="167"/>
      <c r="E563" s="167"/>
      <c r="F563" s="167"/>
      <c r="G563" s="167"/>
      <c r="H563" s="167"/>
      <c r="I563" s="167"/>
      <c r="J563" s="168"/>
    </row>
    <row r="564" spans="1:10" s="135" customFormat="1" x14ac:dyDescent="0.2">
      <c r="A564" s="167"/>
      <c r="B564" s="167"/>
      <c r="C564" s="167"/>
      <c r="D564" s="167"/>
      <c r="E564" s="167"/>
      <c r="F564" s="167"/>
      <c r="G564" s="167"/>
      <c r="H564" s="167"/>
      <c r="I564" s="167"/>
      <c r="J564" s="168"/>
    </row>
    <row r="565" spans="1:10" s="135" customFormat="1" x14ac:dyDescent="0.2">
      <c r="A565" s="167"/>
      <c r="B565" s="167"/>
      <c r="C565" s="167"/>
      <c r="D565" s="167"/>
      <c r="E565" s="167"/>
      <c r="F565" s="167"/>
      <c r="G565" s="167"/>
      <c r="H565" s="167"/>
      <c r="I565" s="167"/>
      <c r="J565" s="168"/>
    </row>
    <row r="566" spans="1:10" s="135" customFormat="1" x14ac:dyDescent="0.2">
      <c r="A566" s="167"/>
      <c r="B566" s="167"/>
      <c r="C566" s="167"/>
      <c r="D566" s="167"/>
      <c r="E566" s="167"/>
      <c r="F566" s="167"/>
      <c r="G566" s="167"/>
      <c r="H566" s="167"/>
      <c r="I566" s="167"/>
      <c r="J566" s="168"/>
    </row>
    <row r="567" spans="1:10" s="135" customFormat="1" x14ac:dyDescent="0.2">
      <c r="A567" s="167"/>
      <c r="B567" s="167"/>
      <c r="C567" s="167"/>
      <c r="D567" s="167"/>
      <c r="E567" s="167"/>
      <c r="F567" s="167"/>
      <c r="G567" s="167"/>
      <c r="H567" s="167"/>
      <c r="I567" s="167"/>
      <c r="J567" s="168"/>
    </row>
    <row r="568" spans="1:10" s="135" customFormat="1" x14ac:dyDescent="0.2">
      <c r="A568" s="167"/>
      <c r="B568" s="167"/>
      <c r="C568" s="167"/>
      <c r="D568" s="167"/>
      <c r="E568" s="167"/>
      <c r="F568" s="167"/>
      <c r="G568" s="167"/>
      <c r="H568" s="167"/>
      <c r="I568" s="167"/>
      <c r="J568" s="168"/>
    </row>
    <row r="569" spans="1:10" s="135" customFormat="1" x14ac:dyDescent="0.2">
      <c r="A569" s="167"/>
      <c r="B569" s="167"/>
      <c r="C569" s="167"/>
      <c r="D569" s="167"/>
      <c r="E569" s="167"/>
      <c r="F569" s="167"/>
      <c r="G569" s="167"/>
      <c r="H569" s="167"/>
      <c r="I569" s="167"/>
      <c r="J569" s="168"/>
    </row>
    <row r="570" spans="1:10" s="135" customFormat="1" x14ac:dyDescent="0.2">
      <c r="A570" s="167"/>
      <c r="B570" s="167"/>
      <c r="C570" s="167"/>
      <c r="D570" s="167"/>
      <c r="E570" s="167"/>
      <c r="F570" s="167"/>
      <c r="G570" s="167"/>
      <c r="H570" s="167"/>
      <c r="I570" s="167"/>
      <c r="J570" s="168"/>
    </row>
    <row r="571" spans="1:10" s="135" customFormat="1" x14ac:dyDescent="0.2">
      <c r="A571" s="167"/>
      <c r="B571" s="167"/>
      <c r="C571" s="167"/>
      <c r="D571" s="167"/>
      <c r="E571" s="167"/>
      <c r="F571" s="167"/>
      <c r="G571" s="167"/>
      <c r="H571" s="167"/>
      <c r="I571" s="167"/>
      <c r="J571" s="168"/>
    </row>
    <row r="572" spans="1:10" s="135" customFormat="1" x14ac:dyDescent="0.2">
      <c r="A572" s="167"/>
      <c r="B572" s="167"/>
      <c r="C572" s="167"/>
      <c r="D572" s="167"/>
      <c r="E572" s="167"/>
      <c r="F572" s="167"/>
      <c r="G572" s="167"/>
      <c r="H572" s="167"/>
      <c r="I572" s="167"/>
      <c r="J572" s="168"/>
    </row>
    <row r="573" spans="1:10" s="135" customFormat="1" x14ac:dyDescent="0.2">
      <c r="A573" s="167"/>
      <c r="B573" s="167"/>
      <c r="C573" s="167"/>
      <c r="D573" s="167"/>
      <c r="E573" s="167"/>
      <c r="F573" s="167"/>
      <c r="G573" s="167"/>
      <c r="H573" s="167"/>
      <c r="I573" s="167"/>
      <c r="J573" s="168"/>
    </row>
    <row r="574" spans="1:10" s="135" customFormat="1" x14ac:dyDescent="0.2">
      <c r="A574" s="167"/>
      <c r="B574" s="167"/>
      <c r="C574" s="167"/>
      <c r="D574" s="167"/>
      <c r="E574" s="167"/>
      <c r="F574" s="167"/>
      <c r="G574" s="167"/>
      <c r="H574" s="167"/>
      <c r="I574" s="167"/>
      <c r="J574" s="168"/>
    </row>
    <row r="575" spans="1:10" s="135" customFormat="1" x14ac:dyDescent="0.2">
      <c r="A575" s="167"/>
      <c r="B575" s="167"/>
      <c r="C575" s="167"/>
      <c r="D575" s="167"/>
      <c r="E575" s="167"/>
      <c r="F575" s="167"/>
      <c r="G575" s="167"/>
      <c r="H575" s="167"/>
      <c r="I575" s="167"/>
      <c r="J575" s="168"/>
    </row>
    <row r="576" spans="1:10" s="135" customFormat="1" x14ac:dyDescent="0.2">
      <c r="A576" s="167"/>
      <c r="B576" s="167"/>
      <c r="C576" s="167"/>
      <c r="D576" s="167"/>
      <c r="E576" s="167"/>
      <c r="F576" s="167"/>
      <c r="G576" s="167"/>
      <c r="H576" s="167"/>
      <c r="I576" s="167"/>
      <c r="J576" s="168"/>
    </row>
    <row r="577" spans="1:10" s="135" customFormat="1" x14ac:dyDescent="0.2">
      <c r="A577" s="167"/>
      <c r="B577" s="167"/>
      <c r="C577" s="167"/>
      <c r="D577" s="167"/>
      <c r="E577" s="167"/>
      <c r="F577" s="167"/>
      <c r="G577" s="167"/>
      <c r="H577" s="167"/>
      <c r="I577" s="167"/>
      <c r="J577" s="168"/>
    </row>
    <row r="578" spans="1:10" s="135" customFormat="1" x14ac:dyDescent="0.2">
      <c r="A578" s="167"/>
      <c r="B578" s="167"/>
      <c r="C578" s="167"/>
      <c r="D578" s="167"/>
      <c r="E578" s="167"/>
      <c r="F578" s="167"/>
      <c r="G578" s="167"/>
      <c r="H578" s="167"/>
      <c r="I578" s="167"/>
      <c r="J578" s="168"/>
    </row>
    <row r="579" spans="1:10" s="135" customFormat="1" x14ac:dyDescent="0.2">
      <c r="A579" s="167"/>
      <c r="B579" s="167"/>
      <c r="C579" s="167"/>
      <c r="D579" s="167"/>
      <c r="E579" s="167"/>
      <c r="F579" s="167"/>
      <c r="G579" s="167"/>
      <c r="H579" s="167"/>
      <c r="I579" s="167"/>
      <c r="J579" s="168"/>
    </row>
    <row r="580" spans="1:10" s="135" customFormat="1" x14ac:dyDescent="0.2">
      <c r="A580" s="167"/>
      <c r="B580" s="167"/>
      <c r="C580" s="167"/>
      <c r="D580" s="167"/>
      <c r="E580" s="167"/>
      <c r="F580" s="167"/>
      <c r="G580" s="167"/>
      <c r="H580" s="167"/>
      <c r="I580" s="167"/>
      <c r="J580" s="168"/>
    </row>
    <row r="581" spans="1:10" s="135" customFormat="1" x14ac:dyDescent="0.2">
      <c r="A581" s="167"/>
      <c r="B581" s="167"/>
      <c r="C581" s="167"/>
      <c r="D581" s="167"/>
      <c r="E581" s="167"/>
      <c r="F581" s="167"/>
      <c r="G581" s="167"/>
      <c r="H581" s="167"/>
      <c r="I581" s="167"/>
      <c r="J581" s="168"/>
    </row>
    <row r="582" spans="1:10" s="135" customFormat="1" x14ac:dyDescent="0.2">
      <c r="A582" s="167"/>
      <c r="B582" s="167"/>
      <c r="C582" s="167"/>
      <c r="D582" s="167"/>
      <c r="E582" s="167"/>
      <c r="F582" s="167"/>
      <c r="G582" s="167"/>
      <c r="H582" s="167"/>
      <c r="I582" s="167"/>
      <c r="J582" s="168"/>
    </row>
    <row r="583" spans="1:10" s="135" customFormat="1" x14ac:dyDescent="0.2">
      <c r="A583" s="167"/>
      <c r="B583" s="167"/>
      <c r="C583" s="167"/>
      <c r="D583" s="167"/>
      <c r="E583" s="167"/>
      <c r="F583" s="167"/>
      <c r="G583" s="167"/>
      <c r="H583" s="167"/>
      <c r="I583" s="167"/>
      <c r="J583" s="168"/>
    </row>
    <row r="584" spans="1:10" s="135" customFormat="1" x14ac:dyDescent="0.2">
      <c r="A584" s="167"/>
      <c r="B584" s="167"/>
      <c r="C584" s="167"/>
      <c r="D584" s="167"/>
      <c r="E584" s="167"/>
      <c r="F584" s="167"/>
      <c r="G584" s="167"/>
      <c r="H584" s="167"/>
      <c r="I584" s="167"/>
      <c r="J584" s="168"/>
    </row>
    <row r="585" spans="1:10" s="135" customFormat="1" x14ac:dyDescent="0.2">
      <c r="A585" s="167"/>
      <c r="B585" s="167"/>
      <c r="C585" s="167"/>
      <c r="D585" s="167"/>
      <c r="E585" s="167"/>
      <c r="F585" s="167"/>
      <c r="G585" s="167"/>
      <c r="H585" s="167"/>
      <c r="I585" s="167"/>
      <c r="J585" s="168"/>
    </row>
    <row r="586" spans="1:10" s="135" customFormat="1" x14ac:dyDescent="0.2">
      <c r="A586" s="167"/>
      <c r="B586" s="167"/>
      <c r="C586" s="167"/>
      <c r="D586" s="167"/>
      <c r="E586" s="167"/>
      <c r="F586" s="167"/>
      <c r="G586" s="167"/>
      <c r="H586" s="167"/>
      <c r="I586" s="167"/>
      <c r="J586" s="168"/>
    </row>
    <row r="587" spans="1:10" s="135" customFormat="1" x14ac:dyDescent="0.2">
      <c r="A587" s="167"/>
      <c r="B587" s="167"/>
      <c r="C587" s="167"/>
      <c r="D587" s="167"/>
      <c r="E587" s="167"/>
      <c r="F587" s="167"/>
      <c r="G587" s="167"/>
      <c r="H587" s="167"/>
      <c r="I587" s="167"/>
      <c r="J587" s="168"/>
    </row>
    <row r="588" spans="1:10" s="135" customFormat="1" x14ac:dyDescent="0.2">
      <c r="A588" s="167"/>
      <c r="B588" s="167"/>
      <c r="C588" s="167"/>
      <c r="D588" s="167"/>
      <c r="E588" s="167"/>
      <c r="F588" s="167"/>
      <c r="G588" s="167"/>
      <c r="H588" s="167"/>
      <c r="I588" s="167"/>
      <c r="J588" s="168"/>
    </row>
    <row r="589" spans="1:10" s="135" customFormat="1" x14ac:dyDescent="0.2">
      <c r="A589" s="167"/>
      <c r="B589" s="167"/>
      <c r="C589" s="167"/>
      <c r="D589" s="167"/>
      <c r="E589" s="167"/>
      <c r="F589" s="167"/>
      <c r="G589" s="167"/>
      <c r="H589" s="167"/>
      <c r="I589" s="167"/>
      <c r="J589" s="168"/>
    </row>
    <row r="590" spans="1:10" s="135" customFormat="1" x14ac:dyDescent="0.2">
      <c r="A590" s="167"/>
      <c r="B590" s="167"/>
      <c r="C590" s="167"/>
      <c r="D590" s="167"/>
      <c r="E590" s="167"/>
      <c r="F590" s="167"/>
      <c r="G590" s="167"/>
      <c r="H590" s="167"/>
      <c r="I590" s="167"/>
      <c r="J590" s="168"/>
    </row>
    <row r="591" spans="1:10" s="135" customFormat="1" x14ac:dyDescent="0.2">
      <c r="A591" s="167"/>
      <c r="B591" s="167"/>
      <c r="C591" s="167"/>
      <c r="D591" s="167"/>
      <c r="E591" s="167"/>
      <c r="F591" s="167"/>
      <c r="G591" s="167"/>
      <c r="H591" s="167"/>
      <c r="I591" s="167"/>
      <c r="J591" s="168"/>
    </row>
    <row r="592" spans="1:10" s="135" customFormat="1" x14ac:dyDescent="0.2">
      <c r="A592" s="167"/>
      <c r="B592" s="167"/>
      <c r="C592" s="167"/>
      <c r="D592" s="167"/>
      <c r="E592" s="167"/>
      <c r="F592" s="167"/>
      <c r="G592" s="167"/>
      <c r="H592" s="167"/>
      <c r="I592" s="167"/>
      <c r="J592" s="168"/>
    </row>
    <row r="593" spans="1:10" s="135" customFormat="1" x14ac:dyDescent="0.2">
      <c r="A593" s="167"/>
      <c r="B593" s="167"/>
      <c r="C593" s="167"/>
      <c r="D593" s="167"/>
      <c r="E593" s="167"/>
      <c r="F593" s="167"/>
      <c r="G593" s="167"/>
      <c r="H593" s="167"/>
      <c r="I593" s="167"/>
      <c r="J593" s="168"/>
    </row>
    <row r="594" spans="1:10" s="135" customFormat="1" x14ac:dyDescent="0.2">
      <c r="A594" s="167"/>
      <c r="B594" s="167"/>
      <c r="C594" s="167"/>
      <c r="D594" s="167"/>
      <c r="E594" s="167"/>
      <c r="F594" s="167"/>
      <c r="G594" s="167"/>
      <c r="H594" s="167"/>
      <c r="I594" s="167"/>
      <c r="J594" s="168"/>
    </row>
    <row r="595" spans="1:10" s="135" customFormat="1" x14ac:dyDescent="0.2">
      <c r="A595" s="167"/>
      <c r="B595" s="167"/>
      <c r="C595" s="167"/>
      <c r="D595" s="167"/>
      <c r="E595" s="167"/>
      <c r="F595" s="167"/>
      <c r="G595" s="167"/>
      <c r="H595" s="167"/>
      <c r="I595" s="167"/>
      <c r="J595" s="168"/>
    </row>
    <row r="596" spans="1:10" s="135" customFormat="1" x14ac:dyDescent="0.2">
      <c r="A596" s="167"/>
      <c r="B596" s="167"/>
      <c r="C596" s="167"/>
      <c r="D596" s="167"/>
      <c r="E596" s="167"/>
      <c r="F596" s="167"/>
      <c r="G596" s="167"/>
      <c r="H596" s="167"/>
      <c r="I596" s="167"/>
      <c r="J596" s="168"/>
    </row>
    <row r="597" spans="1:10" s="135" customFormat="1" x14ac:dyDescent="0.2">
      <c r="A597" s="167"/>
      <c r="B597" s="167"/>
      <c r="C597" s="167"/>
      <c r="D597" s="167"/>
      <c r="E597" s="167"/>
      <c r="F597" s="167"/>
      <c r="G597" s="167"/>
      <c r="H597" s="167"/>
      <c r="I597" s="167"/>
      <c r="J597" s="168"/>
    </row>
    <row r="598" spans="1:10" s="135" customFormat="1" x14ac:dyDescent="0.2">
      <c r="A598" s="167"/>
      <c r="B598" s="167"/>
      <c r="C598" s="167"/>
      <c r="D598" s="167"/>
      <c r="E598" s="167"/>
      <c r="F598" s="167"/>
      <c r="G598" s="167"/>
      <c r="H598" s="167"/>
      <c r="I598" s="167"/>
      <c r="J598" s="168"/>
    </row>
    <row r="599" spans="1:10" s="135" customFormat="1" x14ac:dyDescent="0.2">
      <c r="A599" s="167"/>
      <c r="B599" s="167"/>
      <c r="C599" s="167"/>
      <c r="D599" s="167"/>
      <c r="E599" s="167"/>
      <c r="F599" s="167"/>
      <c r="G599" s="167"/>
      <c r="H599" s="167"/>
      <c r="I599" s="167"/>
      <c r="J599" s="168"/>
    </row>
    <row r="600" spans="1:10" s="135" customFormat="1" x14ac:dyDescent="0.2">
      <c r="A600" s="167"/>
      <c r="B600" s="167"/>
      <c r="C600" s="167"/>
      <c r="D600" s="167"/>
      <c r="E600" s="167"/>
      <c r="F600" s="167"/>
      <c r="G600" s="167"/>
      <c r="H600" s="167"/>
      <c r="I600" s="167"/>
      <c r="J600" s="168"/>
    </row>
    <row r="601" spans="1:10" s="135" customFormat="1" x14ac:dyDescent="0.2">
      <c r="A601" s="167"/>
      <c r="B601" s="167"/>
      <c r="C601" s="167"/>
      <c r="D601" s="167"/>
      <c r="E601" s="167"/>
      <c r="F601" s="167"/>
      <c r="G601" s="167"/>
      <c r="H601" s="167"/>
      <c r="I601" s="167"/>
      <c r="J601" s="168"/>
    </row>
    <row r="602" spans="1:10" s="135" customFormat="1" x14ac:dyDescent="0.2">
      <c r="A602" s="167"/>
      <c r="B602" s="167"/>
      <c r="C602" s="167"/>
      <c r="D602" s="167"/>
      <c r="E602" s="167"/>
      <c r="F602" s="167"/>
      <c r="G602" s="167"/>
      <c r="H602" s="167"/>
      <c r="I602" s="167"/>
      <c r="J602" s="168"/>
    </row>
    <row r="603" spans="1:10" s="135" customFormat="1" x14ac:dyDescent="0.2">
      <c r="A603" s="167"/>
      <c r="B603" s="167"/>
      <c r="C603" s="167"/>
      <c r="D603" s="167"/>
      <c r="E603" s="167"/>
      <c r="F603" s="167"/>
      <c r="G603" s="167"/>
      <c r="H603" s="167"/>
      <c r="I603" s="167"/>
      <c r="J603" s="168"/>
    </row>
    <row r="604" spans="1:10" s="135" customFormat="1" x14ac:dyDescent="0.2">
      <c r="A604" s="167"/>
      <c r="B604" s="167"/>
      <c r="C604" s="167"/>
      <c r="D604" s="167"/>
      <c r="E604" s="167"/>
      <c r="F604" s="167"/>
      <c r="G604" s="167"/>
      <c r="H604" s="167"/>
      <c r="I604" s="167"/>
      <c r="J604" s="168"/>
    </row>
    <row r="605" spans="1:10" s="135" customFormat="1" x14ac:dyDescent="0.2">
      <c r="A605" s="167"/>
      <c r="B605" s="167"/>
      <c r="C605" s="167"/>
      <c r="D605" s="167"/>
      <c r="E605" s="167"/>
      <c r="F605" s="167"/>
      <c r="G605" s="167"/>
      <c r="H605" s="167"/>
      <c r="I605" s="167"/>
      <c r="J605" s="168"/>
    </row>
    <row r="606" spans="1:10" s="135" customFormat="1" x14ac:dyDescent="0.2">
      <c r="A606" s="167"/>
      <c r="B606" s="167"/>
      <c r="C606" s="167"/>
      <c r="D606" s="167"/>
      <c r="E606" s="167"/>
      <c r="F606" s="167"/>
      <c r="G606" s="167"/>
      <c r="H606" s="167"/>
      <c r="I606" s="167"/>
      <c r="J606" s="168"/>
    </row>
    <row r="607" spans="1:10" s="135" customFormat="1" x14ac:dyDescent="0.2">
      <c r="A607" s="167"/>
      <c r="B607" s="167"/>
      <c r="C607" s="167"/>
      <c r="D607" s="167"/>
      <c r="E607" s="167"/>
      <c r="F607" s="167"/>
      <c r="G607" s="167"/>
      <c r="H607" s="167"/>
      <c r="I607" s="167"/>
      <c r="J607" s="168"/>
    </row>
    <row r="608" spans="1:10" s="135" customFormat="1" x14ac:dyDescent="0.2">
      <c r="A608" s="167"/>
      <c r="B608" s="167"/>
      <c r="C608" s="167"/>
      <c r="D608" s="167"/>
      <c r="E608" s="167"/>
      <c r="F608" s="167"/>
      <c r="G608" s="167"/>
      <c r="H608" s="167"/>
      <c r="I608" s="167"/>
      <c r="J608" s="168"/>
    </row>
    <row r="609" spans="1:10" s="135" customFormat="1" x14ac:dyDescent="0.2">
      <c r="A609" s="167"/>
      <c r="B609" s="167"/>
      <c r="C609" s="167"/>
      <c r="D609" s="167"/>
      <c r="E609" s="167"/>
      <c r="F609" s="167"/>
      <c r="G609" s="167"/>
      <c r="H609" s="167"/>
      <c r="I609" s="167"/>
      <c r="J609" s="168"/>
    </row>
    <row r="610" spans="1:10" s="135" customFormat="1" x14ac:dyDescent="0.2">
      <c r="A610" s="167"/>
      <c r="B610" s="167"/>
      <c r="C610" s="167"/>
      <c r="D610" s="167"/>
      <c r="E610" s="167"/>
      <c r="F610" s="167"/>
      <c r="G610" s="167"/>
      <c r="H610" s="167"/>
      <c r="I610" s="167"/>
      <c r="J610" s="168"/>
    </row>
    <row r="611" spans="1:10" s="135" customFormat="1" x14ac:dyDescent="0.2">
      <c r="A611" s="167"/>
      <c r="B611" s="167"/>
      <c r="C611" s="167"/>
      <c r="D611" s="167"/>
      <c r="E611" s="167"/>
      <c r="F611" s="167"/>
      <c r="G611" s="167"/>
      <c r="H611" s="167"/>
      <c r="I611" s="167"/>
      <c r="J611" s="168"/>
    </row>
    <row r="612" spans="1:10" s="135" customFormat="1" x14ac:dyDescent="0.2">
      <c r="A612" s="167"/>
      <c r="B612" s="167"/>
      <c r="C612" s="167"/>
      <c r="D612" s="167"/>
      <c r="E612" s="167"/>
      <c r="F612" s="167"/>
      <c r="G612" s="167"/>
      <c r="H612" s="167"/>
      <c r="I612" s="167"/>
      <c r="J612" s="168"/>
    </row>
    <row r="613" spans="1:10" s="135" customFormat="1" x14ac:dyDescent="0.2">
      <c r="A613" s="167"/>
      <c r="B613" s="167"/>
      <c r="C613" s="167"/>
      <c r="D613" s="167"/>
      <c r="E613" s="167"/>
      <c r="F613" s="167"/>
      <c r="G613" s="167"/>
      <c r="H613" s="167"/>
      <c r="I613" s="167"/>
      <c r="J613" s="168"/>
    </row>
    <row r="614" spans="1:10" s="135" customFormat="1" x14ac:dyDescent="0.2">
      <c r="A614" s="167"/>
      <c r="B614" s="167"/>
      <c r="C614" s="167"/>
      <c r="D614" s="167"/>
      <c r="E614" s="167"/>
      <c r="F614" s="167"/>
      <c r="G614" s="167"/>
      <c r="H614" s="167"/>
      <c r="I614" s="167"/>
      <c r="J614" s="168"/>
    </row>
    <row r="615" spans="1:10" s="135" customFormat="1" x14ac:dyDescent="0.2">
      <c r="A615" s="167"/>
      <c r="B615" s="167"/>
      <c r="C615" s="167"/>
      <c r="D615" s="167"/>
      <c r="E615" s="167"/>
      <c r="F615" s="167"/>
      <c r="G615" s="167"/>
      <c r="H615" s="167"/>
      <c r="I615" s="167"/>
      <c r="J615" s="168"/>
    </row>
    <row r="616" spans="1:10" s="135" customFormat="1" x14ac:dyDescent="0.2">
      <c r="A616" s="167"/>
      <c r="B616" s="167"/>
      <c r="C616" s="167"/>
      <c r="D616" s="167"/>
      <c r="E616" s="167"/>
      <c r="F616" s="167"/>
      <c r="G616" s="167"/>
      <c r="H616" s="167"/>
      <c r="I616" s="167"/>
      <c r="J616" s="168"/>
    </row>
    <row r="617" spans="1:10" s="135" customFormat="1" x14ac:dyDescent="0.2">
      <c r="A617" s="167"/>
      <c r="B617" s="167"/>
      <c r="C617" s="167"/>
      <c r="D617" s="167"/>
      <c r="E617" s="167"/>
      <c r="F617" s="167"/>
      <c r="G617" s="167"/>
      <c r="H617" s="167"/>
      <c r="I617" s="167"/>
      <c r="J617" s="168"/>
    </row>
    <row r="618" spans="1:10" s="135" customFormat="1" x14ac:dyDescent="0.2">
      <c r="A618" s="167"/>
      <c r="B618" s="167"/>
      <c r="C618" s="167"/>
      <c r="D618" s="167"/>
      <c r="E618" s="167"/>
      <c r="F618" s="167"/>
      <c r="G618" s="167"/>
      <c r="H618" s="167"/>
      <c r="I618" s="167"/>
      <c r="J618" s="168"/>
    </row>
    <row r="619" spans="1:10" s="135" customFormat="1" x14ac:dyDescent="0.2">
      <c r="A619" s="167"/>
      <c r="B619" s="167"/>
      <c r="C619" s="167"/>
      <c r="D619" s="167"/>
      <c r="E619" s="167"/>
      <c r="F619" s="167"/>
      <c r="G619" s="167"/>
      <c r="H619" s="167"/>
      <c r="I619" s="167"/>
      <c r="J619" s="168"/>
    </row>
    <row r="620" spans="1:10" s="135" customFormat="1" x14ac:dyDescent="0.2">
      <c r="A620" s="167"/>
      <c r="B620" s="167"/>
      <c r="C620" s="167"/>
      <c r="D620" s="167"/>
      <c r="E620" s="167"/>
      <c r="F620" s="167"/>
      <c r="G620" s="167"/>
      <c r="H620" s="167"/>
      <c r="I620" s="167"/>
      <c r="J620" s="168"/>
    </row>
    <row r="621" spans="1:10" s="135" customFormat="1" x14ac:dyDescent="0.2">
      <c r="A621" s="167"/>
      <c r="B621" s="167"/>
      <c r="C621" s="167"/>
      <c r="D621" s="167"/>
      <c r="E621" s="167"/>
      <c r="F621" s="167"/>
      <c r="G621" s="167"/>
      <c r="H621" s="167"/>
      <c r="I621" s="167"/>
      <c r="J621" s="168"/>
    </row>
    <row r="622" spans="1:10" s="135" customFormat="1" x14ac:dyDescent="0.2">
      <c r="A622" s="167"/>
      <c r="B622" s="167"/>
      <c r="C622" s="167"/>
      <c r="D622" s="167"/>
      <c r="E622" s="167"/>
      <c r="F622" s="167"/>
      <c r="G622" s="167"/>
      <c r="H622" s="167"/>
      <c r="I622" s="167"/>
      <c r="J622" s="168"/>
    </row>
    <row r="623" spans="1:10" s="135" customFormat="1" x14ac:dyDescent="0.2">
      <c r="A623" s="167"/>
      <c r="B623" s="167"/>
      <c r="C623" s="167"/>
      <c r="D623" s="167"/>
      <c r="E623" s="167"/>
      <c r="F623" s="167"/>
      <c r="G623" s="167"/>
      <c r="H623" s="167"/>
      <c r="I623" s="167"/>
      <c r="J623" s="168"/>
    </row>
    <row r="624" spans="1:10" s="135" customFormat="1" x14ac:dyDescent="0.2">
      <c r="A624" s="167"/>
      <c r="B624" s="167"/>
      <c r="C624" s="167"/>
      <c r="D624" s="167"/>
      <c r="E624" s="167"/>
      <c r="F624" s="167"/>
      <c r="G624" s="167"/>
      <c r="H624" s="167"/>
      <c r="I624" s="167"/>
      <c r="J624" s="168"/>
    </row>
    <row r="625" spans="1:10" s="135" customFormat="1" x14ac:dyDescent="0.2">
      <c r="A625" s="167"/>
      <c r="B625" s="167"/>
      <c r="C625" s="167"/>
      <c r="D625" s="167"/>
      <c r="E625" s="167"/>
      <c r="F625" s="167"/>
      <c r="G625" s="167"/>
      <c r="H625" s="167"/>
      <c r="I625" s="167"/>
      <c r="J625" s="168"/>
    </row>
    <row r="626" spans="1:10" s="135" customFormat="1" x14ac:dyDescent="0.2">
      <c r="A626" s="167"/>
      <c r="B626" s="167"/>
      <c r="C626" s="167"/>
      <c r="D626" s="167"/>
      <c r="E626" s="167"/>
      <c r="F626" s="167"/>
      <c r="G626" s="167"/>
      <c r="H626" s="167"/>
      <c r="I626" s="167"/>
      <c r="J626" s="168"/>
    </row>
    <row r="627" spans="1:10" s="135" customFormat="1" x14ac:dyDescent="0.2">
      <c r="A627" s="167"/>
      <c r="B627" s="167"/>
      <c r="C627" s="167"/>
      <c r="D627" s="167"/>
      <c r="E627" s="167"/>
      <c r="F627" s="167"/>
      <c r="G627" s="167"/>
      <c r="H627" s="167"/>
      <c r="I627" s="167"/>
      <c r="J627" s="168"/>
    </row>
    <row r="628" spans="1:10" s="135" customFormat="1" x14ac:dyDescent="0.2">
      <c r="A628" s="167"/>
      <c r="B628" s="167"/>
      <c r="C628" s="167"/>
      <c r="D628" s="167"/>
      <c r="E628" s="167"/>
      <c r="F628" s="167"/>
      <c r="G628" s="167"/>
      <c r="H628" s="167"/>
      <c r="I628" s="167"/>
      <c r="J628" s="168"/>
    </row>
    <row r="629" spans="1:10" s="135" customFormat="1" x14ac:dyDescent="0.2">
      <c r="A629" s="167"/>
      <c r="B629" s="167"/>
      <c r="C629" s="167"/>
      <c r="D629" s="167"/>
      <c r="E629" s="167"/>
      <c r="F629" s="167"/>
      <c r="G629" s="167"/>
      <c r="H629" s="167"/>
      <c r="I629" s="167"/>
      <c r="J629" s="168"/>
    </row>
    <row r="630" spans="1:10" s="135" customFormat="1" x14ac:dyDescent="0.2">
      <c r="A630" s="167"/>
      <c r="B630" s="167"/>
      <c r="C630" s="167"/>
      <c r="D630" s="167"/>
      <c r="E630" s="167"/>
      <c r="F630" s="167"/>
      <c r="G630" s="167"/>
      <c r="H630" s="167"/>
      <c r="I630" s="167"/>
      <c r="J630" s="168"/>
    </row>
    <row r="631" spans="1:10" s="135" customFormat="1" x14ac:dyDescent="0.2">
      <c r="A631" s="167"/>
      <c r="B631" s="167"/>
      <c r="C631" s="167"/>
      <c r="D631" s="167"/>
      <c r="E631" s="167"/>
      <c r="F631" s="167"/>
      <c r="G631" s="167"/>
      <c r="H631" s="167"/>
      <c r="I631" s="167"/>
      <c r="J631" s="168"/>
    </row>
    <row r="632" spans="1:10" s="135" customFormat="1" x14ac:dyDescent="0.2">
      <c r="A632" s="167"/>
      <c r="B632" s="167"/>
      <c r="C632" s="167"/>
      <c r="D632" s="167"/>
      <c r="E632" s="167"/>
      <c r="F632" s="167"/>
      <c r="G632" s="167"/>
      <c r="H632" s="167"/>
      <c r="I632" s="167"/>
      <c r="J632" s="168"/>
    </row>
    <row r="633" spans="1:10" s="135" customFormat="1" x14ac:dyDescent="0.2">
      <c r="A633" s="167"/>
      <c r="B633" s="167"/>
      <c r="C633" s="167"/>
      <c r="D633" s="167"/>
      <c r="E633" s="167"/>
      <c r="F633" s="167"/>
      <c r="G633" s="167"/>
      <c r="H633" s="167"/>
      <c r="I633" s="167"/>
      <c r="J633" s="168"/>
    </row>
    <row r="634" spans="1:10" s="135" customFormat="1" x14ac:dyDescent="0.2">
      <c r="A634" s="167"/>
      <c r="B634" s="167"/>
      <c r="C634" s="167"/>
      <c r="D634" s="167"/>
      <c r="E634" s="167"/>
      <c r="F634" s="167"/>
      <c r="G634" s="167"/>
      <c r="H634" s="167"/>
      <c r="I634" s="167"/>
      <c r="J634" s="168"/>
    </row>
    <row r="635" spans="1:10" s="135" customFormat="1" x14ac:dyDescent="0.2">
      <c r="A635" s="167"/>
      <c r="B635" s="167"/>
      <c r="C635" s="167"/>
      <c r="D635" s="167"/>
      <c r="E635" s="167"/>
      <c r="F635" s="167"/>
      <c r="G635" s="167"/>
      <c r="H635" s="167"/>
      <c r="I635" s="167"/>
      <c r="J635" s="168"/>
    </row>
    <row r="636" spans="1:10" s="135" customFormat="1" x14ac:dyDescent="0.2">
      <c r="A636" s="167"/>
      <c r="B636" s="167"/>
      <c r="C636" s="167"/>
      <c r="D636" s="167"/>
      <c r="E636" s="167"/>
      <c r="F636" s="167"/>
      <c r="G636" s="167"/>
      <c r="H636" s="167"/>
      <c r="I636" s="167"/>
      <c r="J636" s="168"/>
    </row>
    <row r="637" spans="1:10" s="135" customFormat="1" x14ac:dyDescent="0.2">
      <c r="A637" s="167"/>
      <c r="B637" s="167"/>
      <c r="C637" s="167"/>
      <c r="D637" s="167"/>
      <c r="E637" s="167"/>
      <c r="F637" s="167"/>
      <c r="G637" s="167"/>
      <c r="H637" s="167"/>
      <c r="I637" s="167"/>
      <c r="J637" s="168"/>
    </row>
    <row r="638" spans="1:10" s="135" customFormat="1" x14ac:dyDescent="0.2">
      <c r="A638" s="167"/>
      <c r="B638" s="167"/>
      <c r="C638" s="167"/>
      <c r="D638" s="167"/>
      <c r="E638" s="167"/>
      <c r="F638" s="167"/>
      <c r="G638" s="167"/>
      <c r="H638" s="167"/>
      <c r="I638" s="167"/>
      <c r="J638" s="168"/>
    </row>
    <row r="639" spans="1:10" s="135" customFormat="1" x14ac:dyDescent="0.2">
      <c r="A639" s="167"/>
      <c r="B639" s="167"/>
      <c r="C639" s="167"/>
      <c r="D639" s="167"/>
      <c r="E639" s="167"/>
      <c r="F639" s="167"/>
      <c r="G639" s="167"/>
      <c r="H639" s="167"/>
      <c r="I639" s="167"/>
      <c r="J639" s="168"/>
    </row>
    <row r="640" spans="1:10" s="135" customFormat="1" x14ac:dyDescent="0.2">
      <c r="A640" s="167"/>
      <c r="B640" s="167"/>
      <c r="C640" s="167"/>
      <c r="D640" s="167"/>
      <c r="E640" s="167"/>
      <c r="F640" s="167"/>
      <c r="G640" s="167"/>
      <c r="H640" s="167"/>
      <c r="I640" s="167"/>
      <c r="J640" s="168"/>
    </row>
    <row r="641" spans="1:10" s="135" customFormat="1" x14ac:dyDescent="0.2">
      <c r="A641" s="167"/>
      <c r="B641" s="167"/>
      <c r="C641" s="167"/>
      <c r="D641" s="167"/>
      <c r="E641" s="167"/>
      <c r="F641" s="167"/>
      <c r="G641" s="167"/>
      <c r="H641" s="167"/>
      <c r="I641" s="167"/>
      <c r="J641" s="168"/>
    </row>
    <row r="642" spans="1:10" s="135" customFormat="1" x14ac:dyDescent="0.2">
      <c r="A642" s="167"/>
      <c r="B642" s="167"/>
      <c r="C642" s="167"/>
      <c r="D642" s="167"/>
      <c r="E642" s="167"/>
      <c r="F642" s="167"/>
      <c r="G642" s="167"/>
      <c r="H642" s="167"/>
      <c r="I642" s="167"/>
      <c r="J642" s="168"/>
    </row>
    <row r="643" spans="1:10" s="135" customFormat="1" x14ac:dyDescent="0.2">
      <c r="A643" s="167"/>
      <c r="B643" s="167"/>
      <c r="C643" s="167"/>
      <c r="D643" s="167"/>
      <c r="E643" s="167"/>
      <c r="F643" s="167"/>
      <c r="G643" s="167"/>
      <c r="H643" s="167"/>
      <c r="I643" s="167"/>
      <c r="J643" s="168"/>
    </row>
    <row r="644" spans="1:10" s="135" customFormat="1" x14ac:dyDescent="0.2">
      <c r="A644" s="167"/>
      <c r="B644" s="167"/>
      <c r="C644" s="167"/>
      <c r="D644" s="167"/>
      <c r="E644" s="167"/>
      <c r="F644" s="167"/>
      <c r="G644" s="167"/>
      <c r="H644" s="167"/>
      <c r="I644" s="167"/>
      <c r="J644" s="168"/>
    </row>
    <row r="645" spans="1:10" s="135" customFormat="1" x14ac:dyDescent="0.2">
      <c r="A645" s="167"/>
      <c r="B645" s="167"/>
      <c r="C645" s="167"/>
      <c r="D645" s="167"/>
      <c r="E645" s="167"/>
      <c r="F645" s="167"/>
      <c r="G645" s="167"/>
      <c r="H645" s="167"/>
      <c r="I645" s="167"/>
      <c r="J645" s="168"/>
    </row>
    <row r="646" spans="1:10" s="135" customFormat="1" x14ac:dyDescent="0.2">
      <c r="A646" s="167"/>
      <c r="B646" s="167"/>
      <c r="C646" s="167"/>
      <c r="D646" s="167"/>
      <c r="E646" s="167"/>
      <c r="F646" s="167"/>
      <c r="G646" s="167"/>
      <c r="H646" s="167"/>
      <c r="I646" s="167"/>
      <c r="J646" s="168"/>
    </row>
    <row r="647" spans="1:10" s="135" customFormat="1" x14ac:dyDescent="0.2">
      <c r="A647" s="167"/>
      <c r="B647" s="167"/>
      <c r="C647" s="167"/>
      <c r="D647" s="167"/>
      <c r="E647" s="167"/>
      <c r="F647" s="167"/>
      <c r="G647" s="167"/>
      <c r="H647" s="167"/>
      <c r="I647" s="167"/>
      <c r="J647" s="168"/>
    </row>
    <row r="648" spans="1:10" s="135" customFormat="1" x14ac:dyDescent="0.2">
      <c r="A648" s="167"/>
      <c r="B648" s="167"/>
      <c r="C648" s="167"/>
      <c r="D648" s="167"/>
      <c r="E648" s="167"/>
      <c r="F648" s="167"/>
      <c r="G648" s="167"/>
      <c r="H648" s="167"/>
      <c r="I648" s="167"/>
      <c r="J648" s="168"/>
    </row>
    <row r="649" spans="1:10" s="135" customFormat="1" x14ac:dyDescent="0.2">
      <c r="A649" s="167"/>
      <c r="B649" s="167"/>
      <c r="C649" s="167"/>
      <c r="D649" s="167"/>
      <c r="E649" s="167"/>
      <c r="F649" s="167"/>
      <c r="G649" s="167"/>
      <c r="H649" s="167"/>
      <c r="I649" s="167"/>
      <c r="J649" s="168"/>
    </row>
    <row r="650" spans="1:10" s="135" customFormat="1" x14ac:dyDescent="0.2">
      <c r="A650" s="167"/>
      <c r="B650" s="167"/>
      <c r="C650" s="167"/>
      <c r="D650" s="167"/>
      <c r="E650" s="167"/>
      <c r="F650" s="167"/>
      <c r="G650" s="167"/>
      <c r="H650" s="167"/>
      <c r="I650" s="167"/>
      <c r="J650" s="168"/>
    </row>
    <row r="651" spans="1:10" s="135" customFormat="1" x14ac:dyDescent="0.2">
      <c r="A651" s="167"/>
      <c r="B651" s="167"/>
      <c r="C651" s="167"/>
      <c r="D651" s="167"/>
      <c r="E651" s="167"/>
      <c r="F651" s="167"/>
      <c r="G651" s="167"/>
      <c r="H651" s="167"/>
      <c r="I651" s="167"/>
      <c r="J651" s="168"/>
    </row>
    <row r="652" spans="1:10" s="135" customFormat="1" x14ac:dyDescent="0.2">
      <c r="A652" s="167"/>
      <c r="B652" s="167"/>
      <c r="C652" s="167"/>
      <c r="D652" s="167"/>
      <c r="E652" s="167"/>
      <c r="F652" s="167"/>
      <c r="G652" s="167"/>
      <c r="H652" s="167"/>
      <c r="I652" s="167"/>
      <c r="J652" s="168"/>
    </row>
    <row r="653" spans="1:10" s="135" customFormat="1" x14ac:dyDescent="0.2">
      <c r="A653" s="167"/>
      <c r="B653" s="167"/>
      <c r="C653" s="167"/>
      <c r="D653" s="167"/>
      <c r="E653" s="167"/>
      <c r="F653" s="167"/>
      <c r="G653" s="167"/>
      <c r="H653" s="167"/>
      <c r="I653" s="167"/>
      <c r="J653" s="168"/>
    </row>
    <row r="654" spans="1:10" s="135" customFormat="1" x14ac:dyDescent="0.2">
      <c r="A654" s="167"/>
      <c r="B654" s="167"/>
      <c r="C654" s="167"/>
      <c r="D654" s="167"/>
      <c r="E654" s="167"/>
      <c r="F654" s="167"/>
      <c r="G654" s="167"/>
      <c r="H654" s="167"/>
      <c r="I654" s="167"/>
      <c r="J654" s="168"/>
    </row>
    <row r="655" spans="1:10" s="135" customFormat="1" x14ac:dyDescent="0.2">
      <c r="A655" s="167"/>
      <c r="B655" s="167"/>
      <c r="C655" s="167"/>
      <c r="D655" s="167"/>
      <c r="E655" s="167"/>
      <c r="F655" s="167"/>
      <c r="G655" s="167"/>
      <c r="H655" s="167"/>
      <c r="I655" s="167"/>
      <c r="J655" s="168"/>
    </row>
    <row r="656" spans="1:10" s="135" customFormat="1" x14ac:dyDescent="0.2">
      <c r="A656" s="167"/>
      <c r="B656" s="167"/>
      <c r="C656" s="167"/>
      <c r="D656" s="167"/>
      <c r="E656" s="167"/>
      <c r="F656" s="167"/>
      <c r="G656" s="167"/>
      <c r="H656" s="167"/>
      <c r="I656" s="167"/>
      <c r="J656" s="168"/>
    </row>
    <row r="657" spans="1:10" s="135" customFormat="1" x14ac:dyDescent="0.2">
      <c r="A657" s="167"/>
      <c r="B657" s="167"/>
      <c r="C657" s="167"/>
      <c r="D657" s="167"/>
      <c r="E657" s="167"/>
      <c r="F657" s="167"/>
      <c r="G657" s="167"/>
      <c r="H657" s="167"/>
      <c r="I657" s="167"/>
      <c r="J657" s="168"/>
    </row>
    <row r="658" spans="1:10" s="135" customFormat="1" x14ac:dyDescent="0.2">
      <c r="A658" s="167"/>
      <c r="B658" s="167"/>
      <c r="C658" s="167"/>
      <c r="D658" s="167"/>
      <c r="E658" s="167"/>
      <c r="F658" s="167"/>
      <c r="G658" s="167"/>
      <c r="H658" s="167"/>
      <c r="I658" s="167"/>
      <c r="J658" s="168"/>
    </row>
    <row r="659" spans="1:10" s="135" customFormat="1" x14ac:dyDescent="0.2">
      <c r="A659" s="167"/>
      <c r="B659" s="167"/>
      <c r="C659" s="167"/>
      <c r="D659" s="167"/>
      <c r="E659" s="167"/>
      <c r="F659" s="167"/>
      <c r="G659" s="167"/>
      <c r="H659" s="167"/>
      <c r="I659" s="167"/>
      <c r="J659" s="168"/>
    </row>
    <row r="660" spans="1:10" s="135" customFormat="1" x14ac:dyDescent="0.2">
      <c r="A660" s="167"/>
      <c r="B660" s="167"/>
      <c r="C660" s="167"/>
      <c r="D660" s="167"/>
      <c r="E660" s="167"/>
      <c r="F660" s="167"/>
      <c r="G660" s="167"/>
      <c r="H660" s="167"/>
      <c r="I660" s="167"/>
      <c r="J660" s="168"/>
    </row>
    <row r="661" spans="1:10" s="135" customFormat="1" x14ac:dyDescent="0.2">
      <c r="A661" s="167"/>
      <c r="B661" s="167"/>
      <c r="C661" s="167"/>
      <c r="D661" s="167"/>
      <c r="E661" s="167"/>
      <c r="F661" s="167"/>
      <c r="G661" s="167"/>
      <c r="H661" s="167"/>
      <c r="I661" s="167"/>
      <c r="J661" s="168"/>
    </row>
    <row r="662" spans="1:10" s="135" customFormat="1" x14ac:dyDescent="0.2">
      <c r="A662" s="167"/>
      <c r="B662" s="167"/>
      <c r="C662" s="167"/>
      <c r="D662" s="167"/>
      <c r="E662" s="167"/>
      <c r="F662" s="167"/>
      <c r="G662" s="167"/>
      <c r="H662" s="167"/>
      <c r="I662" s="167"/>
      <c r="J662" s="168"/>
    </row>
    <row r="663" spans="1:10" s="135" customFormat="1" x14ac:dyDescent="0.2">
      <c r="A663" s="167"/>
      <c r="B663" s="167"/>
      <c r="C663" s="167"/>
      <c r="D663" s="167"/>
      <c r="E663" s="167"/>
      <c r="F663" s="167"/>
      <c r="G663" s="167"/>
      <c r="H663" s="167"/>
      <c r="I663" s="167"/>
      <c r="J663" s="168"/>
    </row>
    <row r="664" spans="1:10" s="135" customFormat="1" x14ac:dyDescent="0.2">
      <c r="A664" s="167"/>
      <c r="B664" s="167"/>
      <c r="C664" s="167"/>
      <c r="D664" s="167"/>
      <c r="E664" s="167"/>
      <c r="F664" s="167"/>
      <c r="G664" s="167"/>
      <c r="H664" s="167"/>
      <c r="I664" s="167"/>
      <c r="J664" s="168"/>
    </row>
    <row r="665" spans="1:10" s="135" customFormat="1" x14ac:dyDescent="0.2">
      <c r="A665" s="167"/>
      <c r="B665" s="167"/>
      <c r="C665" s="167"/>
      <c r="D665" s="167"/>
      <c r="E665" s="167"/>
      <c r="F665" s="167"/>
      <c r="G665" s="167"/>
      <c r="H665" s="167"/>
      <c r="I665" s="167"/>
      <c r="J665" s="168"/>
    </row>
    <row r="666" spans="1:10" s="135" customFormat="1" x14ac:dyDescent="0.2">
      <c r="A666" s="167"/>
      <c r="B666" s="167"/>
      <c r="C666" s="167"/>
      <c r="D666" s="167"/>
      <c r="E666" s="167"/>
      <c r="F666" s="167"/>
      <c r="G666" s="167"/>
      <c r="H666" s="167"/>
      <c r="I666" s="167"/>
      <c r="J666" s="168"/>
    </row>
    <row r="667" spans="1:10" s="135" customFormat="1" x14ac:dyDescent="0.2">
      <c r="A667" s="167"/>
      <c r="B667" s="167"/>
      <c r="C667" s="167"/>
      <c r="D667" s="167"/>
      <c r="E667" s="167"/>
      <c r="F667" s="167"/>
      <c r="G667" s="167"/>
      <c r="H667" s="167"/>
      <c r="I667" s="167"/>
      <c r="J667" s="168"/>
    </row>
    <row r="668" spans="1:10" s="135" customFormat="1" x14ac:dyDescent="0.2">
      <c r="A668" s="167"/>
      <c r="B668" s="167"/>
      <c r="C668" s="167"/>
      <c r="D668" s="167"/>
      <c r="E668" s="167"/>
      <c r="F668" s="167"/>
      <c r="G668" s="167"/>
      <c r="H668" s="167"/>
      <c r="I668" s="167"/>
      <c r="J668" s="168"/>
    </row>
    <row r="669" spans="1:10" s="135" customFormat="1" x14ac:dyDescent="0.2">
      <c r="A669" s="167"/>
      <c r="B669" s="167"/>
      <c r="C669" s="167"/>
      <c r="D669" s="167"/>
      <c r="E669" s="167"/>
      <c r="F669" s="167"/>
      <c r="G669" s="167"/>
      <c r="H669" s="167"/>
      <c r="I669" s="167"/>
      <c r="J669" s="168"/>
    </row>
    <row r="670" spans="1:10" s="135" customFormat="1" x14ac:dyDescent="0.2">
      <c r="A670" s="167"/>
      <c r="B670" s="167"/>
      <c r="C670" s="167"/>
      <c r="D670" s="167"/>
      <c r="E670" s="167"/>
      <c r="F670" s="167"/>
      <c r="G670" s="167"/>
      <c r="H670" s="167"/>
      <c r="I670" s="167"/>
      <c r="J670" s="168"/>
    </row>
    <row r="671" spans="1:10" s="135" customFormat="1" x14ac:dyDescent="0.2">
      <c r="A671" s="167"/>
      <c r="B671" s="167"/>
      <c r="C671" s="167"/>
      <c r="D671" s="167"/>
      <c r="E671" s="167"/>
      <c r="F671" s="167"/>
      <c r="G671" s="167"/>
      <c r="H671" s="167"/>
      <c r="I671" s="167"/>
      <c r="J671" s="168"/>
    </row>
    <row r="672" spans="1:10" s="135" customFormat="1" x14ac:dyDescent="0.2">
      <c r="A672" s="167"/>
      <c r="B672" s="167"/>
      <c r="C672" s="167"/>
      <c r="D672" s="167"/>
      <c r="E672" s="167"/>
      <c r="F672" s="167"/>
      <c r="G672" s="167"/>
      <c r="H672" s="167"/>
      <c r="I672" s="167"/>
      <c r="J672" s="168"/>
    </row>
    <row r="673" spans="1:10" s="135" customFormat="1" x14ac:dyDescent="0.2">
      <c r="A673" s="167"/>
      <c r="B673" s="167"/>
      <c r="C673" s="167"/>
      <c r="D673" s="167"/>
      <c r="E673" s="167"/>
      <c r="F673" s="167"/>
      <c r="G673" s="167"/>
      <c r="H673" s="167"/>
      <c r="I673" s="167"/>
      <c r="J673" s="168"/>
    </row>
    <row r="674" spans="1:10" s="135" customFormat="1" x14ac:dyDescent="0.2">
      <c r="A674" s="167"/>
      <c r="B674" s="167"/>
      <c r="C674" s="167"/>
      <c r="D674" s="167"/>
      <c r="E674" s="167"/>
      <c r="F674" s="167"/>
      <c r="G674" s="167"/>
      <c r="H674" s="167"/>
      <c r="I674" s="167"/>
      <c r="J674" s="168"/>
    </row>
    <row r="675" spans="1:10" s="135" customFormat="1" x14ac:dyDescent="0.2">
      <c r="A675" s="167"/>
      <c r="B675" s="167"/>
      <c r="C675" s="167"/>
      <c r="D675" s="167"/>
      <c r="E675" s="167"/>
      <c r="F675" s="167"/>
      <c r="G675" s="167"/>
      <c r="H675" s="167"/>
      <c r="I675" s="167"/>
      <c r="J675" s="168"/>
    </row>
    <row r="676" spans="1:10" s="135" customFormat="1" x14ac:dyDescent="0.2">
      <c r="A676" s="167"/>
      <c r="B676" s="167"/>
      <c r="C676" s="167"/>
      <c r="D676" s="167"/>
      <c r="E676" s="167"/>
      <c r="F676" s="167"/>
      <c r="G676" s="167"/>
      <c r="H676" s="167"/>
      <c r="I676" s="167"/>
      <c r="J676" s="168"/>
    </row>
    <row r="677" spans="1:10" s="135" customFormat="1" x14ac:dyDescent="0.2">
      <c r="A677" s="167"/>
      <c r="B677" s="167"/>
      <c r="C677" s="167"/>
      <c r="D677" s="167"/>
      <c r="E677" s="167"/>
      <c r="F677" s="167"/>
      <c r="G677" s="167"/>
      <c r="H677" s="167"/>
      <c r="I677" s="167"/>
      <c r="J677" s="168"/>
    </row>
    <row r="678" spans="1:10" s="135" customFormat="1" x14ac:dyDescent="0.2">
      <c r="A678" s="167"/>
      <c r="B678" s="167"/>
      <c r="C678" s="167"/>
      <c r="D678" s="167"/>
      <c r="E678" s="167"/>
      <c r="F678" s="167"/>
      <c r="G678" s="167"/>
      <c r="H678" s="167"/>
      <c r="I678" s="167"/>
      <c r="J678" s="168"/>
    </row>
    <row r="679" spans="1:10" s="135" customFormat="1" x14ac:dyDescent="0.2">
      <c r="A679" s="167"/>
      <c r="B679" s="167"/>
      <c r="C679" s="167"/>
      <c r="D679" s="167"/>
      <c r="E679" s="167"/>
      <c r="F679" s="167"/>
      <c r="G679" s="167"/>
      <c r="H679" s="167"/>
      <c r="I679" s="167"/>
      <c r="J679" s="168"/>
    </row>
    <row r="680" spans="1:10" s="135" customFormat="1" x14ac:dyDescent="0.2">
      <c r="A680" s="167"/>
      <c r="B680" s="167"/>
      <c r="C680" s="167"/>
      <c r="D680" s="167"/>
      <c r="E680" s="167"/>
      <c r="F680" s="167"/>
      <c r="G680" s="167"/>
      <c r="H680" s="167"/>
      <c r="I680" s="167"/>
      <c r="J680" s="168"/>
    </row>
    <row r="681" spans="1:10" s="135" customFormat="1" x14ac:dyDescent="0.2">
      <c r="A681" s="167"/>
      <c r="B681" s="167"/>
      <c r="C681" s="167"/>
      <c r="D681" s="167"/>
      <c r="E681" s="167"/>
      <c r="F681" s="167"/>
      <c r="G681" s="167"/>
      <c r="H681" s="167"/>
      <c r="I681" s="167"/>
      <c r="J681" s="168"/>
    </row>
    <row r="682" spans="1:10" s="135" customFormat="1" x14ac:dyDescent="0.2">
      <c r="A682" s="167"/>
      <c r="B682" s="167"/>
      <c r="C682" s="167"/>
      <c r="D682" s="167"/>
      <c r="E682" s="167"/>
      <c r="F682" s="167"/>
      <c r="G682" s="167"/>
      <c r="H682" s="167"/>
      <c r="I682" s="167"/>
      <c r="J682" s="168"/>
    </row>
    <row r="683" spans="1:10" s="135" customFormat="1" x14ac:dyDescent="0.2">
      <c r="A683" s="167"/>
      <c r="B683" s="167"/>
      <c r="C683" s="167"/>
      <c r="D683" s="167"/>
      <c r="E683" s="167"/>
      <c r="F683" s="167"/>
      <c r="G683" s="167"/>
      <c r="H683" s="167"/>
      <c r="I683" s="167"/>
      <c r="J683" s="168"/>
    </row>
    <row r="684" spans="1:10" s="135" customFormat="1" x14ac:dyDescent="0.2">
      <c r="A684" s="167"/>
      <c r="B684" s="167"/>
      <c r="C684" s="167"/>
      <c r="D684" s="167"/>
      <c r="E684" s="167"/>
      <c r="F684" s="167"/>
      <c r="G684" s="167"/>
      <c r="H684" s="167"/>
      <c r="I684" s="167"/>
      <c r="J684" s="168"/>
    </row>
    <row r="685" spans="1:10" s="135" customFormat="1" x14ac:dyDescent="0.2">
      <c r="A685" s="167"/>
      <c r="B685" s="167"/>
      <c r="C685" s="167"/>
      <c r="D685" s="167"/>
      <c r="E685" s="167"/>
      <c r="F685" s="167"/>
      <c r="G685" s="167"/>
      <c r="H685" s="167"/>
      <c r="I685" s="167"/>
      <c r="J685" s="168"/>
    </row>
    <row r="686" spans="1:10" s="135" customFormat="1" x14ac:dyDescent="0.2">
      <c r="A686" s="167"/>
      <c r="B686" s="167"/>
      <c r="C686" s="167"/>
      <c r="D686" s="167"/>
      <c r="E686" s="167"/>
      <c r="F686" s="167"/>
      <c r="G686" s="167"/>
      <c r="H686" s="167"/>
      <c r="I686" s="167"/>
      <c r="J686" s="168"/>
    </row>
    <row r="687" spans="1:10" s="135" customFormat="1" x14ac:dyDescent="0.2">
      <c r="A687" s="167"/>
      <c r="B687" s="167"/>
      <c r="C687" s="167"/>
      <c r="D687" s="167"/>
      <c r="E687" s="167"/>
      <c r="F687" s="167"/>
      <c r="G687" s="167"/>
      <c r="H687" s="167"/>
      <c r="I687" s="167"/>
      <c r="J687" s="168"/>
    </row>
    <row r="688" spans="1:10" s="135" customFormat="1" x14ac:dyDescent="0.2">
      <c r="A688" s="167"/>
      <c r="B688" s="167"/>
      <c r="C688" s="167"/>
      <c r="D688" s="167"/>
      <c r="E688" s="167"/>
      <c r="F688" s="167"/>
      <c r="G688" s="167"/>
      <c r="H688" s="167"/>
      <c r="I688" s="167"/>
      <c r="J688" s="168"/>
    </row>
    <row r="689" spans="1:10" s="135" customFormat="1" x14ac:dyDescent="0.2">
      <c r="A689" s="167"/>
      <c r="B689" s="167"/>
      <c r="C689" s="167"/>
      <c r="D689" s="167"/>
      <c r="E689" s="167"/>
      <c r="F689" s="167"/>
      <c r="G689" s="167"/>
      <c r="H689" s="167"/>
      <c r="I689" s="167"/>
      <c r="J689" s="168"/>
    </row>
    <row r="690" spans="1:10" s="135" customFormat="1" x14ac:dyDescent="0.2">
      <c r="A690" s="167"/>
      <c r="B690" s="167"/>
      <c r="C690" s="167"/>
      <c r="D690" s="167"/>
      <c r="E690" s="167"/>
      <c r="F690" s="167"/>
      <c r="G690" s="167"/>
      <c r="H690" s="167"/>
      <c r="I690" s="167"/>
      <c r="J690" s="168"/>
    </row>
    <row r="691" spans="1:10" s="135" customFormat="1" x14ac:dyDescent="0.2">
      <c r="A691" s="167"/>
      <c r="B691" s="167"/>
      <c r="C691" s="167"/>
      <c r="D691" s="167"/>
      <c r="E691" s="167"/>
      <c r="F691" s="167"/>
      <c r="G691" s="167"/>
      <c r="H691" s="167"/>
      <c r="I691" s="167"/>
      <c r="J691" s="168"/>
    </row>
    <row r="692" spans="1:10" s="135" customFormat="1" x14ac:dyDescent="0.2">
      <c r="A692" s="167"/>
      <c r="B692" s="167"/>
      <c r="C692" s="167"/>
      <c r="D692" s="167"/>
      <c r="E692" s="167"/>
      <c r="F692" s="167"/>
      <c r="G692" s="167"/>
      <c r="H692" s="167"/>
      <c r="I692" s="167"/>
      <c r="J692" s="168"/>
    </row>
    <row r="693" spans="1:10" s="135" customFormat="1" x14ac:dyDescent="0.2">
      <c r="A693" s="167"/>
      <c r="B693" s="167"/>
      <c r="C693" s="167"/>
      <c r="D693" s="167"/>
      <c r="E693" s="167"/>
      <c r="F693" s="167"/>
      <c r="G693" s="167"/>
      <c r="H693" s="167"/>
      <c r="I693" s="167"/>
      <c r="J693" s="168"/>
    </row>
    <row r="694" spans="1:10" s="135" customFormat="1" x14ac:dyDescent="0.2">
      <c r="A694" s="167"/>
      <c r="B694" s="167"/>
      <c r="C694" s="167"/>
      <c r="D694" s="167"/>
      <c r="E694" s="167"/>
      <c r="F694" s="167"/>
      <c r="G694" s="167"/>
      <c r="H694" s="167"/>
      <c r="I694" s="167"/>
      <c r="J694" s="168"/>
    </row>
    <row r="695" spans="1:10" s="135" customFormat="1" x14ac:dyDescent="0.2">
      <c r="A695" s="167"/>
      <c r="B695" s="167"/>
      <c r="C695" s="167"/>
      <c r="D695" s="167"/>
      <c r="E695" s="167"/>
      <c r="F695" s="167"/>
      <c r="G695" s="167"/>
      <c r="H695" s="167"/>
      <c r="I695" s="167"/>
      <c r="J695" s="168"/>
    </row>
    <row r="696" spans="1:10" s="135" customFormat="1" x14ac:dyDescent="0.2">
      <c r="A696" s="167"/>
      <c r="B696" s="167"/>
      <c r="C696" s="167"/>
      <c r="D696" s="167"/>
      <c r="E696" s="167"/>
      <c r="F696" s="167"/>
      <c r="G696" s="167"/>
      <c r="H696" s="167"/>
      <c r="I696" s="167"/>
      <c r="J696" s="168"/>
    </row>
    <row r="697" spans="1:10" s="135" customFormat="1" x14ac:dyDescent="0.2">
      <c r="A697" s="167"/>
      <c r="B697" s="167"/>
      <c r="C697" s="167"/>
      <c r="D697" s="167"/>
      <c r="E697" s="167"/>
      <c r="F697" s="167"/>
      <c r="G697" s="167"/>
      <c r="H697" s="167"/>
      <c r="I697" s="167"/>
      <c r="J697" s="168"/>
    </row>
    <row r="698" spans="1:10" s="135" customFormat="1" x14ac:dyDescent="0.2">
      <c r="A698" s="167"/>
      <c r="B698" s="167"/>
      <c r="C698" s="167"/>
      <c r="D698" s="167"/>
      <c r="E698" s="167"/>
      <c r="F698" s="167"/>
      <c r="G698" s="167"/>
      <c r="H698" s="167"/>
      <c r="I698" s="167"/>
      <c r="J698" s="168"/>
    </row>
    <row r="699" spans="1:10" s="135" customFormat="1" x14ac:dyDescent="0.2">
      <c r="A699" s="167"/>
      <c r="B699" s="167"/>
      <c r="C699" s="167"/>
      <c r="D699" s="167"/>
      <c r="E699" s="167"/>
      <c r="F699" s="167"/>
      <c r="G699" s="167"/>
      <c r="H699" s="167"/>
      <c r="I699" s="167"/>
      <c r="J699" s="168"/>
    </row>
    <row r="700" spans="1:10" s="135" customFormat="1" x14ac:dyDescent="0.2">
      <c r="A700" s="167"/>
      <c r="B700" s="167"/>
      <c r="C700" s="167"/>
      <c r="D700" s="167"/>
      <c r="E700" s="167"/>
      <c r="F700" s="167"/>
      <c r="G700" s="167"/>
      <c r="H700" s="167"/>
      <c r="I700" s="167"/>
      <c r="J700" s="168"/>
    </row>
    <row r="701" spans="1:10" s="135" customFormat="1" x14ac:dyDescent="0.2">
      <c r="A701" s="167"/>
      <c r="B701" s="167"/>
      <c r="C701" s="167"/>
      <c r="D701" s="167"/>
      <c r="E701" s="167"/>
      <c r="F701" s="167"/>
      <c r="G701" s="167"/>
      <c r="H701" s="167"/>
      <c r="I701" s="167"/>
      <c r="J701" s="168"/>
    </row>
    <row r="702" spans="1:10" s="135" customFormat="1" x14ac:dyDescent="0.2">
      <c r="A702" s="167"/>
      <c r="B702" s="167"/>
      <c r="C702" s="167"/>
      <c r="D702" s="167"/>
      <c r="E702" s="167"/>
      <c r="F702" s="167"/>
      <c r="G702" s="167"/>
      <c r="H702" s="167"/>
      <c r="I702" s="167"/>
      <c r="J702" s="168"/>
    </row>
    <row r="703" spans="1:10" s="135" customFormat="1" x14ac:dyDescent="0.2">
      <c r="A703" s="167"/>
      <c r="B703" s="167"/>
      <c r="C703" s="167"/>
      <c r="D703" s="167"/>
      <c r="E703" s="167"/>
      <c r="F703" s="167"/>
      <c r="G703" s="167"/>
      <c r="H703" s="167"/>
      <c r="I703" s="167"/>
      <c r="J703" s="168"/>
    </row>
    <row r="704" spans="1:10" s="135" customFormat="1" x14ac:dyDescent="0.2">
      <c r="A704" s="167"/>
      <c r="B704" s="167"/>
      <c r="C704" s="167"/>
      <c r="D704" s="167"/>
      <c r="E704" s="167"/>
      <c r="F704" s="167"/>
      <c r="G704" s="167"/>
      <c r="H704" s="167"/>
      <c r="I704" s="167"/>
      <c r="J704" s="168"/>
    </row>
    <row r="705" spans="1:10" s="135" customFormat="1" x14ac:dyDescent="0.2">
      <c r="A705" s="167"/>
      <c r="B705" s="167"/>
      <c r="C705" s="167"/>
      <c r="D705" s="167"/>
      <c r="E705" s="167"/>
      <c r="F705" s="167"/>
      <c r="G705" s="167"/>
      <c r="H705" s="167"/>
      <c r="I705" s="167"/>
      <c r="J705" s="168"/>
    </row>
    <row r="706" spans="1:10" s="135" customFormat="1" x14ac:dyDescent="0.2">
      <c r="A706" s="167"/>
      <c r="B706" s="167"/>
      <c r="C706" s="167"/>
      <c r="D706" s="167"/>
      <c r="E706" s="167"/>
      <c r="F706" s="167"/>
      <c r="G706" s="167"/>
      <c r="H706" s="167"/>
      <c r="I706" s="167"/>
      <c r="J706" s="168"/>
    </row>
    <row r="707" spans="1:10" s="135" customFormat="1" x14ac:dyDescent="0.2">
      <c r="A707" s="167"/>
      <c r="B707" s="167"/>
      <c r="C707" s="167"/>
      <c r="D707" s="167"/>
      <c r="E707" s="167"/>
      <c r="F707" s="167"/>
      <c r="G707" s="167"/>
      <c r="H707" s="167"/>
      <c r="I707" s="167"/>
      <c r="J707" s="168"/>
    </row>
    <row r="708" spans="1:10" s="135" customFormat="1" x14ac:dyDescent="0.2">
      <c r="A708" s="167"/>
      <c r="B708" s="167"/>
      <c r="C708" s="167"/>
      <c r="D708" s="167"/>
      <c r="E708" s="167"/>
      <c r="F708" s="167"/>
      <c r="G708" s="167"/>
      <c r="H708" s="167"/>
      <c r="I708" s="167"/>
      <c r="J708" s="168"/>
    </row>
    <row r="709" spans="1:10" s="135" customFormat="1" x14ac:dyDescent="0.2">
      <c r="A709" s="167"/>
      <c r="B709" s="167"/>
      <c r="C709" s="167"/>
      <c r="D709" s="167"/>
      <c r="E709" s="167"/>
      <c r="F709" s="167"/>
      <c r="G709" s="167"/>
      <c r="H709" s="167"/>
      <c r="I709" s="167"/>
      <c r="J709" s="168"/>
    </row>
    <row r="710" spans="1:10" s="135" customFormat="1" x14ac:dyDescent="0.2">
      <c r="A710" s="167"/>
      <c r="B710" s="167"/>
      <c r="C710" s="167"/>
      <c r="D710" s="167"/>
      <c r="E710" s="167"/>
      <c r="F710" s="167"/>
      <c r="G710" s="167"/>
      <c r="H710" s="167"/>
      <c r="I710" s="167"/>
      <c r="J710" s="168"/>
    </row>
    <row r="711" spans="1:10" s="135" customFormat="1" x14ac:dyDescent="0.2">
      <c r="A711" s="167"/>
      <c r="B711" s="167"/>
      <c r="C711" s="167"/>
      <c r="D711" s="167"/>
      <c r="E711" s="167"/>
      <c r="F711" s="167"/>
      <c r="G711" s="167"/>
      <c r="H711" s="167"/>
      <c r="I711" s="167"/>
      <c r="J711" s="168"/>
    </row>
    <row r="712" spans="1:10" s="135" customFormat="1" x14ac:dyDescent="0.2">
      <c r="A712" s="167"/>
      <c r="B712" s="167"/>
      <c r="C712" s="167"/>
      <c r="D712" s="167"/>
      <c r="E712" s="167"/>
      <c r="F712" s="167"/>
      <c r="G712" s="167"/>
      <c r="H712" s="167"/>
      <c r="I712" s="167"/>
      <c r="J712" s="168"/>
    </row>
    <row r="713" spans="1:10" s="135" customFormat="1" x14ac:dyDescent="0.2">
      <c r="A713" s="167"/>
      <c r="B713" s="167"/>
      <c r="C713" s="167"/>
      <c r="D713" s="167"/>
      <c r="E713" s="167"/>
      <c r="F713" s="167"/>
      <c r="G713" s="167"/>
      <c r="H713" s="167"/>
      <c r="I713" s="167"/>
      <c r="J713" s="168"/>
    </row>
    <row r="714" spans="1:10" s="135" customFormat="1" x14ac:dyDescent="0.2">
      <c r="A714" s="167"/>
      <c r="B714" s="167"/>
      <c r="C714" s="167"/>
      <c r="D714" s="167"/>
      <c r="E714" s="167"/>
      <c r="F714" s="167"/>
      <c r="G714" s="167"/>
      <c r="H714" s="167"/>
      <c r="I714" s="167"/>
      <c r="J714" s="168"/>
    </row>
    <row r="715" spans="1:10" s="135" customFormat="1" x14ac:dyDescent="0.2">
      <c r="A715" s="167"/>
      <c r="B715" s="167"/>
      <c r="C715" s="167"/>
      <c r="D715" s="167"/>
      <c r="E715" s="167"/>
      <c r="F715" s="167"/>
      <c r="G715" s="167"/>
      <c r="H715" s="167"/>
      <c r="I715" s="167"/>
      <c r="J715" s="168"/>
    </row>
    <row r="716" spans="1:10" s="135" customFormat="1" x14ac:dyDescent="0.2">
      <c r="A716" s="167"/>
      <c r="B716" s="167"/>
      <c r="C716" s="167"/>
      <c r="D716" s="167"/>
      <c r="E716" s="167"/>
      <c r="F716" s="167"/>
      <c r="G716" s="167"/>
      <c r="H716" s="167"/>
      <c r="I716" s="167"/>
      <c r="J716" s="168"/>
    </row>
    <row r="717" spans="1:10" s="135" customFormat="1" x14ac:dyDescent="0.2">
      <c r="A717" s="167"/>
      <c r="B717" s="167"/>
      <c r="C717" s="167"/>
      <c r="D717" s="167"/>
      <c r="E717" s="167"/>
      <c r="F717" s="167"/>
      <c r="G717" s="167"/>
      <c r="H717" s="167"/>
      <c r="I717" s="167"/>
      <c r="J717" s="168"/>
    </row>
    <row r="718" spans="1:10" s="135" customFormat="1" x14ac:dyDescent="0.2">
      <c r="A718" s="167"/>
      <c r="B718" s="167"/>
      <c r="C718" s="167"/>
      <c r="D718" s="167"/>
      <c r="E718" s="167"/>
      <c r="F718" s="167"/>
      <c r="G718" s="167"/>
      <c r="H718" s="167"/>
      <c r="I718" s="167"/>
      <c r="J718" s="168"/>
    </row>
    <row r="719" spans="1:10" s="135" customFormat="1" x14ac:dyDescent="0.2">
      <c r="A719" s="167"/>
      <c r="B719" s="167"/>
      <c r="C719" s="167"/>
      <c r="D719" s="167"/>
      <c r="E719" s="167"/>
      <c r="F719" s="167"/>
      <c r="G719" s="167"/>
      <c r="H719" s="167"/>
      <c r="I719" s="167"/>
      <c r="J719" s="168"/>
    </row>
    <row r="720" spans="1:10" s="135" customFormat="1" x14ac:dyDescent="0.2">
      <c r="A720" s="167"/>
      <c r="B720" s="167"/>
      <c r="C720" s="167"/>
      <c r="D720" s="167"/>
      <c r="E720" s="167"/>
      <c r="F720" s="167"/>
      <c r="G720" s="167"/>
      <c r="H720" s="167"/>
      <c r="I720" s="167"/>
      <c r="J720" s="168"/>
    </row>
    <row r="721" spans="1:10" s="135" customFormat="1" x14ac:dyDescent="0.2">
      <c r="A721" s="167"/>
      <c r="B721" s="167"/>
      <c r="C721" s="167"/>
      <c r="D721" s="167"/>
      <c r="E721" s="167"/>
      <c r="F721" s="167"/>
      <c r="G721" s="167"/>
      <c r="H721" s="167"/>
      <c r="I721" s="167"/>
      <c r="J721" s="168"/>
    </row>
    <row r="722" spans="1:10" s="135" customFormat="1" x14ac:dyDescent="0.2">
      <c r="A722" s="167"/>
      <c r="B722" s="167"/>
      <c r="C722" s="167"/>
      <c r="D722" s="167"/>
      <c r="E722" s="167"/>
      <c r="F722" s="167"/>
      <c r="G722" s="167"/>
      <c r="H722" s="167"/>
      <c r="I722" s="167"/>
      <c r="J722" s="168"/>
    </row>
    <row r="723" spans="1:10" s="135" customFormat="1" x14ac:dyDescent="0.2">
      <c r="A723" s="167"/>
      <c r="B723" s="167"/>
      <c r="C723" s="167"/>
      <c r="D723" s="167"/>
      <c r="E723" s="167"/>
      <c r="F723" s="167"/>
      <c r="G723" s="167"/>
      <c r="H723" s="167"/>
      <c r="I723" s="167"/>
      <c r="J723" s="168"/>
    </row>
    <row r="724" spans="1:10" s="135" customFormat="1" x14ac:dyDescent="0.2">
      <c r="A724" s="167"/>
      <c r="B724" s="167"/>
      <c r="C724" s="167"/>
      <c r="D724" s="167"/>
      <c r="E724" s="167"/>
      <c r="F724" s="167"/>
      <c r="G724" s="167"/>
      <c r="H724" s="167"/>
      <c r="I724" s="167"/>
      <c r="J724" s="168"/>
    </row>
    <row r="725" spans="1:10" s="135" customFormat="1" x14ac:dyDescent="0.2">
      <c r="A725" s="167"/>
      <c r="B725" s="167"/>
      <c r="C725" s="167"/>
      <c r="D725" s="167"/>
      <c r="E725" s="167"/>
      <c r="F725" s="167"/>
      <c r="G725" s="167"/>
      <c r="H725" s="167"/>
      <c r="I725" s="167"/>
      <c r="J725" s="168"/>
    </row>
    <row r="726" spans="1:10" s="135" customFormat="1" x14ac:dyDescent="0.2">
      <c r="A726" s="167"/>
      <c r="B726" s="167"/>
      <c r="C726" s="167"/>
      <c r="D726" s="167"/>
      <c r="E726" s="167"/>
      <c r="F726" s="167"/>
      <c r="G726" s="167"/>
      <c r="H726" s="167"/>
      <c r="I726" s="167"/>
      <c r="J726" s="168"/>
    </row>
    <row r="727" spans="1:10" s="135" customFormat="1" x14ac:dyDescent="0.2">
      <c r="A727" s="167"/>
      <c r="B727" s="167"/>
      <c r="C727" s="167"/>
      <c r="D727" s="167"/>
      <c r="E727" s="167"/>
      <c r="F727" s="167"/>
      <c r="G727" s="167"/>
      <c r="H727" s="167"/>
      <c r="I727" s="167"/>
      <c r="J727" s="168"/>
    </row>
    <row r="728" spans="1:10" s="135" customFormat="1" x14ac:dyDescent="0.2">
      <c r="A728" s="167"/>
      <c r="B728" s="167"/>
      <c r="C728" s="167"/>
      <c r="D728" s="167"/>
      <c r="E728" s="167"/>
      <c r="F728" s="167"/>
      <c r="G728" s="167"/>
      <c r="H728" s="167"/>
      <c r="I728" s="167"/>
      <c r="J728" s="168"/>
    </row>
    <row r="729" spans="1:10" s="135" customFormat="1" x14ac:dyDescent="0.2">
      <c r="A729" s="167"/>
      <c r="B729" s="167"/>
      <c r="C729" s="167"/>
      <c r="D729" s="167"/>
      <c r="E729" s="167"/>
      <c r="F729" s="167"/>
      <c r="G729" s="167"/>
      <c r="H729" s="167"/>
      <c r="I729" s="167"/>
      <c r="J729" s="168"/>
    </row>
    <row r="730" spans="1:10" s="135" customFormat="1" x14ac:dyDescent="0.2">
      <c r="A730" s="167"/>
      <c r="B730" s="167"/>
      <c r="C730" s="167"/>
      <c r="D730" s="167"/>
      <c r="E730" s="167"/>
      <c r="F730" s="167"/>
      <c r="G730" s="167"/>
      <c r="H730" s="167"/>
      <c r="I730" s="167"/>
      <c r="J730" s="168"/>
    </row>
    <row r="731" spans="1:10" s="135" customFormat="1" x14ac:dyDescent="0.2">
      <c r="A731" s="167"/>
      <c r="B731" s="167"/>
      <c r="C731" s="167"/>
      <c r="D731" s="167"/>
      <c r="E731" s="167"/>
      <c r="F731" s="167"/>
      <c r="G731" s="167"/>
      <c r="H731" s="167"/>
      <c r="I731" s="167"/>
      <c r="J731" s="168"/>
    </row>
    <row r="732" spans="1:10" s="135" customFormat="1" x14ac:dyDescent="0.2">
      <c r="A732" s="167"/>
      <c r="B732" s="167"/>
      <c r="C732" s="167"/>
      <c r="D732" s="167"/>
      <c r="E732" s="167"/>
      <c r="F732" s="167"/>
      <c r="G732" s="167"/>
      <c r="H732" s="167"/>
      <c r="I732" s="167"/>
      <c r="J732" s="168"/>
    </row>
    <row r="733" spans="1:10" s="135" customFormat="1" x14ac:dyDescent="0.2">
      <c r="A733" s="167"/>
      <c r="B733" s="167"/>
      <c r="C733" s="167"/>
      <c r="D733" s="167"/>
      <c r="E733" s="167"/>
      <c r="F733" s="167"/>
      <c r="G733" s="167"/>
      <c r="H733" s="167"/>
      <c r="I733" s="167"/>
      <c r="J733" s="168"/>
    </row>
    <row r="734" spans="1:10" s="135" customFormat="1" x14ac:dyDescent="0.2">
      <c r="A734" s="167"/>
      <c r="B734" s="167"/>
      <c r="C734" s="167"/>
      <c r="D734" s="167"/>
      <c r="E734" s="167"/>
      <c r="F734" s="167"/>
      <c r="G734" s="167"/>
      <c r="H734" s="167"/>
      <c r="I734" s="167"/>
      <c r="J734" s="168"/>
    </row>
    <row r="735" spans="1:10" s="135" customFormat="1" x14ac:dyDescent="0.2">
      <c r="A735" s="167"/>
      <c r="B735" s="167"/>
      <c r="C735" s="167"/>
      <c r="D735" s="167"/>
      <c r="E735" s="167"/>
      <c r="F735" s="167"/>
      <c r="G735" s="167"/>
      <c r="H735" s="167"/>
      <c r="I735" s="167"/>
      <c r="J735" s="168"/>
    </row>
    <row r="736" spans="1:10" s="135" customFormat="1" x14ac:dyDescent="0.2">
      <c r="A736" s="167"/>
      <c r="B736" s="167"/>
      <c r="C736" s="167"/>
      <c r="D736" s="167"/>
      <c r="E736" s="167"/>
      <c r="F736" s="167"/>
      <c r="G736" s="167"/>
      <c r="H736" s="167"/>
      <c r="I736" s="167"/>
      <c r="J736" s="168"/>
    </row>
    <row r="737" spans="1:10" s="135" customFormat="1" x14ac:dyDescent="0.2">
      <c r="A737" s="167"/>
      <c r="B737" s="167"/>
      <c r="C737" s="167"/>
      <c r="D737" s="167"/>
      <c r="E737" s="167"/>
      <c r="F737" s="167"/>
      <c r="G737" s="167"/>
      <c r="H737" s="167"/>
      <c r="I737" s="167"/>
      <c r="J737" s="168"/>
    </row>
    <row r="738" spans="1:10" s="135" customFormat="1" x14ac:dyDescent="0.2">
      <c r="A738" s="167"/>
      <c r="B738" s="167"/>
      <c r="C738" s="167"/>
      <c r="D738" s="167"/>
      <c r="E738" s="167"/>
      <c r="F738" s="167"/>
      <c r="G738" s="167"/>
      <c r="H738" s="167"/>
      <c r="I738" s="167"/>
      <c r="J738" s="168"/>
    </row>
    <row r="739" spans="1:10" s="135" customFormat="1" x14ac:dyDescent="0.2">
      <c r="A739" s="167"/>
      <c r="B739" s="167"/>
      <c r="C739" s="167"/>
      <c r="D739" s="167"/>
      <c r="E739" s="167"/>
      <c r="F739" s="167"/>
      <c r="G739" s="167"/>
      <c r="H739" s="167"/>
      <c r="I739" s="167"/>
      <c r="J739" s="168"/>
    </row>
    <row r="740" spans="1:10" s="135" customFormat="1" x14ac:dyDescent="0.2">
      <c r="A740" s="167"/>
      <c r="B740" s="167"/>
      <c r="C740" s="167"/>
      <c r="D740" s="167"/>
      <c r="E740" s="167"/>
      <c r="F740" s="167"/>
      <c r="G740" s="167"/>
      <c r="H740" s="167"/>
      <c r="I740" s="167"/>
      <c r="J740" s="168"/>
    </row>
    <row r="741" spans="1:10" s="135" customFormat="1" x14ac:dyDescent="0.2">
      <c r="A741" s="167"/>
      <c r="B741" s="167"/>
      <c r="C741" s="167"/>
      <c r="D741" s="167"/>
      <c r="E741" s="167"/>
      <c r="F741" s="167"/>
      <c r="G741" s="167"/>
      <c r="H741" s="167"/>
      <c r="I741" s="167"/>
      <c r="J741" s="168"/>
    </row>
    <row r="742" spans="1:10" s="135" customFormat="1" x14ac:dyDescent="0.2">
      <c r="A742" s="167"/>
      <c r="B742" s="167"/>
      <c r="C742" s="167"/>
      <c r="D742" s="167"/>
      <c r="E742" s="167"/>
      <c r="F742" s="167"/>
      <c r="G742" s="167"/>
      <c r="H742" s="167"/>
      <c r="I742" s="167"/>
      <c r="J742" s="168"/>
    </row>
    <row r="743" spans="1:10" s="135" customFormat="1" x14ac:dyDescent="0.2">
      <c r="A743" s="167"/>
      <c r="B743" s="167"/>
      <c r="C743" s="167"/>
      <c r="D743" s="167"/>
      <c r="E743" s="167"/>
      <c r="F743" s="167"/>
      <c r="G743" s="167"/>
      <c r="H743" s="167"/>
      <c r="I743" s="167"/>
      <c r="J743" s="168"/>
    </row>
    <row r="744" spans="1:10" s="135" customFormat="1" x14ac:dyDescent="0.2">
      <c r="A744" s="167"/>
      <c r="B744" s="167"/>
      <c r="C744" s="167"/>
      <c r="D744" s="167"/>
      <c r="E744" s="167"/>
      <c r="F744" s="167"/>
      <c r="G744" s="167"/>
      <c r="H744" s="167"/>
      <c r="I744" s="167"/>
      <c r="J744" s="168"/>
    </row>
    <row r="745" spans="1:10" s="135" customFormat="1" x14ac:dyDescent="0.2">
      <c r="A745" s="167"/>
      <c r="B745" s="167"/>
      <c r="C745" s="167"/>
      <c r="D745" s="167"/>
      <c r="E745" s="167"/>
      <c r="F745" s="167"/>
      <c r="G745" s="167"/>
      <c r="H745" s="167"/>
      <c r="I745" s="167"/>
      <c r="J745" s="168"/>
    </row>
    <row r="746" spans="1:10" s="135" customFormat="1" x14ac:dyDescent="0.2">
      <c r="A746" s="167"/>
      <c r="B746" s="167"/>
      <c r="C746" s="167"/>
      <c r="D746" s="167"/>
      <c r="E746" s="167"/>
      <c r="F746" s="167"/>
      <c r="G746" s="167"/>
      <c r="H746" s="167"/>
      <c r="I746" s="167"/>
      <c r="J746" s="168"/>
    </row>
    <row r="747" spans="1:10" s="135" customFormat="1" x14ac:dyDescent="0.2">
      <c r="A747" s="167"/>
      <c r="B747" s="167"/>
      <c r="C747" s="167"/>
      <c r="D747" s="167"/>
      <c r="E747" s="167"/>
      <c r="F747" s="167"/>
      <c r="G747" s="167"/>
      <c r="H747" s="167"/>
      <c r="I747" s="167"/>
      <c r="J747" s="168"/>
    </row>
    <row r="748" spans="1:10" s="135" customFormat="1" x14ac:dyDescent="0.2">
      <c r="A748" s="167"/>
      <c r="B748" s="167"/>
      <c r="C748" s="167"/>
      <c r="D748" s="167"/>
      <c r="E748" s="167"/>
      <c r="F748" s="167"/>
      <c r="G748" s="167"/>
      <c r="H748" s="167"/>
      <c r="I748" s="167"/>
      <c r="J748" s="168"/>
    </row>
    <row r="749" spans="1:10" s="135" customFormat="1" x14ac:dyDescent="0.2">
      <c r="A749" s="167"/>
      <c r="B749" s="167"/>
      <c r="C749" s="167"/>
      <c r="D749" s="167"/>
      <c r="E749" s="167"/>
      <c r="F749" s="167"/>
      <c r="G749" s="167"/>
      <c r="H749" s="167"/>
      <c r="I749" s="167"/>
      <c r="J749" s="168"/>
    </row>
    <row r="750" spans="1:10" s="135" customFormat="1" x14ac:dyDescent="0.2">
      <c r="A750" s="167"/>
      <c r="B750" s="167"/>
      <c r="C750" s="167"/>
      <c r="D750" s="167"/>
      <c r="E750" s="167"/>
      <c r="F750" s="167"/>
      <c r="G750" s="167"/>
      <c r="H750" s="167"/>
      <c r="I750" s="167"/>
      <c r="J750" s="168"/>
    </row>
    <row r="751" spans="1:10" s="135" customFormat="1" x14ac:dyDescent="0.2">
      <c r="A751" s="167"/>
      <c r="B751" s="167"/>
      <c r="C751" s="167"/>
      <c r="D751" s="167"/>
      <c r="E751" s="167"/>
      <c r="F751" s="167"/>
      <c r="G751" s="167"/>
      <c r="H751" s="167"/>
      <c r="I751" s="167"/>
      <c r="J751" s="168"/>
    </row>
    <row r="752" spans="1:10" s="135" customFormat="1" x14ac:dyDescent="0.2">
      <c r="A752" s="167"/>
      <c r="B752" s="167"/>
      <c r="C752" s="167"/>
      <c r="D752" s="167"/>
      <c r="E752" s="167"/>
      <c r="F752" s="167"/>
      <c r="G752" s="167"/>
      <c r="H752" s="167"/>
      <c r="I752" s="167"/>
      <c r="J752" s="168"/>
    </row>
    <row r="753" spans="1:10" s="135" customFormat="1" x14ac:dyDescent="0.2">
      <c r="A753" s="167"/>
      <c r="B753" s="167"/>
      <c r="C753" s="167"/>
      <c r="D753" s="167"/>
      <c r="E753" s="167"/>
      <c r="F753" s="167"/>
      <c r="G753" s="167"/>
      <c r="H753" s="167"/>
      <c r="I753" s="167"/>
      <c r="J753" s="168"/>
    </row>
    <row r="754" spans="1:10" s="135" customFormat="1" x14ac:dyDescent="0.2">
      <c r="A754" s="167"/>
      <c r="B754" s="167"/>
      <c r="C754" s="167"/>
      <c r="D754" s="167"/>
      <c r="E754" s="167"/>
      <c r="F754" s="167"/>
      <c r="G754" s="167"/>
      <c r="H754" s="167"/>
      <c r="I754" s="167"/>
      <c r="J754" s="168"/>
    </row>
    <row r="755" spans="1:10" s="135" customFormat="1" x14ac:dyDescent="0.2">
      <c r="A755" s="167"/>
      <c r="B755" s="167"/>
      <c r="C755" s="167"/>
      <c r="D755" s="167"/>
      <c r="E755" s="167"/>
      <c r="F755" s="167"/>
      <c r="G755" s="167"/>
      <c r="H755" s="167"/>
      <c r="I755" s="167"/>
      <c r="J755" s="168"/>
    </row>
    <row r="756" spans="1:10" s="135" customFormat="1" x14ac:dyDescent="0.2">
      <c r="A756" s="167"/>
      <c r="B756" s="167"/>
      <c r="C756" s="167"/>
      <c r="D756" s="167"/>
      <c r="E756" s="167"/>
      <c r="F756" s="167"/>
      <c r="G756" s="167"/>
      <c r="H756" s="167"/>
      <c r="I756" s="167"/>
      <c r="J756" s="168"/>
    </row>
    <row r="757" spans="1:10" s="135" customFormat="1" x14ac:dyDescent="0.2">
      <c r="A757" s="167"/>
      <c r="B757" s="167"/>
      <c r="C757" s="167"/>
      <c r="D757" s="167"/>
      <c r="E757" s="167"/>
      <c r="F757" s="167"/>
      <c r="G757" s="167"/>
      <c r="H757" s="167"/>
      <c r="I757" s="167"/>
      <c r="J757" s="168"/>
    </row>
    <row r="758" spans="1:10" s="135" customFormat="1" x14ac:dyDescent="0.2">
      <c r="A758" s="167"/>
      <c r="B758" s="167"/>
      <c r="C758" s="167"/>
      <c r="D758" s="167"/>
      <c r="E758" s="167"/>
      <c r="F758" s="167"/>
      <c r="G758" s="167"/>
      <c r="H758" s="167"/>
      <c r="I758" s="167"/>
      <c r="J758" s="168"/>
    </row>
    <row r="759" spans="1:10" s="135" customFormat="1" x14ac:dyDescent="0.2">
      <c r="A759" s="167"/>
      <c r="B759" s="167"/>
      <c r="C759" s="167"/>
      <c r="D759" s="167"/>
      <c r="E759" s="167"/>
      <c r="F759" s="167"/>
      <c r="G759" s="167"/>
      <c r="H759" s="167"/>
      <c r="I759" s="167"/>
      <c r="J759" s="168"/>
    </row>
    <row r="760" spans="1:10" s="135" customFormat="1" x14ac:dyDescent="0.2">
      <c r="A760" s="167"/>
      <c r="B760" s="167"/>
      <c r="C760" s="167"/>
      <c r="D760" s="167"/>
      <c r="E760" s="167"/>
      <c r="F760" s="167"/>
      <c r="G760" s="167"/>
      <c r="H760" s="167"/>
      <c r="I760" s="167"/>
      <c r="J760" s="168"/>
    </row>
    <row r="761" spans="1:10" s="135" customFormat="1" x14ac:dyDescent="0.2">
      <c r="A761" s="167"/>
      <c r="B761" s="167"/>
      <c r="C761" s="167"/>
      <c r="D761" s="167"/>
      <c r="E761" s="167"/>
      <c r="F761" s="167"/>
      <c r="G761" s="167"/>
      <c r="H761" s="167"/>
      <c r="I761" s="167"/>
      <c r="J761" s="168"/>
    </row>
    <row r="762" spans="1:10" s="135" customFormat="1" x14ac:dyDescent="0.2">
      <c r="A762" s="167"/>
      <c r="B762" s="167"/>
      <c r="C762" s="167"/>
      <c r="D762" s="167"/>
      <c r="E762" s="167"/>
      <c r="F762" s="167"/>
      <c r="G762" s="167"/>
      <c r="H762" s="167"/>
      <c r="I762" s="167"/>
      <c r="J762" s="168"/>
    </row>
    <row r="763" spans="1:10" s="135" customFormat="1" x14ac:dyDescent="0.2">
      <c r="A763" s="167"/>
      <c r="B763" s="167"/>
      <c r="C763" s="167"/>
      <c r="D763" s="167"/>
      <c r="E763" s="167"/>
      <c r="F763" s="167"/>
      <c r="G763" s="167"/>
      <c r="H763" s="167"/>
      <c r="I763" s="167"/>
      <c r="J763" s="168"/>
    </row>
    <row r="764" spans="1:10" s="135" customFormat="1" x14ac:dyDescent="0.2">
      <c r="A764" s="167"/>
      <c r="B764" s="167"/>
      <c r="C764" s="167"/>
      <c r="D764" s="167"/>
      <c r="E764" s="167"/>
      <c r="F764" s="167"/>
      <c r="G764" s="167"/>
      <c r="H764" s="167"/>
      <c r="I764" s="167"/>
      <c r="J764" s="168"/>
    </row>
    <row r="765" spans="1:10" s="135" customFormat="1" x14ac:dyDescent="0.2">
      <c r="A765" s="167"/>
      <c r="B765" s="167"/>
      <c r="C765" s="167"/>
      <c r="D765" s="167"/>
      <c r="E765" s="167"/>
      <c r="F765" s="167"/>
      <c r="G765" s="167"/>
      <c r="H765" s="167"/>
      <c r="I765" s="167"/>
      <c r="J765" s="168"/>
    </row>
    <row r="766" spans="1:10" s="135" customFormat="1" x14ac:dyDescent="0.2">
      <c r="A766" s="167"/>
      <c r="B766" s="167"/>
      <c r="C766" s="167"/>
      <c r="D766" s="167"/>
      <c r="E766" s="167"/>
      <c r="F766" s="167"/>
      <c r="G766" s="167"/>
      <c r="H766" s="167"/>
      <c r="I766" s="167"/>
      <c r="J766" s="168"/>
    </row>
    <row r="767" spans="1:10" s="135" customFormat="1" x14ac:dyDescent="0.2">
      <c r="A767" s="167"/>
      <c r="B767" s="167"/>
      <c r="C767" s="167"/>
      <c r="D767" s="167"/>
      <c r="E767" s="167"/>
      <c r="F767" s="167"/>
      <c r="G767" s="167"/>
      <c r="H767" s="167"/>
      <c r="I767" s="167"/>
      <c r="J767" s="168"/>
    </row>
    <row r="768" spans="1:10" s="135" customFormat="1" x14ac:dyDescent="0.2">
      <c r="A768" s="167"/>
      <c r="B768" s="167"/>
      <c r="C768" s="167"/>
      <c r="D768" s="167"/>
      <c r="E768" s="167"/>
      <c r="F768" s="167"/>
      <c r="G768" s="167"/>
      <c r="H768" s="167"/>
      <c r="I768" s="167"/>
      <c r="J768" s="168"/>
    </row>
    <row r="769" spans="1:10" s="135" customFormat="1" x14ac:dyDescent="0.2">
      <c r="A769" s="167"/>
      <c r="B769" s="167"/>
      <c r="C769" s="167"/>
      <c r="D769" s="167"/>
      <c r="E769" s="167"/>
      <c r="F769" s="167"/>
      <c r="G769" s="167"/>
      <c r="H769" s="167"/>
      <c r="I769" s="167"/>
      <c r="J769" s="168"/>
    </row>
    <row r="770" spans="1:10" s="135" customFormat="1" x14ac:dyDescent="0.2">
      <c r="A770" s="167"/>
      <c r="B770" s="167"/>
      <c r="C770" s="167"/>
      <c r="D770" s="167"/>
      <c r="E770" s="167"/>
      <c r="F770" s="167"/>
      <c r="G770" s="167"/>
      <c r="H770" s="167"/>
      <c r="I770" s="167"/>
      <c r="J770" s="168"/>
    </row>
    <row r="771" spans="1:10" s="135" customFormat="1" x14ac:dyDescent="0.2">
      <c r="A771" s="167"/>
      <c r="B771" s="167"/>
      <c r="C771" s="167"/>
      <c r="D771" s="167"/>
      <c r="E771" s="167"/>
      <c r="F771" s="167"/>
      <c r="G771" s="167"/>
      <c r="H771" s="167"/>
      <c r="I771" s="167"/>
      <c r="J771" s="168"/>
    </row>
    <row r="772" spans="1:10" s="135" customFormat="1" x14ac:dyDescent="0.2">
      <c r="A772" s="167"/>
      <c r="B772" s="167"/>
      <c r="C772" s="167"/>
      <c r="D772" s="167"/>
      <c r="E772" s="167"/>
      <c r="F772" s="167"/>
      <c r="G772" s="167"/>
      <c r="H772" s="167"/>
      <c r="I772" s="167"/>
      <c r="J772" s="168"/>
    </row>
    <row r="773" spans="1:10" s="135" customFormat="1" x14ac:dyDescent="0.2">
      <c r="A773" s="167"/>
      <c r="B773" s="167"/>
      <c r="C773" s="167"/>
      <c r="D773" s="167"/>
      <c r="E773" s="167"/>
      <c r="F773" s="167"/>
      <c r="G773" s="167"/>
      <c r="H773" s="167"/>
      <c r="I773" s="167"/>
      <c r="J773" s="168"/>
    </row>
    <row r="774" spans="1:10" s="135" customFormat="1" x14ac:dyDescent="0.2">
      <c r="A774" s="167"/>
      <c r="B774" s="167"/>
      <c r="C774" s="167"/>
      <c r="D774" s="167"/>
      <c r="E774" s="167"/>
      <c r="F774" s="167"/>
      <c r="G774" s="167"/>
      <c r="H774" s="167"/>
      <c r="I774" s="167"/>
      <c r="J774" s="168"/>
    </row>
    <row r="775" spans="1:10" s="135" customFormat="1" x14ac:dyDescent="0.2">
      <c r="A775" s="167"/>
      <c r="B775" s="167"/>
      <c r="C775" s="167"/>
      <c r="D775" s="167"/>
      <c r="E775" s="167"/>
      <c r="F775" s="167"/>
      <c r="G775" s="167"/>
      <c r="H775" s="167"/>
      <c r="I775" s="167"/>
      <c r="J775" s="168"/>
    </row>
    <row r="776" spans="1:10" s="135" customFormat="1" x14ac:dyDescent="0.2">
      <c r="A776" s="167"/>
      <c r="B776" s="167"/>
      <c r="C776" s="167"/>
      <c r="D776" s="167"/>
      <c r="E776" s="167"/>
      <c r="F776" s="167"/>
      <c r="G776" s="167"/>
      <c r="H776" s="167"/>
      <c r="I776" s="167"/>
      <c r="J776" s="168"/>
    </row>
    <row r="777" spans="1:10" s="135" customFormat="1" x14ac:dyDescent="0.2">
      <c r="A777" s="167"/>
      <c r="B777" s="167"/>
      <c r="C777" s="167"/>
      <c r="D777" s="167"/>
      <c r="E777" s="167"/>
      <c r="F777" s="167"/>
      <c r="G777" s="167"/>
      <c r="H777" s="167"/>
      <c r="I777" s="167"/>
      <c r="J777" s="168"/>
    </row>
    <row r="778" spans="1:10" s="135" customFormat="1" x14ac:dyDescent="0.2">
      <c r="A778" s="167"/>
      <c r="B778" s="167"/>
      <c r="C778" s="167"/>
      <c r="D778" s="167"/>
      <c r="E778" s="167"/>
      <c r="F778" s="167"/>
      <c r="G778" s="167"/>
      <c r="H778" s="167"/>
      <c r="I778" s="167"/>
      <c r="J778" s="168"/>
    </row>
    <row r="779" spans="1:10" s="135" customFormat="1" x14ac:dyDescent="0.2">
      <c r="A779" s="167"/>
      <c r="B779" s="167"/>
      <c r="C779" s="167"/>
      <c r="D779" s="167"/>
      <c r="E779" s="167"/>
      <c r="F779" s="167"/>
      <c r="G779" s="167"/>
      <c r="H779" s="167"/>
      <c r="I779" s="167"/>
      <c r="J779" s="168"/>
    </row>
    <row r="780" spans="1:10" s="135" customFormat="1" x14ac:dyDescent="0.2">
      <c r="A780" s="167"/>
      <c r="B780" s="167"/>
      <c r="C780" s="167"/>
      <c r="D780" s="167"/>
      <c r="E780" s="167"/>
      <c r="F780" s="167"/>
      <c r="G780" s="167"/>
      <c r="H780" s="167"/>
      <c r="I780" s="167"/>
      <c r="J780" s="168"/>
    </row>
    <row r="781" spans="1:10" s="135" customFormat="1" x14ac:dyDescent="0.2">
      <c r="A781" s="167"/>
      <c r="B781" s="167"/>
      <c r="C781" s="167"/>
      <c r="D781" s="167"/>
      <c r="E781" s="167"/>
      <c r="F781" s="167"/>
      <c r="G781" s="167"/>
      <c r="H781" s="167"/>
      <c r="I781" s="167"/>
      <c r="J781" s="168"/>
    </row>
    <row r="782" spans="1:10" s="135" customFormat="1" x14ac:dyDescent="0.2">
      <c r="A782" s="167"/>
      <c r="B782" s="167"/>
      <c r="C782" s="167"/>
      <c r="D782" s="167"/>
      <c r="E782" s="167"/>
      <c r="F782" s="167"/>
      <c r="G782" s="167"/>
      <c r="H782" s="167"/>
      <c r="I782" s="167"/>
      <c r="J782" s="168"/>
    </row>
    <row r="783" spans="1:10" s="135" customFormat="1" x14ac:dyDescent="0.2">
      <c r="A783" s="167"/>
      <c r="B783" s="167"/>
      <c r="C783" s="167"/>
      <c r="D783" s="167"/>
      <c r="E783" s="167"/>
      <c r="F783" s="167"/>
      <c r="G783" s="167"/>
      <c r="H783" s="167"/>
      <c r="I783" s="167"/>
      <c r="J783" s="168"/>
    </row>
    <row r="784" spans="1:10" s="135" customFormat="1" x14ac:dyDescent="0.2">
      <c r="A784" s="167"/>
      <c r="B784" s="167"/>
      <c r="C784" s="167"/>
      <c r="D784" s="167"/>
      <c r="E784" s="167"/>
      <c r="F784" s="167"/>
      <c r="G784" s="167"/>
      <c r="H784" s="167"/>
      <c r="I784" s="167"/>
      <c r="J784" s="168"/>
    </row>
    <row r="785" spans="1:10" s="135" customFormat="1" x14ac:dyDescent="0.2">
      <c r="A785" s="167"/>
      <c r="B785" s="167"/>
      <c r="C785" s="167"/>
      <c r="D785" s="167"/>
      <c r="E785" s="167"/>
      <c r="F785" s="167"/>
      <c r="G785" s="167"/>
      <c r="H785" s="167"/>
      <c r="I785" s="167"/>
      <c r="J785" s="168"/>
    </row>
    <row r="786" spans="1:10" s="135" customFormat="1" x14ac:dyDescent="0.2">
      <c r="A786" s="167"/>
      <c r="B786" s="167"/>
      <c r="C786" s="167"/>
      <c r="D786" s="167"/>
      <c r="E786" s="167"/>
      <c r="F786" s="167"/>
      <c r="G786" s="167"/>
      <c r="H786" s="167"/>
      <c r="I786" s="167"/>
      <c r="J786" s="168"/>
    </row>
    <row r="787" spans="1:10" s="135" customFormat="1" x14ac:dyDescent="0.2">
      <c r="A787" s="167"/>
      <c r="B787" s="167"/>
      <c r="C787" s="167"/>
      <c r="D787" s="167"/>
      <c r="E787" s="167"/>
      <c r="F787" s="167"/>
      <c r="G787" s="167"/>
      <c r="H787" s="167"/>
      <c r="I787" s="167"/>
      <c r="J787" s="168"/>
    </row>
    <row r="788" spans="1:10" s="135" customFormat="1" x14ac:dyDescent="0.2">
      <c r="A788" s="167"/>
      <c r="B788" s="167"/>
      <c r="C788" s="167"/>
      <c r="D788" s="167"/>
      <c r="E788" s="167"/>
      <c r="F788" s="167"/>
      <c r="G788" s="167"/>
      <c r="H788" s="167"/>
      <c r="I788" s="167"/>
      <c r="J788" s="168"/>
    </row>
    <row r="789" spans="1:10" s="135" customFormat="1" x14ac:dyDescent="0.2">
      <c r="A789" s="167"/>
      <c r="B789" s="167"/>
      <c r="C789" s="167"/>
      <c r="D789" s="167"/>
      <c r="E789" s="167"/>
      <c r="F789" s="167"/>
      <c r="G789" s="167"/>
      <c r="H789" s="167"/>
      <c r="I789" s="167"/>
      <c r="J789" s="168"/>
    </row>
    <row r="790" spans="1:10" s="135" customFormat="1" x14ac:dyDescent="0.2">
      <c r="A790" s="167"/>
      <c r="B790" s="167"/>
      <c r="C790" s="167"/>
      <c r="D790" s="167"/>
      <c r="E790" s="167"/>
      <c r="F790" s="167"/>
      <c r="G790" s="167"/>
      <c r="H790" s="167"/>
      <c r="I790" s="167"/>
      <c r="J790" s="168"/>
    </row>
    <row r="791" spans="1:10" s="135" customFormat="1" x14ac:dyDescent="0.2">
      <c r="A791" s="167"/>
      <c r="B791" s="167"/>
      <c r="C791" s="167"/>
      <c r="D791" s="167"/>
      <c r="E791" s="167"/>
      <c r="F791" s="167"/>
      <c r="G791" s="167"/>
      <c r="H791" s="167"/>
      <c r="I791" s="167"/>
      <c r="J791" s="168"/>
    </row>
    <row r="792" spans="1:10" s="135" customFormat="1" x14ac:dyDescent="0.2">
      <c r="A792" s="167"/>
      <c r="B792" s="167"/>
      <c r="C792" s="167"/>
      <c r="D792" s="167"/>
      <c r="E792" s="167"/>
      <c r="F792" s="167"/>
      <c r="G792" s="167"/>
      <c r="H792" s="167"/>
      <c r="I792" s="167"/>
      <c r="J792" s="168"/>
    </row>
    <row r="793" spans="1:10" s="135" customFormat="1" x14ac:dyDescent="0.2">
      <c r="A793" s="167"/>
      <c r="B793" s="167"/>
      <c r="C793" s="167"/>
      <c r="D793" s="167"/>
      <c r="E793" s="167"/>
      <c r="F793" s="167"/>
      <c r="G793" s="167"/>
      <c r="H793" s="167"/>
      <c r="I793" s="167"/>
      <c r="J793" s="168"/>
    </row>
    <row r="794" spans="1:10" s="135" customFormat="1" x14ac:dyDescent="0.2">
      <c r="A794" s="167"/>
      <c r="B794" s="167"/>
      <c r="C794" s="167"/>
      <c r="D794" s="167"/>
      <c r="E794" s="167"/>
      <c r="F794" s="167"/>
      <c r="G794" s="167"/>
      <c r="H794" s="167"/>
      <c r="I794" s="167"/>
      <c r="J794" s="168"/>
    </row>
    <row r="795" spans="1:10" s="135" customFormat="1" x14ac:dyDescent="0.2">
      <c r="A795" s="167"/>
      <c r="B795" s="167"/>
      <c r="C795" s="167"/>
      <c r="D795" s="167"/>
      <c r="E795" s="167"/>
      <c r="F795" s="167"/>
      <c r="G795" s="167"/>
      <c r="H795" s="167"/>
      <c r="I795" s="167"/>
      <c r="J795" s="168"/>
    </row>
    <row r="796" spans="1:10" s="135" customFormat="1" x14ac:dyDescent="0.2">
      <c r="A796" s="167"/>
      <c r="B796" s="167"/>
      <c r="C796" s="167"/>
      <c r="D796" s="167"/>
      <c r="E796" s="167"/>
      <c r="F796" s="167"/>
      <c r="G796" s="167"/>
      <c r="H796" s="167"/>
      <c r="I796" s="167"/>
      <c r="J796" s="168"/>
    </row>
    <row r="797" spans="1:10" s="135" customFormat="1" x14ac:dyDescent="0.2">
      <c r="A797" s="167"/>
      <c r="B797" s="167"/>
      <c r="C797" s="167"/>
      <c r="D797" s="167"/>
      <c r="E797" s="167"/>
      <c r="F797" s="167"/>
      <c r="G797" s="167"/>
      <c r="H797" s="167"/>
      <c r="I797" s="167"/>
      <c r="J797" s="168"/>
    </row>
    <row r="798" spans="1:10" s="135" customFormat="1" x14ac:dyDescent="0.2">
      <c r="A798" s="167"/>
      <c r="B798" s="167"/>
      <c r="C798" s="167"/>
      <c r="D798" s="167"/>
      <c r="E798" s="167"/>
      <c r="F798" s="167"/>
      <c r="G798" s="167"/>
      <c r="H798" s="167"/>
      <c r="I798" s="167"/>
      <c r="J798" s="168"/>
    </row>
    <row r="799" spans="1:10" s="135" customFormat="1" x14ac:dyDescent="0.2">
      <c r="A799" s="167"/>
      <c r="B799" s="167"/>
      <c r="C799" s="167"/>
      <c r="D799" s="167"/>
      <c r="E799" s="167"/>
      <c r="F799" s="167"/>
      <c r="G799" s="167"/>
      <c r="H799" s="167"/>
      <c r="I799" s="167"/>
      <c r="J799" s="168"/>
    </row>
    <row r="800" spans="1:10" s="135" customFormat="1" x14ac:dyDescent="0.2">
      <c r="A800" s="167"/>
      <c r="B800" s="167"/>
      <c r="C800" s="167"/>
      <c r="D800" s="167"/>
      <c r="E800" s="167"/>
      <c r="F800" s="167"/>
      <c r="G800" s="167"/>
      <c r="H800" s="167"/>
      <c r="I800" s="167"/>
      <c r="J800" s="168"/>
    </row>
    <row r="801" spans="1:10" s="135" customFormat="1" x14ac:dyDescent="0.2">
      <c r="A801" s="167"/>
      <c r="B801" s="167"/>
      <c r="C801" s="167"/>
      <c r="D801" s="167"/>
      <c r="E801" s="167"/>
      <c r="F801" s="167"/>
      <c r="G801" s="167"/>
      <c r="H801" s="167"/>
      <c r="I801" s="167"/>
      <c r="J801" s="168"/>
    </row>
    <row r="802" spans="1:10" s="135" customFormat="1" x14ac:dyDescent="0.2">
      <c r="A802" s="167"/>
      <c r="B802" s="167"/>
      <c r="C802" s="167"/>
      <c r="D802" s="167"/>
      <c r="E802" s="167"/>
      <c r="F802" s="167"/>
      <c r="G802" s="167"/>
      <c r="H802" s="167"/>
      <c r="I802" s="167"/>
      <c r="J802" s="168"/>
    </row>
    <row r="803" spans="1:10" s="135" customFormat="1" x14ac:dyDescent="0.2">
      <c r="A803" s="167"/>
      <c r="B803" s="167"/>
      <c r="C803" s="167"/>
      <c r="D803" s="167"/>
      <c r="E803" s="167"/>
      <c r="F803" s="167"/>
      <c r="G803" s="167"/>
      <c r="H803" s="167"/>
      <c r="I803" s="167"/>
      <c r="J803" s="168"/>
    </row>
    <row r="804" spans="1:10" s="135" customFormat="1" x14ac:dyDescent="0.2">
      <c r="A804" s="167"/>
      <c r="B804" s="167"/>
      <c r="C804" s="167"/>
      <c r="D804" s="167"/>
      <c r="E804" s="167"/>
      <c r="F804" s="167"/>
      <c r="G804" s="167"/>
      <c r="H804" s="167"/>
      <c r="I804" s="167"/>
      <c r="J804" s="168"/>
    </row>
    <row r="805" spans="1:10" s="135" customFormat="1" x14ac:dyDescent="0.2">
      <c r="A805" s="167"/>
      <c r="B805" s="167"/>
      <c r="C805" s="167"/>
      <c r="D805" s="167"/>
      <c r="E805" s="167"/>
      <c r="F805" s="167"/>
      <c r="G805" s="167"/>
      <c r="H805" s="167"/>
      <c r="I805" s="167"/>
      <c r="J805" s="168"/>
    </row>
    <row r="806" spans="1:10" s="135" customFormat="1" x14ac:dyDescent="0.2">
      <c r="A806" s="167"/>
      <c r="B806" s="167"/>
      <c r="C806" s="167"/>
      <c r="D806" s="167"/>
      <c r="E806" s="167"/>
      <c r="F806" s="167"/>
      <c r="G806" s="167"/>
      <c r="H806" s="167"/>
      <c r="I806" s="167"/>
      <c r="J806" s="168"/>
    </row>
    <row r="807" spans="1:10" s="135" customFormat="1" x14ac:dyDescent="0.2">
      <c r="A807" s="167"/>
      <c r="B807" s="167"/>
      <c r="C807" s="167"/>
      <c r="D807" s="167"/>
      <c r="E807" s="167"/>
      <c r="F807" s="167"/>
      <c r="G807" s="167"/>
      <c r="H807" s="167"/>
      <c r="I807" s="167"/>
      <c r="J807" s="168"/>
    </row>
    <row r="808" spans="1:10" s="135" customFormat="1" x14ac:dyDescent="0.2">
      <c r="A808" s="167"/>
      <c r="B808" s="167"/>
      <c r="C808" s="167"/>
      <c r="D808" s="167"/>
      <c r="E808" s="167"/>
      <c r="F808" s="167"/>
      <c r="G808" s="167"/>
      <c r="H808" s="167"/>
      <c r="I808" s="167"/>
      <c r="J808" s="168"/>
    </row>
    <row r="809" spans="1:10" s="135" customFormat="1" x14ac:dyDescent="0.2">
      <c r="A809" s="167"/>
      <c r="B809" s="167"/>
      <c r="C809" s="167"/>
      <c r="D809" s="167"/>
      <c r="E809" s="167"/>
      <c r="F809" s="167"/>
      <c r="G809" s="167"/>
      <c r="H809" s="167"/>
      <c r="I809" s="167"/>
      <c r="J809" s="168"/>
    </row>
    <row r="810" spans="1:10" s="135" customFormat="1" x14ac:dyDescent="0.2">
      <c r="A810" s="167"/>
      <c r="B810" s="167"/>
      <c r="C810" s="167"/>
      <c r="D810" s="167"/>
      <c r="E810" s="167"/>
      <c r="F810" s="167"/>
      <c r="G810" s="167"/>
      <c r="H810" s="167"/>
      <c r="I810" s="167"/>
      <c r="J810" s="168"/>
    </row>
    <row r="811" spans="1:10" s="135" customFormat="1" x14ac:dyDescent="0.2">
      <c r="A811" s="167"/>
      <c r="B811" s="167"/>
      <c r="C811" s="167"/>
      <c r="D811" s="167"/>
      <c r="E811" s="167"/>
      <c r="F811" s="167"/>
      <c r="G811" s="167"/>
      <c r="H811" s="167"/>
      <c r="I811" s="167"/>
      <c r="J811" s="168"/>
    </row>
    <row r="812" spans="1:10" s="135" customFormat="1" x14ac:dyDescent="0.2">
      <c r="A812" s="167"/>
      <c r="B812" s="167"/>
      <c r="C812" s="167"/>
      <c r="D812" s="167"/>
      <c r="E812" s="167"/>
      <c r="F812" s="167"/>
      <c r="G812" s="167"/>
      <c r="H812" s="167"/>
      <c r="I812" s="167"/>
      <c r="J812" s="168"/>
    </row>
    <row r="813" spans="1:10" s="135" customFormat="1" x14ac:dyDescent="0.2">
      <c r="A813" s="167"/>
      <c r="B813" s="167"/>
      <c r="C813" s="167"/>
      <c r="D813" s="167"/>
      <c r="E813" s="167"/>
      <c r="F813" s="167"/>
      <c r="G813" s="167"/>
      <c r="H813" s="167"/>
      <c r="I813" s="167"/>
      <c r="J813" s="168"/>
    </row>
    <row r="814" spans="1:10" s="135" customFormat="1" x14ac:dyDescent="0.2">
      <c r="A814" s="167"/>
      <c r="B814" s="167"/>
      <c r="C814" s="167"/>
      <c r="D814" s="167"/>
      <c r="E814" s="167"/>
      <c r="F814" s="167"/>
      <c r="G814" s="167"/>
      <c r="H814" s="167"/>
      <c r="I814" s="167"/>
      <c r="J814" s="168"/>
    </row>
    <row r="815" spans="1:10" s="135" customFormat="1" x14ac:dyDescent="0.2">
      <c r="A815" s="167"/>
      <c r="B815" s="167"/>
      <c r="C815" s="167"/>
      <c r="D815" s="167"/>
      <c r="E815" s="167"/>
      <c r="F815" s="167"/>
      <c r="G815" s="167"/>
      <c r="H815" s="167"/>
      <c r="I815" s="167"/>
      <c r="J815" s="168"/>
    </row>
    <row r="816" spans="1:10" s="135" customFormat="1" x14ac:dyDescent="0.2">
      <c r="A816" s="167"/>
      <c r="B816" s="167"/>
      <c r="C816" s="167"/>
      <c r="D816" s="167"/>
      <c r="E816" s="167"/>
      <c r="F816" s="167"/>
      <c r="G816" s="167"/>
      <c r="H816" s="167"/>
      <c r="I816" s="167"/>
      <c r="J816" s="168"/>
    </row>
    <row r="817" spans="1:10" s="135" customFormat="1" x14ac:dyDescent="0.2">
      <c r="A817" s="167"/>
      <c r="B817" s="167"/>
      <c r="C817" s="167"/>
      <c r="D817" s="167"/>
      <c r="E817" s="167"/>
      <c r="F817" s="167"/>
      <c r="G817" s="167"/>
      <c r="H817" s="167"/>
      <c r="I817" s="167"/>
      <c r="J817" s="168"/>
    </row>
    <row r="818" spans="1:10" s="135" customFormat="1" x14ac:dyDescent="0.2">
      <c r="A818" s="167"/>
      <c r="B818" s="167"/>
      <c r="C818" s="167"/>
      <c r="D818" s="167"/>
      <c r="E818" s="167"/>
      <c r="F818" s="167"/>
      <c r="G818" s="167"/>
      <c r="H818" s="167"/>
      <c r="I818" s="167"/>
      <c r="J818" s="168"/>
    </row>
    <row r="819" spans="1:10" s="135" customFormat="1" x14ac:dyDescent="0.2">
      <c r="A819" s="167"/>
      <c r="B819" s="167"/>
      <c r="C819" s="167"/>
      <c r="D819" s="167"/>
      <c r="E819" s="167"/>
      <c r="F819" s="167"/>
      <c r="G819" s="167"/>
      <c r="H819" s="167"/>
      <c r="I819" s="167"/>
      <c r="J819" s="168"/>
    </row>
    <row r="820" spans="1:10" s="135" customFormat="1" x14ac:dyDescent="0.2">
      <c r="A820" s="167"/>
      <c r="B820" s="167"/>
      <c r="C820" s="167"/>
      <c r="D820" s="167"/>
      <c r="E820" s="167"/>
      <c r="F820" s="167"/>
      <c r="G820" s="167"/>
      <c r="H820" s="167"/>
      <c r="I820" s="167"/>
      <c r="J820" s="168"/>
    </row>
    <row r="821" spans="1:10" s="135" customFormat="1" x14ac:dyDescent="0.2">
      <c r="A821" s="167"/>
      <c r="B821" s="167"/>
      <c r="C821" s="167"/>
      <c r="D821" s="167"/>
      <c r="E821" s="167"/>
      <c r="F821" s="167"/>
      <c r="G821" s="167"/>
      <c r="H821" s="167"/>
      <c r="I821" s="167"/>
      <c r="J821" s="168"/>
    </row>
    <row r="822" spans="1:10" s="135" customFormat="1" x14ac:dyDescent="0.2">
      <c r="A822" s="167"/>
      <c r="B822" s="167"/>
      <c r="C822" s="167"/>
      <c r="D822" s="167"/>
      <c r="E822" s="167"/>
      <c r="F822" s="167"/>
      <c r="G822" s="167"/>
      <c r="H822" s="167"/>
      <c r="I822" s="167"/>
      <c r="J822" s="168"/>
    </row>
    <row r="823" spans="1:10" s="135" customFormat="1" x14ac:dyDescent="0.2">
      <c r="A823" s="167"/>
      <c r="B823" s="167"/>
      <c r="C823" s="167"/>
      <c r="D823" s="167"/>
      <c r="E823" s="167"/>
      <c r="F823" s="167"/>
      <c r="G823" s="167"/>
      <c r="H823" s="167"/>
      <c r="I823" s="167"/>
      <c r="J823" s="168"/>
    </row>
    <row r="824" spans="1:10" s="135" customFormat="1" x14ac:dyDescent="0.2">
      <c r="A824" s="167"/>
      <c r="B824" s="167"/>
      <c r="C824" s="167"/>
      <c r="D824" s="167"/>
      <c r="E824" s="167"/>
      <c r="F824" s="167"/>
      <c r="G824" s="167"/>
      <c r="H824" s="167"/>
      <c r="I824" s="167"/>
      <c r="J824" s="168"/>
    </row>
    <row r="825" spans="1:10" s="135" customFormat="1" x14ac:dyDescent="0.2">
      <c r="A825" s="167"/>
      <c r="B825" s="167"/>
      <c r="C825" s="167"/>
      <c r="D825" s="167"/>
      <c r="E825" s="167"/>
      <c r="F825" s="167"/>
      <c r="G825" s="167"/>
      <c r="H825" s="167"/>
      <c r="I825" s="167"/>
      <c r="J825" s="168"/>
    </row>
    <row r="826" spans="1:10" s="135" customFormat="1" x14ac:dyDescent="0.2">
      <c r="A826" s="167"/>
      <c r="B826" s="167"/>
      <c r="C826" s="167"/>
      <c r="D826" s="167"/>
      <c r="E826" s="167"/>
      <c r="F826" s="167"/>
      <c r="G826" s="167"/>
      <c r="H826" s="167"/>
      <c r="I826" s="167"/>
      <c r="J826" s="168"/>
    </row>
    <row r="827" spans="1:10" s="135" customFormat="1" x14ac:dyDescent="0.2">
      <c r="A827" s="167"/>
      <c r="B827" s="167"/>
      <c r="C827" s="167"/>
      <c r="D827" s="167"/>
      <c r="E827" s="167"/>
      <c r="F827" s="167"/>
      <c r="G827" s="167"/>
      <c r="H827" s="167"/>
      <c r="I827" s="167"/>
      <c r="J827" s="168"/>
    </row>
    <row r="828" spans="1:10" s="135" customFormat="1" x14ac:dyDescent="0.2">
      <c r="A828" s="167"/>
      <c r="B828" s="167"/>
      <c r="C828" s="167"/>
      <c r="D828" s="167"/>
      <c r="E828" s="167"/>
      <c r="F828" s="167"/>
      <c r="G828" s="167"/>
      <c r="H828" s="167"/>
      <c r="I828" s="167"/>
      <c r="J828" s="168"/>
    </row>
    <row r="829" spans="1:10" s="135" customFormat="1" x14ac:dyDescent="0.2">
      <c r="A829" s="167"/>
      <c r="B829" s="167"/>
      <c r="C829" s="167"/>
      <c r="D829" s="167"/>
      <c r="E829" s="167"/>
      <c r="F829" s="167"/>
      <c r="G829" s="167"/>
      <c r="H829" s="167"/>
      <c r="I829" s="167"/>
      <c r="J829" s="168"/>
    </row>
    <row r="830" spans="1:10" s="135" customFormat="1" x14ac:dyDescent="0.2">
      <c r="A830" s="167"/>
      <c r="B830" s="167"/>
      <c r="C830" s="167"/>
      <c r="D830" s="167"/>
      <c r="E830" s="167"/>
      <c r="F830" s="167"/>
      <c r="G830" s="167"/>
      <c r="H830" s="167"/>
      <c r="I830" s="167"/>
      <c r="J830" s="168"/>
    </row>
    <row r="831" spans="1:10" s="135" customFormat="1" x14ac:dyDescent="0.2">
      <c r="A831" s="167"/>
      <c r="B831" s="167"/>
      <c r="C831" s="167"/>
      <c r="D831" s="167"/>
      <c r="E831" s="167"/>
      <c r="F831" s="167"/>
      <c r="G831" s="167"/>
      <c r="H831" s="167"/>
      <c r="I831" s="167"/>
      <c r="J831" s="168"/>
    </row>
    <row r="832" spans="1:10" s="135" customFormat="1" x14ac:dyDescent="0.2">
      <c r="A832" s="167"/>
      <c r="B832" s="167"/>
      <c r="C832" s="167"/>
      <c r="D832" s="167"/>
      <c r="E832" s="167"/>
      <c r="F832" s="167"/>
      <c r="G832" s="167"/>
      <c r="H832" s="167"/>
      <c r="I832" s="167"/>
      <c r="J832" s="168"/>
    </row>
    <row r="833" spans="1:10" s="135" customFormat="1" x14ac:dyDescent="0.2">
      <c r="A833" s="167"/>
      <c r="B833" s="167"/>
      <c r="C833" s="167"/>
      <c r="D833" s="167"/>
      <c r="E833" s="167"/>
      <c r="F833" s="167"/>
      <c r="G833" s="167"/>
      <c r="H833" s="167"/>
      <c r="I833" s="167"/>
      <c r="J833" s="168"/>
    </row>
    <row r="834" spans="1:10" s="135" customFormat="1" x14ac:dyDescent="0.2">
      <c r="A834" s="167"/>
      <c r="B834" s="167"/>
      <c r="C834" s="167"/>
      <c r="D834" s="167"/>
      <c r="E834" s="167"/>
      <c r="F834" s="167"/>
      <c r="G834" s="167"/>
      <c r="H834" s="167"/>
      <c r="I834" s="167"/>
      <c r="J834" s="168"/>
    </row>
    <row r="835" spans="1:10" s="135" customFormat="1" x14ac:dyDescent="0.2">
      <c r="A835" s="167"/>
      <c r="B835" s="167"/>
      <c r="C835" s="167"/>
      <c r="D835" s="167"/>
      <c r="E835" s="167"/>
      <c r="F835" s="167"/>
      <c r="G835" s="167"/>
      <c r="H835" s="167"/>
      <c r="I835" s="167"/>
      <c r="J835" s="168"/>
    </row>
    <row r="836" spans="1:10" s="135" customFormat="1" x14ac:dyDescent="0.2">
      <c r="A836" s="167"/>
      <c r="B836" s="167"/>
      <c r="C836" s="167"/>
      <c r="D836" s="167"/>
      <c r="E836" s="167"/>
      <c r="F836" s="167"/>
      <c r="G836" s="167"/>
      <c r="H836" s="167"/>
      <c r="I836" s="167"/>
      <c r="J836" s="168"/>
    </row>
    <row r="837" spans="1:10" s="135" customFormat="1" x14ac:dyDescent="0.2">
      <c r="A837" s="167"/>
      <c r="B837" s="167"/>
      <c r="C837" s="167"/>
      <c r="D837" s="167"/>
      <c r="E837" s="167"/>
      <c r="F837" s="167"/>
      <c r="G837" s="167"/>
      <c r="H837" s="167"/>
      <c r="I837" s="167"/>
      <c r="J837" s="168"/>
    </row>
    <row r="838" spans="1:10" s="135" customFormat="1" x14ac:dyDescent="0.2">
      <c r="A838" s="167"/>
      <c r="B838" s="167"/>
      <c r="C838" s="167"/>
      <c r="D838" s="167"/>
      <c r="E838" s="167"/>
      <c r="F838" s="167"/>
      <c r="G838" s="167"/>
      <c r="H838" s="167"/>
      <c r="I838" s="167"/>
      <c r="J838" s="168"/>
    </row>
    <row r="839" spans="1:10" s="135" customFormat="1" x14ac:dyDescent="0.2">
      <c r="A839" s="167"/>
      <c r="B839" s="167"/>
      <c r="C839" s="167"/>
      <c r="D839" s="167"/>
      <c r="E839" s="167"/>
      <c r="F839" s="167"/>
      <c r="G839" s="167"/>
      <c r="H839" s="167"/>
      <c r="I839" s="167"/>
      <c r="J839" s="168"/>
    </row>
    <row r="840" spans="1:10" s="135" customFormat="1" x14ac:dyDescent="0.2">
      <c r="A840" s="167"/>
      <c r="B840" s="167"/>
      <c r="C840" s="167"/>
      <c r="D840" s="167"/>
      <c r="E840" s="167"/>
      <c r="F840" s="167"/>
      <c r="G840" s="167"/>
      <c r="H840" s="167"/>
      <c r="I840" s="167"/>
      <c r="J840" s="168"/>
    </row>
    <row r="841" spans="1:10" s="135" customFormat="1" x14ac:dyDescent="0.2">
      <c r="A841" s="167"/>
      <c r="B841" s="167"/>
      <c r="C841" s="167"/>
      <c r="D841" s="167"/>
      <c r="E841" s="167"/>
      <c r="F841" s="167"/>
      <c r="G841" s="167"/>
      <c r="H841" s="167"/>
      <c r="I841" s="167"/>
      <c r="J841" s="168"/>
    </row>
    <row r="842" spans="1:10" s="135" customFormat="1" x14ac:dyDescent="0.2">
      <c r="A842" s="167"/>
      <c r="B842" s="167"/>
      <c r="C842" s="167"/>
      <c r="D842" s="167"/>
      <c r="E842" s="167"/>
      <c r="F842" s="167"/>
      <c r="G842" s="167"/>
      <c r="H842" s="167"/>
      <c r="I842" s="167"/>
      <c r="J842" s="168"/>
    </row>
    <row r="843" spans="1:10" s="135" customFormat="1" x14ac:dyDescent="0.2">
      <c r="A843" s="167"/>
      <c r="B843" s="167"/>
      <c r="C843" s="167"/>
      <c r="D843" s="167"/>
      <c r="E843" s="167"/>
      <c r="F843" s="167"/>
      <c r="G843" s="167"/>
      <c r="H843" s="167"/>
      <c r="I843" s="167"/>
      <c r="J843" s="168"/>
    </row>
    <row r="844" spans="1:10" s="135" customFormat="1" x14ac:dyDescent="0.2">
      <c r="A844" s="167"/>
      <c r="B844" s="167"/>
      <c r="C844" s="167"/>
      <c r="D844" s="167"/>
      <c r="E844" s="167"/>
      <c r="F844" s="167"/>
      <c r="G844" s="167"/>
      <c r="H844" s="167"/>
      <c r="I844" s="167"/>
      <c r="J844" s="168"/>
    </row>
    <row r="845" spans="1:10" s="135" customFormat="1" x14ac:dyDescent="0.2">
      <c r="A845" s="167"/>
      <c r="B845" s="167"/>
      <c r="C845" s="167"/>
      <c r="D845" s="167"/>
      <c r="E845" s="167"/>
      <c r="F845" s="167"/>
      <c r="G845" s="167"/>
      <c r="H845" s="167"/>
      <c r="I845" s="167"/>
      <c r="J845" s="168"/>
    </row>
    <row r="846" spans="1:10" s="135" customFormat="1" x14ac:dyDescent="0.2">
      <c r="A846" s="167"/>
      <c r="B846" s="167"/>
      <c r="C846" s="167"/>
      <c r="D846" s="167"/>
      <c r="E846" s="167"/>
      <c r="F846" s="167"/>
      <c r="G846" s="167"/>
      <c r="H846" s="167"/>
      <c r="I846" s="167"/>
      <c r="J846" s="168"/>
    </row>
    <row r="847" spans="1:10" s="135" customFormat="1" x14ac:dyDescent="0.2">
      <c r="A847" s="167"/>
      <c r="B847" s="167"/>
      <c r="C847" s="167"/>
      <c r="D847" s="167"/>
      <c r="E847" s="167"/>
      <c r="F847" s="167"/>
      <c r="G847" s="167"/>
      <c r="H847" s="167"/>
      <c r="I847" s="167"/>
      <c r="J847" s="168"/>
    </row>
    <row r="848" spans="1:10" s="135" customFormat="1" x14ac:dyDescent="0.2">
      <c r="A848" s="167"/>
      <c r="B848" s="167"/>
      <c r="C848" s="167"/>
      <c r="D848" s="167"/>
      <c r="E848" s="167"/>
      <c r="F848" s="167"/>
      <c r="G848" s="167"/>
      <c r="H848" s="167"/>
      <c r="I848" s="167"/>
      <c r="J848" s="168"/>
    </row>
    <row r="849" spans="1:10" s="135" customFormat="1" x14ac:dyDescent="0.2">
      <c r="A849" s="167"/>
      <c r="B849" s="167"/>
      <c r="C849" s="167"/>
      <c r="D849" s="167"/>
      <c r="E849" s="167"/>
      <c r="F849" s="167"/>
      <c r="G849" s="167"/>
      <c r="H849" s="167"/>
      <c r="I849" s="167"/>
      <c r="J849" s="168"/>
    </row>
    <row r="850" spans="1:10" s="135" customFormat="1" x14ac:dyDescent="0.2">
      <c r="A850" s="167"/>
      <c r="B850" s="167"/>
      <c r="C850" s="167"/>
      <c r="D850" s="167"/>
      <c r="E850" s="167"/>
      <c r="F850" s="167"/>
      <c r="G850" s="167"/>
      <c r="H850" s="167"/>
      <c r="I850" s="167"/>
      <c r="J850" s="168"/>
    </row>
    <row r="851" spans="1:10" s="135" customFormat="1" x14ac:dyDescent="0.2">
      <c r="A851" s="167"/>
      <c r="B851" s="167"/>
      <c r="C851" s="167"/>
      <c r="D851" s="167"/>
      <c r="E851" s="167"/>
      <c r="F851" s="167"/>
      <c r="G851" s="167"/>
      <c r="H851" s="167"/>
      <c r="I851" s="167"/>
      <c r="J851" s="168"/>
    </row>
    <row r="852" spans="1:10" s="135" customFormat="1" x14ac:dyDescent="0.2">
      <c r="A852" s="167"/>
      <c r="B852" s="167"/>
      <c r="C852" s="167"/>
      <c r="D852" s="167"/>
      <c r="E852" s="167"/>
      <c r="F852" s="167"/>
      <c r="G852" s="167"/>
      <c r="H852" s="167"/>
      <c r="I852" s="167"/>
      <c r="J852" s="168"/>
    </row>
    <row r="853" spans="1:10" s="135" customFormat="1" x14ac:dyDescent="0.2">
      <c r="A853" s="167"/>
      <c r="B853" s="167"/>
      <c r="C853" s="167"/>
      <c r="D853" s="167"/>
      <c r="E853" s="167"/>
      <c r="F853" s="167"/>
      <c r="G853" s="167"/>
      <c r="H853" s="167"/>
      <c r="I853" s="167"/>
      <c r="J853" s="168"/>
    </row>
    <row r="854" spans="1:10" s="135" customFormat="1" x14ac:dyDescent="0.2">
      <c r="A854" s="167"/>
      <c r="B854" s="167"/>
      <c r="C854" s="167"/>
      <c r="D854" s="167"/>
      <c r="E854" s="167"/>
      <c r="F854" s="167"/>
      <c r="G854" s="167"/>
      <c r="H854" s="167"/>
      <c r="I854" s="167"/>
      <c r="J854" s="168"/>
    </row>
    <row r="855" spans="1:10" s="135" customFormat="1" x14ac:dyDescent="0.2">
      <c r="A855" s="167"/>
      <c r="B855" s="167"/>
      <c r="C855" s="167"/>
      <c r="D855" s="167"/>
      <c r="E855" s="167"/>
      <c r="F855" s="167"/>
      <c r="G855" s="167"/>
      <c r="H855" s="167"/>
      <c r="I855" s="167"/>
      <c r="J855" s="168"/>
    </row>
    <row r="856" spans="1:10" s="135" customFormat="1" x14ac:dyDescent="0.2">
      <c r="A856" s="167"/>
      <c r="B856" s="167"/>
      <c r="C856" s="167"/>
      <c r="D856" s="167"/>
      <c r="E856" s="167"/>
      <c r="F856" s="167"/>
      <c r="G856" s="167"/>
      <c r="H856" s="167"/>
      <c r="I856" s="167"/>
      <c r="J856" s="168"/>
    </row>
    <row r="857" spans="1:10" s="135" customFormat="1" x14ac:dyDescent="0.2">
      <c r="A857" s="167"/>
      <c r="B857" s="167"/>
      <c r="C857" s="167"/>
      <c r="D857" s="167"/>
      <c r="E857" s="167"/>
      <c r="F857" s="167"/>
      <c r="G857" s="167"/>
      <c r="H857" s="167"/>
      <c r="I857" s="167"/>
      <c r="J857" s="168"/>
    </row>
    <row r="858" spans="1:10" s="135" customFormat="1" x14ac:dyDescent="0.2">
      <c r="A858" s="167"/>
      <c r="B858" s="167"/>
      <c r="C858" s="167"/>
      <c r="D858" s="167"/>
      <c r="E858" s="167"/>
      <c r="F858" s="167"/>
      <c r="G858" s="167"/>
      <c r="H858" s="167"/>
      <c r="I858" s="167"/>
      <c r="J858" s="168"/>
    </row>
    <row r="859" spans="1:10" s="135" customFormat="1" x14ac:dyDescent="0.2">
      <c r="A859" s="167"/>
      <c r="B859" s="167"/>
      <c r="C859" s="167"/>
      <c r="D859" s="167"/>
      <c r="E859" s="167"/>
      <c r="F859" s="167"/>
      <c r="G859" s="167"/>
      <c r="H859" s="167"/>
      <c r="I859" s="167"/>
      <c r="J859" s="168"/>
    </row>
    <row r="860" spans="1:10" s="135" customFormat="1" x14ac:dyDescent="0.2">
      <c r="A860" s="167"/>
      <c r="B860" s="167"/>
      <c r="C860" s="167"/>
      <c r="D860" s="167"/>
      <c r="E860" s="167"/>
      <c r="F860" s="167"/>
      <c r="G860" s="167"/>
      <c r="H860" s="167"/>
      <c r="I860" s="167"/>
      <c r="J860" s="168"/>
    </row>
    <row r="861" spans="1:10" s="135" customFormat="1" x14ac:dyDescent="0.2">
      <c r="A861" s="167"/>
      <c r="B861" s="167"/>
      <c r="C861" s="167"/>
      <c r="D861" s="167"/>
      <c r="E861" s="167"/>
      <c r="F861" s="167"/>
      <c r="G861" s="167"/>
      <c r="H861" s="167"/>
      <c r="I861" s="167"/>
      <c r="J861" s="168"/>
    </row>
    <row r="862" spans="1:10" s="135" customFormat="1" x14ac:dyDescent="0.2">
      <c r="A862" s="167"/>
      <c r="B862" s="167"/>
      <c r="C862" s="167"/>
      <c r="D862" s="167"/>
      <c r="E862" s="167"/>
      <c r="F862" s="167"/>
      <c r="G862" s="167"/>
      <c r="H862" s="167"/>
      <c r="I862" s="167"/>
      <c r="J862" s="168"/>
    </row>
    <row r="863" spans="1:10" s="135" customFormat="1" x14ac:dyDescent="0.2">
      <c r="A863" s="167"/>
      <c r="B863" s="167"/>
      <c r="C863" s="167"/>
      <c r="D863" s="167"/>
      <c r="E863" s="167"/>
      <c r="F863" s="167"/>
      <c r="G863" s="167"/>
      <c r="H863" s="167"/>
      <c r="I863" s="167"/>
      <c r="J863" s="168"/>
    </row>
    <row r="864" spans="1:10" s="135" customFormat="1" x14ac:dyDescent="0.2">
      <c r="A864" s="167"/>
      <c r="B864" s="167"/>
      <c r="C864" s="167"/>
      <c r="D864" s="167"/>
      <c r="E864" s="167"/>
      <c r="F864" s="167"/>
      <c r="G864" s="167"/>
      <c r="H864" s="167"/>
      <c r="I864" s="167"/>
      <c r="J864" s="168"/>
    </row>
    <row r="865" spans="1:10" s="135" customFormat="1" x14ac:dyDescent="0.2">
      <c r="A865" s="167"/>
      <c r="B865" s="167"/>
      <c r="C865" s="167"/>
      <c r="D865" s="167"/>
      <c r="E865" s="167"/>
      <c r="F865" s="167"/>
      <c r="G865" s="167"/>
      <c r="H865" s="167"/>
      <c r="I865" s="167"/>
      <c r="J865" s="168"/>
    </row>
    <row r="866" spans="1:10" s="135" customFormat="1" x14ac:dyDescent="0.2">
      <c r="A866" s="167"/>
      <c r="B866" s="167"/>
      <c r="C866" s="167"/>
      <c r="D866" s="167"/>
      <c r="E866" s="167"/>
      <c r="F866" s="167"/>
      <c r="G866" s="167"/>
      <c r="H866" s="167"/>
      <c r="I866" s="167"/>
      <c r="J866" s="168"/>
    </row>
    <row r="867" spans="1:10" s="135" customFormat="1" x14ac:dyDescent="0.2">
      <c r="A867" s="167"/>
      <c r="B867" s="167"/>
      <c r="C867" s="167"/>
      <c r="D867" s="167"/>
      <c r="E867" s="167"/>
      <c r="F867" s="167"/>
      <c r="G867" s="167"/>
      <c r="H867" s="167"/>
      <c r="I867" s="167"/>
      <c r="J867" s="168"/>
    </row>
    <row r="868" spans="1:10" s="135" customFormat="1" x14ac:dyDescent="0.2">
      <c r="A868" s="167"/>
      <c r="B868" s="167"/>
      <c r="C868" s="167"/>
      <c r="D868" s="167"/>
      <c r="E868" s="167"/>
      <c r="F868" s="167"/>
      <c r="G868" s="167"/>
      <c r="H868" s="167"/>
      <c r="I868" s="167"/>
      <c r="J868" s="168"/>
    </row>
    <row r="869" spans="1:10" s="135" customFormat="1" x14ac:dyDescent="0.2">
      <c r="A869" s="167"/>
      <c r="B869" s="167"/>
      <c r="C869" s="167"/>
      <c r="D869" s="167"/>
      <c r="E869" s="167"/>
      <c r="F869" s="167"/>
      <c r="G869" s="167"/>
      <c r="H869" s="167"/>
      <c r="I869" s="167"/>
      <c r="J869" s="168"/>
    </row>
    <row r="870" spans="1:10" s="135" customFormat="1" x14ac:dyDescent="0.2">
      <c r="A870" s="167"/>
      <c r="B870" s="167"/>
      <c r="C870" s="167"/>
      <c r="D870" s="167"/>
      <c r="E870" s="167"/>
      <c r="F870" s="167"/>
      <c r="G870" s="167"/>
      <c r="H870" s="167"/>
      <c r="I870" s="167"/>
      <c r="J870" s="168"/>
    </row>
    <row r="871" spans="1:10" s="135" customFormat="1" x14ac:dyDescent="0.2">
      <c r="A871" s="167"/>
      <c r="B871" s="167"/>
      <c r="C871" s="167"/>
      <c r="D871" s="167"/>
      <c r="E871" s="167"/>
      <c r="F871" s="167"/>
      <c r="G871" s="167"/>
      <c r="H871" s="167"/>
      <c r="I871" s="167"/>
      <c r="J871" s="168"/>
    </row>
    <row r="872" spans="1:10" s="135" customFormat="1" x14ac:dyDescent="0.2">
      <c r="A872" s="167"/>
      <c r="B872" s="167"/>
      <c r="C872" s="167"/>
      <c r="D872" s="167"/>
      <c r="E872" s="167"/>
      <c r="F872" s="167"/>
      <c r="G872" s="167"/>
      <c r="H872" s="167"/>
      <c r="I872" s="167"/>
      <c r="J872" s="168"/>
    </row>
    <row r="873" spans="1:10" s="135" customFormat="1" x14ac:dyDescent="0.2">
      <c r="A873" s="167"/>
      <c r="B873" s="167"/>
      <c r="C873" s="167"/>
      <c r="D873" s="167"/>
      <c r="E873" s="167"/>
      <c r="F873" s="167"/>
      <c r="G873" s="167"/>
      <c r="H873" s="167"/>
      <c r="I873" s="167"/>
      <c r="J873" s="168"/>
    </row>
    <row r="874" spans="1:10" s="135" customFormat="1" x14ac:dyDescent="0.2">
      <c r="A874" s="167"/>
      <c r="B874" s="167"/>
      <c r="C874" s="167"/>
      <c r="D874" s="167"/>
      <c r="E874" s="167"/>
      <c r="F874" s="167"/>
      <c r="G874" s="167"/>
      <c r="H874" s="167"/>
      <c r="I874" s="167"/>
      <c r="J874" s="168"/>
    </row>
    <row r="875" spans="1:10" s="135" customFormat="1" x14ac:dyDescent="0.2">
      <c r="A875" s="167"/>
      <c r="B875" s="167"/>
      <c r="C875" s="167"/>
      <c r="D875" s="167"/>
      <c r="E875" s="167"/>
      <c r="F875" s="167"/>
      <c r="G875" s="167"/>
      <c r="H875" s="167"/>
      <c r="I875" s="167"/>
      <c r="J875" s="168"/>
    </row>
    <row r="876" spans="1:10" s="135" customFormat="1" x14ac:dyDescent="0.2">
      <c r="A876" s="167"/>
      <c r="B876" s="167"/>
      <c r="C876" s="167"/>
      <c r="D876" s="167"/>
      <c r="E876" s="167"/>
      <c r="F876" s="167"/>
      <c r="G876" s="167"/>
      <c r="H876" s="167"/>
      <c r="I876" s="167"/>
      <c r="J876" s="168"/>
    </row>
    <row r="877" spans="1:10" s="135" customFormat="1" x14ac:dyDescent="0.2">
      <c r="A877" s="167"/>
      <c r="B877" s="167"/>
      <c r="C877" s="167"/>
      <c r="D877" s="167"/>
      <c r="E877" s="167"/>
      <c r="F877" s="167"/>
      <c r="G877" s="167"/>
      <c r="H877" s="167"/>
      <c r="I877" s="167"/>
      <c r="J877" s="168"/>
    </row>
    <row r="878" spans="1:10" s="135" customFormat="1" x14ac:dyDescent="0.2">
      <c r="A878" s="167"/>
      <c r="B878" s="167"/>
      <c r="C878" s="167"/>
      <c r="D878" s="167"/>
      <c r="E878" s="167"/>
      <c r="F878" s="167"/>
      <c r="G878" s="167"/>
      <c r="H878" s="167"/>
      <c r="I878" s="167"/>
      <c r="J878" s="168"/>
    </row>
    <row r="879" spans="1:10" s="135" customFormat="1" x14ac:dyDescent="0.2">
      <c r="A879" s="167"/>
      <c r="B879" s="167"/>
      <c r="C879" s="167"/>
      <c r="D879" s="167"/>
      <c r="E879" s="167"/>
      <c r="F879" s="167"/>
      <c r="G879" s="167"/>
      <c r="H879" s="167"/>
      <c r="I879" s="167"/>
      <c r="J879" s="168"/>
    </row>
    <row r="880" spans="1:10" s="135" customFormat="1" x14ac:dyDescent="0.2">
      <c r="A880" s="167"/>
      <c r="B880" s="167"/>
      <c r="C880" s="167"/>
      <c r="D880" s="167"/>
      <c r="E880" s="167"/>
      <c r="F880" s="167"/>
      <c r="G880" s="167"/>
      <c r="H880" s="167"/>
      <c r="I880" s="167"/>
      <c r="J880" s="168"/>
    </row>
    <row r="881" spans="1:10" s="135" customFormat="1" x14ac:dyDescent="0.2">
      <c r="A881" s="167"/>
      <c r="B881" s="167"/>
      <c r="C881" s="167"/>
      <c r="D881" s="167"/>
      <c r="E881" s="167"/>
      <c r="F881" s="167"/>
      <c r="G881" s="167"/>
      <c r="H881" s="167"/>
      <c r="I881" s="167"/>
      <c r="J881" s="168"/>
    </row>
    <row r="882" spans="1:10" s="135" customFormat="1" x14ac:dyDescent="0.2">
      <c r="A882" s="167"/>
      <c r="B882" s="167"/>
      <c r="C882" s="167"/>
      <c r="D882" s="167"/>
      <c r="E882" s="167"/>
      <c r="F882" s="167"/>
      <c r="G882" s="167"/>
      <c r="H882" s="167"/>
      <c r="I882" s="167"/>
      <c r="J882" s="168"/>
    </row>
    <row r="883" spans="1:10" s="135" customFormat="1" x14ac:dyDescent="0.2">
      <c r="A883" s="167"/>
      <c r="B883" s="167"/>
      <c r="C883" s="167"/>
      <c r="D883" s="167"/>
      <c r="E883" s="167"/>
      <c r="F883" s="167"/>
      <c r="G883" s="167"/>
      <c r="H883" s="167"/>
      <c r="I883" s="167"/>
      <c r="J883" s="168"/>
    </row>
    <row r="884" spans="1:10" s="135" customFormat="1" x14ac:dyDescent="0.2">
      <c r="A884" s="167"/>
      <c r="B884" s="167"/>
      <c r="C884" s="167"/>
      <c r="D884" s="167"/>
      <c r="E884" s="167"/>
      <c r="F884" s="167"/>
      <c r="G884" s="167"/>
      <c r="H884" s="167"/>
      <c r="I884" s="167"/>
      <c r="J884" s="168"/>
    </row>
    <row r="885" spans="1:10" s="135" customFormat="1" x14ac:dyDescent="0.2">
      <c r="A885" s="167"/>
      <c r="B885" s="167"/>
      <c r="C885" s="167"/>
      <c r="D885" s="167"/>
      <c r="E885" s="167"/>
      <c r="F885" s="167"/>
      <c r="G885" s="167"/>
      <c r="H885" s="167"/>
      <c r="I885" s="167"/>
      <c r="J885" s="168"/>
    </row>
    <row r="886" spans="1:10" s="135" customFormat="1" x14ac:dyDescent="0.2">
      <c r="A886" s="167"/>
      <c r="B886" s="167"/>
      <c r="C886" s="167"/>
      <c r="D886" s="167"/>
      <c r="E886" s="167"/>
      <c r="F886" s="167"/>
      <c r="G886" s="167"/>
      <c r="H886" s="167"/>
      <c r="I886" s="167"/>
      <c r="J886" s="168"/>
    </row>
    <row r="887" spans="1:10" s="135" customFormat="1" x14ac:dyDescent="0.2">
      <c r="A887" s="167"/>
      <c r="B887" s="167"/>
      <c r="C887" s="167"/>
      <c r="D887" s="167"/>
      <c r="E887" s="167"/>
      <c r="F887" s="167"/>
      <c r="G887" s="167"/>
      <c r="H887" s="167"/>
      <c r="I887" s="167"/>
      <c r="J887" s="168"/>
    </row>
    <row r="888" spans="1:10" s="135" customFormat="1" x14ac:dyDescent="0.2">
      <c r="A888" s="167"/>
      <c r="B888" s="167"/>
      <c r="C888" s="167"/>
      <c r="D888" s="167"/>
      <c r="E888" s="167"/>
      <c r="F888" s="167"/>
      <c r="G888" s="167"/>
      <c r="H888" s="167"/>
      <c r="I888" s="167"/>
      <c r="J888" s="168"/>
    </row>
    <row r="889" spans="1:10" s="135" customFormat="1" x14ac:dyDescent="0.2">
      <c r="A889" s="167"/>
      <c r="B889" s="167"/>
      <c r="C889" s="167"/>
      <c r="D889" s="167"/>
      <c r="E889" s="167"/>
      <c r="F889" s="167"/>
      <c r="G889" s="167"/>
      <c r="H889" s="167"/>
      <c r="I889" s="167"/>
      <c r="J889" s="168"/>
    </row>
    <row r="890" spans="1:10" s="135" customFormat="1" x14ac:dyDescent="0.2">
      <c r="A890" s="167"/>
      <c r="B890" s="167"/>
      <c r="C890" s="167"/>
      <c r="D890" s="167"/>
      <c r="E890" s="167"/>
      <c r="F890" s="167"/>
      <c r="G890" s="167"/>
      <c r="H890" s="167"/>
      <c r="I890" s="167"/>
      <c r="J890" s="168"/>
    </row>
    <row r="891" spans="1:10" s="135" customFormat="1" x14ac:dyDescent="0.2">
      <c r="A891" s="167"/>
      <c r="B891" s="167"/>
      <c r="C891" s="167"/>
      <c r="D891" s="167"/>
      <c r="E891" s="167"/>
      <c r="F891" s="167"/>
      <c r="G891" s="167"/>
      <c r="H891" s="167"/>
      <c r="I891" s="167"/>
      <c r="J891" s="168"/>
    </row>
    <row r="892" spans="1:10" s="135" customFormat="1" x14ac:dyDescent="0.2">
      <c r="A892" s="167"/>
      <c r="B892" s="167"/>
      <c r="C892" s="167"/>
      <c r="D892" s="167"/>
      <c r="E892" s="167"/>
      <c r="F892" s="167"/>
      <c r="G892" s="167"/>
      <c r="H892" s="167"/>
      <c r="I892" s="167"/>
      <c r="J892" s="168"/>
    </row>
    <row r="893" spans="1:10" s="135" customFormat="1" x14ac:dyDescent="0.2">
      <c r="A893" s="167"/>
      <c r="B893" s="167"/>
      <c r="C893" s="167"/>
      <c r="D893" s="167"/>
      <c r="E893" s="167"/>
      <c r="F893" s="167"/>
      <c r="G893" s="167"/>
      <c r="H893" s="167"/>
      <c r="I893" s="167"/>
      <c r="J893" s="168"/>
    </row>
    <row r="894" spans="1:10" s="135" customFormat="1" x14ac:dyDescent="0.2">
      <c r="A894" s="167"/>
      <c r="B894" s="167"/>
      <c r="C894" s="167"/>
      <c r="D894" s="167"/>
      <c r="E894" s="167"/>
      <c r="F894" s="167"/>
      <c r="G894" s="167"/>
      <c r="H894" s="167"/>
      <c r="I894" s="167"/>
      <c r="J894" s="168"/>
    </row>
    <row r="895" spans="1:10" s="135" customFormat="1" x14ac:dyDescent="0.2">
      <c r="A895" s="167"/>
      <c r="B895" s="167"/>
      <c r="C895" s="167"/>
      <c r="D895" s="167"/>
      <c r="E895" s="167"/>
      <c r="F895" s="167"/>
      <c r="G895" s="167"/>
      <c r="H895" s="167"/>
      <c r="I895" s="167"/>
      <c r="J895" s="168"/>
    </row>
    <row r="896" spans="1:10" s="135" customFormat="1" x14ac:dyDescent="0.2">
      <c r="A896" s="167"/>
      <c r="B896" s="167"/>
      <c r="C896" s="167"/>
      <c r="D896" s="167"/>
      <c r="E896" s="167"/>
      <c r="F896" s="167"/>
      <c r="G896" s="167"/>
      <c r="H896" s="167"/>
      <c r="I896" s="167"/>
      <c r="J896" s="168"/>
    </row>
    <row r="897" spans="1:10" s="135" customFormat="1" x14ac:dyDescent="0.2">
      <c r="A897" s="167"/>
      <c r="B897" s="167"/>
      <c r="C897" s="167"/>
      <c r="D897" s="167"/>
      <c r="E897" s="167"/>
      <c r="F897" s="167"/>
      <c r="G897" s="167"/>
      <c r="H897" s="167"/>
      <c r="I897" s="167"/>
      <c r="J897" s="168"/>
    </row>
    <row r="898" spans="1:10" s="135" customFormat="1" x14ac:dyDescent="0.2">
      <c r="A898" s="167"/>
      <c r="B898" s="167"/>
      <c r="C898" s="167"/>
      <c r="D898" s="167"/>
      <c r="E898" s="167"/>
      <c r="F898" s="167"/>
      <c r="G898" s="167"/>
      <c r="H898" s="167"/>
      <c r="I898" s="167"/>
      <c r="J898" s="168"/>
    </row>
    <row r="899" spans="1:10" s="135" customFormat="1" x14ac:dyDescent="0.2">
      <c r="A899" s="167"/>
      <c r="B899" s="167"/>
      <c r="C899" s="167"/>
      <c r="D899" s="167"/>
      <c r="E899" s="167"/>
      <c r="F899" s="167"/>
      <c r="G899" s="167"/>
      <c r="H899" s="167"/>
      <c r="I899" s="167"/>
      <c r="J899" s="168"/>
    </row>
    <row r="900" spans="1:10" s="135" customFormat="1" x14ac:dyDescent="0.2">
      <c r="A900" s="167"/>
      <c r="B900" s="167"/>
      <c r="C900" s="167"/>
      <c r="D900" s="167"/>
      <c r="E900" s="167"/>
      <c r="F900" s="167"/>
      <c r="G900" s="167"/>
      <c r="H900" s="167"/>
      <c r="I900" s="167"/>
      <c r="J900" s="168"/>
    </row>
    <row r="901" spans="1:10" s="135" customFormat="1" x14ac:dyDescent="0.2">
      <c r="A901" s="167"/>
      <c r="B901" s="167"/>
      <c r="C901" s="167"/>
      <c r="D901" s="167"/>
      <c r="E901" s="167"/>
      <c r="F901" s="167"/>
      <c r="G901" s="167"/>
      <c r="H901" s="167"/>
      <c r="I901" s="167"/>
      <c r="J901" s="168"/>
    </row>
    <row r="902" spans="1:10" s="135" customFormat="1" x14ac:dyDescent="0.2">
      <c r="A902" s="167"/>
      <c r="B902" s="167"/>
      <c r="C902" s="167"/>
      <c r="D902" s="167"/>
      <c r="E902" s="167"/>
      <c r="F902" s="167"/>
      <c r="G902" s="167"/>
      <c r="H902" s="167"/>
      <c r="I902" s="167"/>
      <c r="J902" s="168"/>
    </row>
    <row r="903" spans="1:10" s="135" customFormat="1" x14ac:dyDescent="0.2">
      <c r="A903" s="167"/>
      <c r="B903" s="167"/>
      <c r="C903" s="167"/>
      <c r="D903" s="167"/>
      <c r="E903" s="167"/>
      <c r="F903" s="167"/>
      <c r="G903" s="167"/>
      <c r="H903" s="167"/>
      <c r="I903" s="167"/>
      <c r="J903" s="168"/>
    </row>
    <row r="904" spans="1:10" s="135" customFormat="1" x14ac:dyDescent="0.2">
      <c r="A904" s="167"/>
      <c r="B904" s="167"/>
      <c r="C904" s="167"/>
      <c r="D904" s="167"/>
      <c r="E904" s="167"/>
      <c r="F904" s="167"/>
      <c r="G904" s="167"/>
      <c r="H904" s="167"/>
      <c r="I904" s="167"/>
      <c r="J904" s="168"/>
    </row>
    <row r="905" spans="1:10" s="135" customFormat="1" x14ac:dyDescent="0.2">
      <c r="A905" s="167"/>
      <c r="B905" s="167"/>
      <c r="C905" s="167"/>
      <c r="D905" s="167"/>
      <c r="E905" s="167"/>
      <c r="F905" s="167"/>
      <c r="G905" s="167"/>
      <c r="H905" s="167"/>
      <c r="I905" s="167"/>
      <c r="J905" s="168"/>
    </row>
    <row r="906" spans="1:10" s="135" customFormat="1" x14ac:dyDescent="0.2">
      <c r="A906" s="167"/>
      <c r="B906" s="167"/>
      <c r="C906" s="167"/>
      <c r="D906" s="167"/>
      <c r="E906" s="167"/>
      <c r="F906" s="167"/>
      <c r="G906" s="167"/>
      <c r="H906" s="167"/>
      <c r="I906" s="167"/>
      <c r="J906" s="168"/>
    </row>
    <row r="907" spans="1:10" s="135" customFormat="1" x14ac:dyDescent="0.2">
      <c r="A907" s="167"/>
      <c r="B907" s="167"/>
      <c r="C907" s="167"/>
      <c r="D907" s="167"/>
      <c r="E907" s="167"/>
      <c r="F907" s="167"/>
      <c r="G907" s="167"/>
      <c r="H907" s="167"/>
      <c r="I907" s="167"/>
      <c r="J907" s="168"/>
    </row>
    <row r="908" spans="1:10" s="135" customFormat="1" x14ac:dyDescent="0.2">
      <c r="A908" s="167"/>
      <c r="B908" s="167"/>
      <c r="C908" s="167"/>
      <c r="D908" s="167"/>
      <c r="E908" s="167"/>
      <c r="F908" s="167"/>
      <c r="G908" s="167"/>
      <c r="H908" s="167"/>
      <c r="I908" s="167"/>
      <c r="J908" s="168"/>
    </row>
    <row r="909" spans="1:10" s="135" customFormat="1" x14ac:dyDescent="0.2">
      <c r="A909" s="167"/>
      <c r="B909" s="167"/>
      <c r="C909" s="167"/>
      <c r="D909" s="167"/>
      <c r="E909" s="167"/>
      <c r="F909" s="167"/>
      <c r="G909" s="167"/>
      <c r="H909" s="167"/>
      <c r="I909" s="167"/>
      <c r="J909" s="168"/>
    </row>
    <row r="910" spans="1:10" s="135" customFormat="1" x14ac:dyDescent="0.2">
      <c r="A910" s="167"/>
      <c r="B910" s="167"/>
      <c r="C910" s="167"/>
      <c r="D910" s="167"/>
      <c r="E910" s="167"/>
      <c r="F910" s="167"/>
      <c r="G910" s="167"/>
      <c r="H910" s="167"/>
      <c r="I910" s="167"/>
      <c r="J910" s="168"/>
    </row>
    <row r="911" spans="1:10" s="135" customFormat="1" x14ac:dyDescent="0.2">
      <c r="A911" s="167"/>
      <c r="B911" s="167"/>
      <c r="C911" s="167"/>
      <c r="D911" s="167"/>
      <c r="E911" s="167"/>
      <c r="F911" s="167"/>
      <c r="G911" s="167"/>
      <c r="H911" s="167"/>
      <c r="I911" s="167"/>
      <c r="J911" s="168"/>
    </row>
    <row r="912" spans="1:10" s="135" customFormat="1" x14ac:dyDescent="0.2">
      <c r="A912" s="167"/>
      <c r="B912" s="167"/>
      <c r="C912" s="167"/>
      <c r="D912" s="167"/>
      <c r="E912" s="167"/>
      <c r="F912" s="167"/>
      <c r="G912" s="167"/>
      <c r="H912" s="167"/>
      <c r="I912" s="167"/>
      <c r="J912" s="168"/>
    </row>
    <row r="913" spans="1:10" s="135" customFormat="1" x14ac:dyDescent="0.2">
      <c r="A913" s="167"/>
      <c r="B913" s="167"/>
      <c r="C913" s="167"/>
      <c r="D913" s="167"/>
      <c r="E913" s="167"/>
      <c r="F913" s="167"/>
      <c r="G913" s="167"/>
      <c r="H913" s="167"/>
      <c r="I913" s="167"/>
      <c r="J913" s="168"/>
    </row>
    <row r="914" spans="1:10" s="135" customFormat="1" x14ac:dyDescent="0.2">
      <c r="A914" s="167"/>
      <c r="B914" s="167"/>
      <c r="C914" s="167"/>
      <c r="D914" s="167"/>
      <c r="E914" s="167"/>
      <c r="F914" s="167"/>
      <c r="G914" s="167"/>
      <c r="H914" s="167"/>
      <c r="I914" s="167"/>
      <c r="J914" s="168"/>
    </row>
    <row r="915" spans="1:10" s="135" customFormat="1" x14ac:dyDescent="0.2">
      <c r="A915" s="167"/>
      <c r="B915" s="167"/>
      <c r="C915" s="167"/>
      <c r="D915" s="167"/>
      <c r="E915" s="167"/>
      <c r="F915" s="167"/>
      <c r="G915" s="167"/>
      <c r="H915" s="167"/>
      <c r="I915" s="167"/>
      <c r="J915" s="168"/>
    </row>
    <row r="916" spans="1:10" s="135" customFormat="1" x14ac:dyDescent="0.2">
      <c r="A916" s="167"/>
      <c r="B916" s="167"/>
      <c r="C916" s="167"/>
      <c r="D916" s="167"/>
      <c r="E916" s="167"/>
      <c r="F916" s="167"/>
      <c r="G916" s="167"/>
      <c r="H916" s="167"/>
      <c r="I916" s="167"/>
      <c r="J916" s="168"/>
    </row>
    <row r="917" spans="1:10" s="135" customFormat="1" x14ac:dyDescent="0.2">
      <c r="A917" s="167"/>
      <c r="B917" s="167"/>
      <c r="C917" s="167"/>
      <c r="D917" s="167"/>
      <c r="E917" s="167"/>
      <c r="F917" s="167"/>
      <c r="G917" s="167"/>
      <c r="H917" s="167"/>
      <c r="I917" s="167"/>
      <c r="J917" s="168"/>
    </row>
    <row r="918" spans="1:10" s="135" customFormat="1" x14ac:dyDescent="0.2">
      <c r="A918" s="167"/>
      <c r="B918" s="167"/>
      <c r="C918" s="167"/>
      <c r="D918" s="167"/>
      <c r="E918" s="167"/>
      <c r="F918" s="167"/>
      <c r="G918" s="167"/>
      <c r="H918" s="167"/>
      <c r="I918" s="167"/>
      <c r="J918" s="168"/>
    </row>
    <row r="919" spans="1:10" s="135" customFormat="1" x14ac:dyDescent="0.2">
      <c r="A919" s="167"/>
      <c r="B919" s="167"/>
      <c r="C919" s="167"/>
      <c r="D919" s="167"/>
      <c r="E919" s="167"/>
      <c r="F919" s="167"/>
      <c r="G919" s="167"/>
      <c r="H919" s="167"/>
      <c r="I919" s="167"/>
      <c r="J919" s="168"/>
    </row>
    <row r="920" spans="1:10" s="135" customFormat="1" x14ac:dyDescent="0.2">
      <c r="A920" s="167"/>
      <c r="B920" s="167"/>
      <c r="C920" s="167"/>
      <c r="D920" s="167"/>
      <c r="E920" s="167"/>
      <c r="F920" s="167"/>
      <c r="G920" s="167"/>
      <c r="H920" s="167"/>
      <c r="I920" s="167"/>
      <c r="J920" s="168"/>
    </row>
    <row r="921" spans="1:10" s="135" customFormat="1" x14ac:dyDescent="0.2">
      <c r="A921" s="167"/>
      <c r="B921" s="167"/>
      <c r="C921" s="167"/>
      <c r="D921" s="167"/>
      <c r="E921" s="167"/>
      <c r="F921" s="167"/>
      <c r="G921" s="167"/>
      <c r="H921" s="167"/>
      <c r="I921" s="167"/>
      <c r="J921" s="168"/>
    </row>
    <row r="922" spans="1:10" s="135" customFormat="1" x14ac:dyDescent="0.2">
      <c r="A922" s="167"/>
      <c r="B922" s="167"/>
      <c r="C922" s="167"/>
      <c r="D922" s="167"/>
      <c r="E922" s="167"/>
      <c r="F922" s="167"/>
      <c r="G922" s="167"/>
      <c r="H922" s="167"/>
      <c r="I922" s="167"/>
      <c r="J922" s="168"/>
    </row>
    <row r="923" spans="1:10" s="135" customFormat="1" x14ac:dyDescent="0.2">
      <c r="A923" s="167"/>
      <c r="B923" s="167"/>
      <c r="C923" s="167"/>
      <c r="D923" s="167"/>
      <c r="E923" s="167"/>
      <c r="F923" s="167"/>
      <c r="G923" s="167"/>
      <c r="H923" s="167"/>
      <c r="I923" s="167"/>
      <c r="J923" s="168"/>
    </row>
    <row r="924" spans="1:10" s="135" customFormat="1" x14ac:dyDescent="0.2">
      <c r="A924" s="167"/>
      <c r="B924" s="167"/>
      <c r="C924" s="167"/>
      <c r="D924" s="167"/>
      <c r="E924" s="167"/>
      <c r="F924" s="167"/>
      <c r="G924" s="167"/>
      <c r="H924" s="167"/>
      <c r="I924" s="167"/>
      <c r="J924" s="168"/>
    </row>
    <row r="925" spans="1:10" s="135" customFormat="1" x14ac:dyDescent="0.2">
      <c r="A925" s="167"/>
      <c r="B925" s="167"/>
      <c r="C925" s="167"/>
      <c r="D925" s="167"/>
      <c r="E925" s="167"/>
      <c r="F925" s="167"/>
      <c r="G925" s="167"/>
      <c r="H925" s="167"/>
      <c r="I925" s="167"/>
      <c r="J925" s="168"/>
    </row>
    <row r="926" spans="1:10" s="135" customFormat="1" x14ac:dyDescent="0.2">
      <c r="A926" s="167"/>
      <c r="B926" s="167"/>
      <c r="C926" s="167"/>
      <c r="D926" s="167"/>
      <c r="E926" s="167"/>
      <c r="F926" s="167"/>
      <c r="G926" s="167"/>
      <c r="H926" s="167"/>
      <c r="I926" s="167"/>
      <c r="J926" s="168"/>
    </row>
    <row r="927" spans="1:10" s="135" customFormat="1" x14ac:dyDescent="0.2">
      <c r="A927" s="167"/>
      <c r="B927" s="167"/>
      <c r="C927" s="167"/>
      <c r="D927" s="167"/>
      <c r="E927" s="167"/>
      <c r="F927" s="167"/>
      <c r="G927" s="167"/>
      <c r="H927" s="167"/>
      <c r="I927" s="167"/>
      <c r="J927" s="168"/>
    </row>
    <row r="928" spans="1:10" s="135" customFormat="1" x14ac:dyDescent="0.2">
      <c r="A928" s="167"/>
      <c r="B928" s="167"/>
      <c r="C928" s="167"/>
      <c r="D928" s="167"/>
      <c r="E928" s="167"/>
      <c r="F928" s="167"/>
      <c r="G928" s="167"/>
      <c r="H928" s="167"/>
      <c r="I928" s="167"/>
      <c r="J928" s="168"/>
    </row>
    <row r="929" spans="1:10" s="135" customFormat="1" x14ac:dyDescent="0.2">
      <c r="A929" s="167"/>
      <c r="B929" s="167"/>
      <c r="C929" s="167"/>
      <c r="D929" s="167"/>
      <c r="E929" s="167"/>
      <c r="F929" s="167"/>
      <c r="G929" s="167"/>
      <c r="H929" s="167"/>
      <c r="I929" s="167"/>
      <c r="J929" s="168"/>
    </row>
    <row r="930" spans="1:10" s="135" customFormat="1" x14ac:dyDescent="0.2">
      <c r="A930" s="167"/>
      <c r="B930" s="167"/>
      <c r="C930" s="167"/>
      <c r="D930" s="167"/>
      <c r="E930" s="167"/>
      <c r="F930" s="167"/>
      <c r="G930" s="167"/>
      <c r="H930" s="167"/>
      <c r="I930" s="167"/>
      <c r="J930" s="168"/>
    </row>
    <row r="931" spans="1:10" s="135" customFormat="1" x14ac:dyDescent="0.2">
      <c r="A931" s="167"/>
      <c r="B931" s="167"/>
      <c r="C931" s="167"/>
      <c r="D931" s="167"/>
      <c r="E931" s="167"/>
      <c r="F931" s="167"/>
      <c r="G931" s="167"/>
      <c r="H931" s="167"/>
      <c r="I931" s="167"/>
      <c r="J931" s="168"/>
    </row>
    <row r="932" spans="1:10" s="135" customFormat="1" x14ac:dyDescent="0.2">
      <c r="A932" s="167"/>
      <c r="B932" s="167"/>
      <c r="C932" s="167"/>
      <c r="D932" s="167"/>
      <c r="E932" s="167"/>
      <c r="F932" s="167"/>
      <c r="G932" s="167"/>
      <c r="H932" s="167"/>
      <c r="I932" s="167"/>
      <c r="J932" s="168"/>
    </row>
    <row r="933" spans="1:10" s="135" customFormat="1" x14ac:dyDescent="0.2">
      <c r="A933" s="167"/>
      <c r="B933" s="167"/>
      <c r="C933" s="167"/>
      <c r="D933" s="167"/>
      <c r="E933" s="167"/>
      <c r="F933" s="167"/>
      <c r="G933" s="167"/>
      <c r="H933" s="167"/>
      <c r="I933" s="167"/>
      <c r="J933" s="168"/>
    </row>
    <row r="934" spans="1:10" s="135" customFormat="1" x14ac:dyDescent="0.2">
      <c r="A934" s="167"/>
      <c r="B934" s="167"/>
      <c r="C934" s="167"/>
      <c r="D934" s="167"/>
      <c r="E934" s="167"/>
      <c r="F934" s="167"/>
      <c r="G934" s="167"/>
      <c r="H934" s="167"/>
      <c r="I934" s="167"/>
      <c r="J934" s="168"/>
    </row>
    <row r="935" spans="1:10" s="135" customFormat="1" x14ac:dyDescent="0.2">
      <c r="A935" s="167"/>
      <c r="B935" s="167"/>
      <c r="C935" s="167"/>
      <c r="D935" s="167"/>
      <c r="E935" s="167"/>
      <c r="F935" s="167"/>
      <c r="G935" s="167"/>
      <c r="H935" s="167"/>
      <c r="I935" s="167"/>
      <c r="J935" s="168"/>
    </row>
    <row r="936" spans="1:10" s="135" customFormat="1" x14ac:dyDescent="0.2">
      <c r="A936" s="167"/>
      <c r="B936" s="167"/>
      <c r="C936" s="167"/>
      <c r="D936" s="167"/>
      <c r="E936" s="167"/>
      <c r="F936" s="167"/>
      <c r="G936" s="167"/>
      <c r="H936" s="167"/>
      <c r="I936" s="167"/>
      <c r="J936" s="168"/>
    </row>
    <row r="937" spans="1:10" s="135" customFormat="1" x14ac:dyDescent="0.2">
      <c r="A937" s="167"/>
      <c r="B937" s="167"/>
      <c r="C937" s="167"/>
      <c r="D937" s="167"/>
      <c r="E937" s="167"/>
      <c r="F937" s="167"/>
      <c r="G937" s="167"/>
      <c r="H937" s="167"/>
      <c r="I937" s="167"/>
      <c r="J937" s="168"/>
    </row>
    <row r="938" spans="1:10" s="135" customFormat="1" x14ac:dyDescent="0.2">
      <c r="A938" s="167"/>
      <c r="B938" s="167"/>
      <c r="C938" s="167"/>
      <c r="D938" s="167"/>
      <c r="E938" s="167"/>
      <c r="F938" s="167"/>
      <c r="G938" s="167"/>
      <c r="H938" s="167"/>
      <c r="I938" s="167"/>
      <c r="J938" s="168"/>
    </row>
    <row r="939" spans="1:10" s="135" customFormat="1" x14ac:dyDescent="0.2">
      <c r="A939" s="167"/>
      <c r="B939" s="167"/>
      <c r="C939" s="167"/>
      <c r="D939" s="167"/>
      <c r="E939" s="167"/>
      <c r="F939" s="167"/>
      <c r="G939" s="167"/>
      <c r="H939" s="167"/>
      <c r="I939" s="167"/>
      <c r="J939" s="168"/>
    </row>
    <row r="940" spans="1:10" s="135" customFormat="1" x14ac:dyDescent="0.2">
      <c r="A940" s="167"/>
      <c r="B940" s="167"/>
      <c r="C940" s="167"/>
      <c r="D940" s="167"/>
      <c r="E940" s="167"/>
      <c r="F940" s="167"/>
      <c r="G940" s="167"/>
      <c r="H940" s="167"/>
      <c r="I940" s="167"/>
      <c r="J940" s="168"/>
    </row>
    <row r="941" spans="1:10" s="135" customFormat="1" x14ac:dyDescent="0.2">
      <c r="A941" s="167"/>
      <c r="B941" s="167"/>
      <c r="C941" s="167"/>
      <c r="D941" s="167"/>
      <c r="E941" s="167"/>
      <c r="F941" s="167"/>
      <c r="G941" s="167"/>
      <c r="H941" s="167"/>
      <c r="I941" s="167"/>
      <c r="J941" s="168"/>
    </row>
    <row r="942" spans="1:10" s="135" customFormat="1" x14ac:dyDescent="0.2">
      <c r="A942" s="167"/>
      <c r="B942" s="167"/>
      <c r="C942" s="167"/>
      <c r="D942" s="167"/>
      <c r="E942" s="167"/>
      <c r="F942" s="167"/>
      <c r="G942" s="167"/>
      <c r="H942" s="167"/>
      <c r="I942" s="167"/>
      <c r="J942" s="168"/>
    </row>
    <row r="943" spans="1:10" s="135" customFormat="1" x14ac:dyDescent="0.2">
      <c r="A943" s="167"/>
      <c r="B943" s="167"/>
      <c r="C943" s="167"/>
      <c r="D943" s="167"/>
      <c r="E943" s="167"/>
      <c r="F943" s="167"/>
      <c r="G943" s="167"/>
      <c r="H943" s="167"/>
      <c r="I943" s="167"/>
      <c r="J943" s="168"/>
    </row>
    <row r="944" spans="1:10" s="135" customFormat="1" x14ac:dyDescent="0.2">
      <c r="A944" s="167"/>
      <c r="B944" s="167"/>
      <c r="C944" s="167"/>
      <c r="D944" s="167"/>
      <c r="E944" s="167"/>
      <c r="F944" s="167"/>
      <c r="G944" s="167"/>
      <c r="H944" s="167"/>
      <c r="I944" s="167"/>
      <c r="J944" s="168"/>
    </row>
    <row r="945" spans="1:10" s="135" customFormat="1" x14ac:dyDescent="0.2">
      <c r="A945" s="167"/>
      <c r="B945" s="167"/>
      <c r="C945" s="167"/>
      <c r="D945" s="167"/>
      <c r="E945" s="167"/>
      <c r="F945" s="167"/>
      <c r="G945" s="167"/>
      <c r="H945" s="167"/>
      <c r="I945" s="167"/>
      <c r="J945" s="168"/>
    </row>
    <row r="946" spans="1:10" s="135" customFormat="1" x14ac:dyDescent="0.2">
      <c r="A946" s="167"/>
      <c r="B946" s="167"/>
      <c r="C946" s="167"/>
      <c r="D946" s="167"/>
      <c r="E946" s="167"/>
      <c r="F946" s="167"/>
      <c r="G946" s="167"/>
      <c r="H946" s="167"/>
      <c r="I946" s="167"/>
      <c r="J946" s="168"/>
    </row>
    <row r="947" spans="1:10" s="135" customFormat="1" x14ac:dyDescent="0.2">
      <c r="A947" s="167"/>
      <c r="B947" s="167"/>
      <c r="C947" s="167"/>
      <c r="D947" s="167"/>
      <c r="E947" s="167"/>
      <c r="F947" s="167"/>
      <c r="G947" s="167"/>
      <c r="H947" s="167"/>
      <c r="I947" s="167"/>
      <c r="J947" s="168"/>
    </row>
    <row r="948" spans="1:10" s="135" customFormat="1" x14ac:dyDescent="0.2">
      <c r="A948" s="167"/>
      <c r="B948" s="167"/>
      <c r="C948" s="167"/>
      <c r="D948" s="167"/>
      <c r="E948" s="167"/>
      <c r="F948" s="167"/>
      <c r="G948" s="167"/>
      <c r="H948" s="167"/>
      <c r="I948" s="167"/>
      <c r="J948" s="168"/>
    </row>
    <row r="949" spans="1:10" s="135" customFormat="1" x14ac:dyDescent="0.2">
      <c r="A949" s="167"/>
      <c r="B949" s="167"/>
      <c r="C949" s="167"/>
      <c r="D949" s="167"/>
      <c r="E949" s="167"/>
      <c r="F949" s="167"/>
      <c r="G949" s="167"/>
      <c r="H949" s="167"/>
      <c r="I949" s="167"/>
      <c r="J949" s="168"/>
    </row>
    <row r="950" spans="1:10" s="135" customFormat="1" x14ac:dyDescent="0.2">
      <c r="A950" s="167"/>
      <c r="B950" s="167"/>
      <c r="C950" s="167"/>
      <c r="D950" s="167"/>
      <c r="E950" s="167"/>
      <c r="F950" s="167"/>
      <c r="G950" s="167"/>
      <c r="H950" s="167"/>
      <c r="I950" s="167"/>
      <c r="J950" s="168"/>
    </row>
    <row r="951" spans="1:10" s="135" customFormat="1" x14ac:dyDescent="0.2">
      <c r="A951" s="167"/>
      <c r="B951" s="167"/>
      <c r="C951" s="167"/>
      <c r="D951" s="167"/>
      <c r="E951" s="167"/>
      <c r="F951" s="167"/>
      <c r="G951" s="167"/>
      <c r="H951" s="167"/>
      <c r="I951" s="167"/>
      <c r="J951" s="168"/>
    </row>
    <row r="952" spans="1:10" s="135" customFormat="1" x14ac:dyDescent="0.2">
      <c r="A952" s="167"/>
      <c r="B952" s="167"/>
      <c r="C952" s="167"/>
      <c r="D952" s="167"/>
      <c r="E952" s="167"/>
      <c r="F952" s="167"/>
      <c r="G952" s="167"/>
      <c r="H952" s="167"/>
      <c r="I952" s="167"/>
      <c r="J952" s="168"/>
    </row>
    <row r="953" spans="1:10" s="135" customFormat="1" x14ac:dyDescent="0.2">
      <c r="A953" s="167"/>
      <c r="B953" s="167"/>
      <c r="C953" s="167"/>
      <c r="D953" s="167"/>
      <c r="E953" s="167"/>
      <c r="F953" s="167"/>
      <c r="G953" s="167"/>
      <c r="H953" s="167"/>
      <c r="I953" s="167"/>
      <c r="J953" s="168"/>
    </row>
    <row r="954" spans="1:10" s="135" customFormat="1" x14ac:dyDescent="0.2">
      <c r="A954" s="167"/>
      <c r="B954" s="167"/>
      <c r="C954" s="167"/>
      <c r="D954" s="167"/>
      <c r="E954" s="167"/>
      <c r="F954" s="167"/>
      <c r="G954" s="167"/>
      <c r="H954" s="167"/>
      <c r="I954" s="167"/>
      <c r="J954" s="168"/>
    </row>
    <row r="955" spans="1:10" s="135" customFormat="1" x14ac:dyDescent="0.2">
      <c r="A955" s="167"/>
      <c r="B955" s="167"/>
      <c r="C955" s="167"/>
      <c r="D955" s="167"/>
      <c r="E955" s="167"/>
      <c r="F955" s="167"/>
      <c r="G955" s="167"/>
      <c r="H955" s="167"/>
      <c r="I955" s="167"/>
      <c r="J955" s="168"/>
    </row>
    <row r="956" spans="1:10" s="135" customFormat="1" x14ac:dyDescent="0.2">
      <c r="A956" s="167"/>
      <c r="B956" s="167"/>
      <c r="C956" s="167"/>
      <c r="D956" s="167"/>
      <c r="E956" s="167"/>
      <c r="F956" s="167"/>
      <c r="G956" s="167"/>
      <c r="H956" s="167"/>
      <c r="I956" s="167"/>
      <c r="J956" s="168"/>
    </row>
    <row r="957" spans="1:10" s="135" customFormat="1" x14ac:dyDescent="0.2">
      <c r="A957" s="167"/>
      <c r="B957" s="167"/>
      <c r="C957" s="167"/>
      <c r="D957" s="167"/>
      <c r="E957" s="167"/>
      <c r="F957" s="167"/>
      <c r="G957" s="167"/>
      <c r="H957" s="167"/>
      <c r="I957" s="167"/>
      <c r="J957" s="168"/>
    </row>
    <row r="958" spans="1:10" s="135" customFormat="1" x14ac:dyDescent="0.2">
      <c r="A958" s="167"/>
      <c r="B958" s="167"/>
      <c r="C958" s="167"/>
      <c r="D958" s="167"/>
      <c r="E958" s="167"/>
      <c r="F958" s="167"/>
      <c r="G958" s="167"/>
      <c r="H958" s="167"/>
      <c r="I958" s="167"/>
      <c r="J958" s="168"/>
    </row>
    <row r="959" spans="1:10" s="135" customFormat="1" x14ac:dyDescent="0.2">
      <c r="A959" s="167"/>
      <c r="B959" s="167"/>
      <c r="C959" s="167"/>
      <c r="D959" s="167"/>
      <c r="E959" s="167"/>
      <c r="F959" s="167"/>
      <c r="G959" s="167"/>
      <c r="H959" s="167"/>
      <c r="I959" s="167"/>
      <c r="J959" s="168"/>
    </row>
    <row r="960" spans="1:10" s="135" customFormat="1" x14ac:dyDescent="0.2">
      <c r="A960" s="167"/>
      <c r="B960" s="167"/>
      <c r="C960" s="167"/>
      <c r="D960" s="167"/>
      <c r="E960" s="167"/>
      <c r="F960" s="167"/>
      <c r="G960" s="167"/>
      <c r="H960" s="167"/>
      <c r="I960" s="167"/>
      <c r="J960" s="168"/>
    </row>
    <row r="961" spans="1:10" s="135" customFormat="1" x14ac:dyDescent="0.2">
      <c r="A961" s="167"/>
      <c r="B961" s="167"/>
      <c r="C961" s="167"/>
      <c r="D961" s="167"/>
      <c r="E961" s="167"/>
      <c r="F961" s="167"/>
      <c r="G961" s="167"/>
      <c r="H961" s="167"/>
      <c r="I961" s="167"/>
      <c r="J961" s="168"/>
    </row>
    <row r="962" spans="1:10" s="135" customFormat="1" x14ac:dyDescent="0.2">
      <c r="A962" s="167"/>
      <c r="B962" s="167"/>
      <c r="C962" s="167"/>
      <c r="D962" s="167"/>
      <c r="E962" s="167"/>
      <c r="F962" s="167"/>
      <c r="G962" s="167"/>
      <c r="H962" s="167"/>
      <c r="I962" s="167"/>
      <c r="J962" s="168"/>
    </row>
    <row r="963" spans="1:10" s="135" customFormat="1" x14ac:dyDescent="0.2">
      <c r="A963" s="167"/>
      <c r="B963" s="167"/>
      <c r="C963" s="167"/>
      <c r="D963" s="167"/>
      <c r="E963" s="167"/>
      <c r="F963" s="167"/>
      <c r="G963" s="167"/>
      <c r="H963" s="167"/>
      <c r="I963" s="167"/>
      <c r="J963" s="168"/>
    </row>
    <row r="964" spans="1:10" s="135" customFormat="1" x14ac:dyDescent="0.2">
      <c r="A964" s="167"/>
      <c r="B964" s="167"/>
      <c r="C964" s="167"/>
      <c r="D964" s="167"/>
      <c r="E964" s="167"/>
      <c r="F964" s="167"/>
      <c r="G964" s="167"/>
      <c r="H964" s="167"/>
      <c r="I964" s="167"/>
      <c r="J964" s="168"/>
    </row>
    <row r="965" spans="1:10" s="135" customFormat="1" x14ac:dyDescent="0.2">
      <c r="A965" s="167"/>
      <c r="B965" s="167"/>
      <c r="C965" s="167"/>
      <c r="D965" s="167"/>
      <c r="E965" s="167"/>
      <c r="F965" s="167"/>
      <c r="G965" s="167"/>
      <c r="H965" s="167"/>
      <c r="I965" s="167"/>
      <c r="J965" s="168"/>
    </row>
    <row r="966" spans="1:10" s="135" customFormat="1" x14ac:dyDescent="0.2">
      <c r="A966" s="167"/>
      <c r="B966" s="167"/>
      <c r="C966" s="167"/>
      <c r="D966" s="167"/>
      <c r="E966" s="167"/>
      <c r="F966" s="167"/>
      <c r="G966" s="167"/>
      <c r="H966" s="167"/>
      <c r="I966" s="167"/>
      <c r="J966" s="168"/>
    </row>
    <row r="967" spans="1:10" s="135" customFormat="1" x14ac:dyDescent="0.2">
      <c r="A967" s="167"/>
      <c r="B967" s="167"/>
      <c r="C967" s="167"/>
      <c r="D967" s="167"/>
      <c r="E967" s="167"/>
      <c r="F967" s="167"/>
      <c r="G967" s="167"/>
      <c r="H967" s="167"/>
      <c r="I967" s="167"/>
      <c r="J967" s="168"/>
    </row>
    <row r="968" spans="1:10" s="135" customFormat="1" x14ac:dyDescent="0.2">
      <c r="A968" s="167"/>
      <c r="B968" s="167"/>
      <c r="C968" s="167"/>
      <c r="D968" s="167"/>
      <c r="E968" s="167"/>
      <c r="F968" s="167"/>
      <c r="G968" s="167"/>
      <c r="H968" s="167"/>
      <c r="I968" s="167"/>
      <c r="J968" s="168"/>
    </row>
    <row r="969" spans="1:10" s="135" customFormat="1" x14ac:dyDescent="0.2">
      <c r="A969" s="167"/>
      <c r="B969" s="167"/>
      <c r="C969" s="167"/>
      <c r="D969" s="167"/>
      <c r="E969" s="167"/>
      <c r="F969" s="167"/>
      <c r="G969" s="167"/>
      <c r="H969" s="167"/>
      <c r="I969" s="167"/>
      <c r="J969" s="168"/>
    </row>
    <row r="970" spans="1:10" s="135" customFormat="1" x14ac:dyDescent="0.2">
      <c r="A970" s="167"/>
      <c r="B970" s="167"/>
      <c r="C970" s="167"/>
      <c r="D970" s="167"/>
      <c r="E970" s="167"/>
      <c r="F970" s="167"/>
      <c r="G970" s="167"/>
      <c r="H970" s="167"/>
      <c r="I970" s="167"/>
      <c r="J970" s="168"/>
    </row>
    <row r="971" spans="1:10" s="135" customFormat="1" x14ac:dyDescent="0.2">
      <c r="A971" s="167"/>
      <c r="B971" s="167"/>
      <c r="C971" s="167"/>
      <c r="D971" s="167"/>
      <c r="E971" s="167"/>
      <c r="F971" s="167"/>
      <c r="G971" s="167"/>
      <c r="H971" s="167"/>
      <c r="I971" s="167"/>
      <c r="J971" s="168"/>
    </row>
    <row r="972" spans="1:10" s="135" customFormat="1" x14ac:dyDescent="0.2">
      <c r="A972" s="167"/>
      <c r="B972" s="167"/>
      <c r="C972" s="167"/>
      <c r="D972" s="167"/>
      <c r="E972" s="167"/>
      <c r="F972" s="167"/>
      <c r="G972" s="167"/>
      <c r="H972" s="167"/>
      <c r="I972" s="167"/>
      <c r="J972" s="168"/>
    </row>
    <row r="973" spans="1:10" s="135" customFormat="1" x14ac:dyDescent="0.2">
      <c r="A973" s="167"/>
      <c r="B973" s="167"/>
      <c r="C973" s="167"/>
      <c r="D973" s="167"/>
      <c r="E973" s="167"/>
      <c r="F973" s="167"/>
      <c r="G973" s="167"/>
      <c r="H973" s="167"/>
      <c r="I973" s="167"/>
      <c r="J973" s="168"/>
    </row>
    <row r="974" spans="1:10" s="135" customFormat="1" x14ac:dyDescent="0.2">
      <c r="A974" s="167"/>
      <c r="B974" s="167"/>
      <c r="C974" s="167"/>
      <c r="D974" s="167"/>
      <c r="E974" s="167"/>
      <c r="F974" s="167"/>
      <c r="G974" s="167"/>
      <c r="H974" s="167"/>
      <c r="I974" s="167"/>
      <c r="J974" s="168"/>
    </row>
    <row r="975" spans="1:10" s="135" customFormat="1" x14ac:dyDescent="0.2">
      <c r="A975" s="167"/>
      <c r="B975" s="167"/>
      <c r="C975" s="167"/>
      <c r="D975" s="167"/>
      <c r="E975" s="167"/>
      <c r="F975" s="167"/>
      <c r="G975" s="167"/>
      <c r="H975" s="167"/>
      <c r="I975" s="167"/>
      <c r="J975" s="168"/>
    </row>
    <row r="976" spans="1:10" s="135" customFormat="1" x14ac:dyDescent="0.2">
      <c r="A976" s="167"/>
      <c r="B976" s="167"/>
      <c r="C976" s="167"/>
      <c r="D976" s="167"/>
      <c r="E976" s="167"/>
      <c r="F976" s="167"/>
      <c r="G976" s="167"/>
      <c r="H976" s="167"/>
      <c r="I976" s="167"/>
      <c r="J976" s="168"/>
    </row>
    <row r="977" spans="1:10" s="135" customFormat="1" x14ac:dyDescent="0.2">
      <c r="A977" s="167"/>
      <c r="B977" s="167"/>
      <c r="C977" s="167"/>
      <c r="D977" s="167"/>
      <c r="E977" s="167"/>
      <c r="F977" s="167"/>
      <c r="G977" s="167"/>
      <c r="H977" s="167"/>
      <c r="I977" s="167"/>
      <c r="J977" s="168"/>
    </row>
    <row r="978" spans="1:10" s="135" customFormat="1" x14ac:dyDescent="0.2">
      <c r="A978" s="167"/>
      <c r="B978" s="167"/>
      <c r="C978" s="167"/>
      <c r="D978" s="167"/>
      <c r="E978" s="167"/>
      <c r="F978" s="167"/>
      <c r="G978" s="167"/>
      <c r="H978" s="167"/>
      <c r="I978" s="167"/>
      <c r="J978" s="168"/>
    </row>
    <row r="979" spans="1:10" s="135" customFormat="1" x14ac:dyDescent="0.2">
      <c r="A979" s="167"/>
      <c r="B979" s="167"/>
      <c r="C979" s="167"/>
      <c r="D979" s="167"/>
      <c r="E979" s="167"/>
      <c r="F979" s="167"/>
      <c r="G979" s="167"/>
      <c r="H979" s="167"/>
      <c r="I979" s="167"/>
      <c r="J979" s="168"/>
    </row>
    <row r="980" spans="1:10" s="135" customFormat="1" x14ac:dyDescent="0.2">
      <c r="A980" s="167"/>
      <c r="B980" s="167"/>
      <c r="C980" s="167"/>
      <c r="D980" s="167"/>
      <c r="E980" s="167"/>
      <c r="F980" s="167"/>
      <c r="G980" s="167"/>
      <c r="H980" s="167"/>
      <c r="I980" s="167"/>
      <c r="J980" s="168"/>
    </row>
    <row r="981" spans="1:10" s="135" customFormat="1" x14ac:dyDescent="0.2">
      <c r="A981" s="167"/>
      <c r="B981" s="167"/>
      <c r="C981" s="167"/>
      <c r="D981" s="167"/>
      <c r="E981" s="167"/>
      <c r="F981" s="167"/>
      <c r="G981" s="167"/>
      <c r="H981" s="167"/>
      <c r="I981" s="167"/>
      <c r="J981" s="168"/>
    </row>
    <row r="982" spans="1:10" s="135" customFormat="1" x14ac:dyDescent="0.2">
      <c r="A982" s="167"/>
      <c r="B982" s="167"/>
      <c r="C982" s="167"/>
      <c r="D982" s="167"/>
      <c r="E982" s="167"/>
      <c r="F982" s="167"/>
      <c r="G982" s="167"/>
      <c r="H982" s="167"/>
      <c r="I982" s="167"/>
      <c r="J982" s="168"/>
    </row>
    <row r="983" spans="1:10" s="135" customFormat="1" x14ac:dyDescent="0.2">
      <c r="A983" s="167"/>
      <c r="B983" s="167"/>
      <c r="C983" s="167"/>
      <c r="D983" s="167"/>
      <c r="E983" s="167"/>
      <c r="F983" s="167"/>
      <c r="G983" s="167"/>
      <c r="H983" s="167"/>
      <c r="I983" s="167"/>
      <c r="J983" s="168"/>
    </row>
    <row r="984" spans="1:10" s="135" customFormat="1" x14ac:dyDescent="0.2">
      <c r="A984" s="167"/>
      <c r="B984" s="167"/>
      <c r="C984" s="167"/>
      <c r="D984" s="167"/>
      <c r="E984" s="167"/>
      <c r="F984" s="167"/>
      <c r="G984" s="167"/>
      <c r="H984" s="167"/>
      <c r="I984" s="167"/>
      <c r="J984" s="168"/>
    </row>
    <row r="985" spans="1:10" s="135" customFormat="1" x14ac:dyDescent="0.2">
      <c r="A985" s="167"/>
      <c r="B985" s="167"/>
      <c r="C985" s="167"/>
      <c r="D985" s="167"/>
      <c r="E985" s="167"/>
      <c r="F985" s="167"/>
      <c r="G985" s="167"/>
      <c r="H985" s="167"/>
      <c r="I985" s="167"/>
      <c r="J985" s="168"/>
    </row>
    <row r="986" spans="1:10" s="135" customFormat="1" x14ac:dyDescent="0.2">
      <c r="A986" s="167"/>
      <c r="B986" s="167"/>
      <c r="C986" s="167"/>
      <c r="D986" s="167"/>
      <c r="E986" s="167"/>
      <c r="F986" s="167"/>
      <c r="G986" s="167"/>
      <c r="H986" s="167"/>
      <c r="I986" s="167"/>
      <c r="J986" s="168"/>
    </row>
    <row r="987" spans="1:10" s="135" customFormat="1" x14ac:dyDescent="0.2">
      <c r="A987" s="167"/>
      <c r="B987" s="167"/>
      <c r="C987" s="167"/>
      <c r="D987" s="167"/>
      <c r="E987" s="167"/>
      <c r="F987" s="167"/>
      <c r="G987" s="167"/>
      <c r="H987" s="167"/>
      <c r="I987" s="167"/>
      <c r="J987" s="168"/>
    </row>
    <row r="988" spans="1:10" s="135" customFormat="1" x14ac:dyDescent="0.2">
      <c r="A988" s="167"/>
      <c r="B988" s="167"/>
      <c r="C988" s="167"/>
      <c r="D988" s="167"/>
      <c r="E988" s="167"/>
      <c r="F988" s="167"/>
      <c r="G988" s="167"/>
      <c r="H988" s="167"/>
      <c r="I988" s="167"/>
      <c r="J988" s="168"/>
    </row>
    <row r="989" spans="1:10" s="135" customFormat="1" x14ac:dyDescent="0.2">
      <c r="A989" s="167"/>
      <c r="B989" s="167"/>
      <c r="C989" s="167"/>
      <c r="D989" s="167"/>
      <c r="E989" s="167"/>
      <c r="F989" s="167"/>
      <c r="G989" s="167"/>
      <c r="H989" s="167"/>
      <c r="I989" s="167"/>
      <c r="J989" s="168"/>
    </row>
    <row r="990" spans="1:10" s="135" customFormat="1" x14ac:dyDescent="0.2">
      <c r="A990" s="167"/>
      <c r="B990" s="167"/>
      <c r="C990" s="167"/>
      <c r="D990" s="167"/>
      <c r="E990" s="167"/>
      <c r="F990" s="167"/>
      <c r="G990" s="167"/>
      <c r="H990" s="167"/>
      <c r="I990" s="167"/>
      <c r="J990" s="168"/>
    </row>
  </sheetData>
  <mergeCells count="8">
    <mergeCell ref="AA6:AD27"/>
    <mergeCell ref="V6:Y27"/>
    <mergeCell ref="L42:O63"/>
    <mergeCell ref="L34:O41"/>
    <mergeCell ref="L7:O28"/>
    <mergeCell ref="Q6:T27"/>
    <mergeCell ref="Q28:T28"/>
    <mergeCell ref="V28:Y28"/>
  </mergeCells>
  <conditionalFormatting sqref="J5:J163">
    <cfRule type="cellIs" dxfId="22" priority="1" operator="lessThan">
      <formula>0</formula>
    </cfRule>
    <cfRule type="cellIs" dxfId="21" priority="2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D5 D6:D122" unlocked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>
    <tabColor rgb="FF006600"/>
    <pageSetUpPr fitToPage="1"/>
  </sheetPr>
  <dimension ref="A1:NI5572"/>
  <sheetViews>
    <sheetView zoomScaleNormal="100" workbookViewId="0">
      <pane xSplit="13" ySplit="17" topLeftCell="N18" activePane="bottomRight" state="frozen"/>
      <selection pane="bottomLeft" activeCell="A27" sqref="A27"/>
      <selection pane="topRight" activeCell="R1" sqref="R1"/>
      <selection pane="bottomRight" activeCell="R1" sqref="R1"/>
    </sheetView>
  </sheetViews>
  <sheetFormatPr defaultColWidth="11.43359375" defaultRowHeight="15" x14ac:dyDescent="0.2"/>
  <cols>
    <col min="1" max="1" width="5.109375" style="39" customWidth="1"/>
    <col min="2" max="2" width="7.6640625" style="39" customWidth="1"/>
    <col min="3" max="3" width="16.0078125" style="39" bestFit="1" customWidth="1"/>
    <col min="4" max="4" width="9.14453125" style="39" bestFit="1" customWidth="1"/>
    <col min="5" max="5" width="9.4140625" style="39" bestFit="1" customWidth="1"/>
    <col min="6" max="6" width="9.28125" style="39" bestFit="1" customWidth="1"/>
    <col min="7" max="7" width="7.6640625" style="39" bestFit="1" customWidth="1"/>
    <col min="8" max="8" width="11.296875" style="39" bestFit="1" customWidth="1"/>
    <col min="9" max="9" width="13.44921875" style="39" bestFit="1" customWidth="1"/>
    <col min="10" max="10" width="14.66015625" style="39" bestFit="1" customWidth="1"/>
    <col min="11" max="11" width="9.01171875" style="39" bestFit="1" customWidth="1"/>
    <col min="12" max="12" width="9.55078125" style="39" bestFit="1" customWidth="1"/>
    <col min="13" max="16384" width="11.43359375" style="39"/>
  </cols>
  <sheetData>
    <row r="1" spans="1:373" x14ac:dyDescent="0.2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  <c r="HM1" s="38"/>
      <c r="HN1" s="38"/>
      <c r="HO1" s="38"/>
      <c r="HP1" s="38"/>
      <c r="HQ1" s="38"/>
      <c r="HR1" s="38"/>
      <c r="HS1" s="38"/>
      <c r="HT1" s="38"/>
      <c r="HU1" s="38"/>
      <c r="HV1" s="38"/>
      <c r="HW1" s="38"/>
      <c r="HX1" s="38"/>
      <c r="HY1" s="38"/>
      <c r="HZ1" s="38"/>
      <c r="IA1" s="38"/>
      <c r="IB1" s="38"/>
      <c r="IC1" s="38"/>
      <c r="ID1" s="38"/>
      <c r="IE1" s="38"/>
      <c r="IF1" s="38"/>
      <c r="IG1" s="38"/>
      <c r="IH1" s="38"/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  <c r="IW1" s="38"/>
      <c r="IX1" s="38"/>
      <c r="IY1" s="38"/>
      <c r="IZ1" s="38"/>
      <c r="JA1" s="38"/>
      <c r="JB1" s="38"/>
      <c r="JC1" s="38"/>
      <c r="JD1" s="38"/>
      <c r="JE1" s="38"/>
      <c r="JF1" s="38"/>
      <c r="JG1" s="38"/>
      <c r="JH1" s="38"/>
      <c r="JI1" s="38"/>
      <c r="JJ1" s="38"/>
      <c r="JK1" s="38"/>
      <c r="JL1" s="38"/>
      <c r="JM1" s="38"/>
      <c r="JN1" s="38"/>
      <c r="JO1" s="38"/>
      <c r="JP1" s="38"/>
      <c r="JQ1" s="38"/>
      <c r="JR1" s="38"/>
      <c r="JS1" s="38"/>
      <c r="JT1" s="38"/>
      <c r="JU1" s="38"/>
      <c r="JV1" s="38"/>
      <c r="JW1" s="38"/>
      <c r="JX1" s="38"/>
      <c r="JY1" s="38"/>
      <c r="JZ1" s="38"/>
      <c r="KA1" s="38"/>
      <c r="KB1" s="38"/>
      <c r="KC1" s="38"/>
      <c r="KD1" s="38"/>
      <c r="KE1" s="38"/>
      <c r="KF1" s="38"/>
      <c r="KG1" s="38"/>
      <c r="KH1" s="38"/>
      <c r="KI1" s="38"/>
      <c r="KJ1" s="38"/>
      <c r="KK1" s="38"/>
      <c r="KL1" s="38"/>
      <c r="KM1" s="38"/>
      <c r="KN1" s="38"/>
      <c r="KO1" s="38"/>
      <c r="KP1" s="38"/>
      <c r="KQ1" s="38"/>
      <c r="KR1" s="38"/>
      <c r="KS1" s="38"/>
      <c r="KT1" s="38"/>
      <c r="KU1" s="38"/>
      <c r="KV1" s="38"/>
      <c r="KW1" s="38"/>
      <c r="KX1" s="38"/>
      <c r="KY1" s="38"/>
      <c r="KZ1" s="38"/>
      <c r="LA1" s="38"/>
      <c r="LB1" s="38"/>
      <c r="LC1" s="38"/>
      <c r="LD1" s="38"/>
      <c r="LE1" s="38"/>
      <c r="LF1" s="38"/>
      <c r="LG1" s="38"/>
      <c r="LH1" s="38"/>
      <c r="LI1" s="38"/>
      <c r="LJ1" s="38"/>
      <c r="LK1" s="38"/>
      <c r="LL1" s="38"/>
      <c r="LM1" s="38"/>
      <c r="LN1" s="38"/>
      <c r="LO1" s="38"/>
      <c r="LP1" s="38"/>
      <c r="LQ1" s="38"/>
      <c r="LR1" s="38"/>
      <c r="LS1" s="38"/>
      <c r="LT1" s="38"/>
      <c r="LU1" s="38"/>
      <c r="LV1" s="38"/>
      <c r="LW1" s="38"/>
      <c r="LX1" s="38"/>
      <c r="LY1" s="38"/>
      <c r="LZ1" s="38"/>
      <c r="MA1" s="38"/>
      <c r="MB1" s="38"/>
      <c r="MC1" s="38"/>
      <c r="MD1" s="38"/>
      <c r="ME1" s="38"/>
      <c r="MF1" s="38"/>
      <c r="MG1" s="38"/>
      <c r="MH1" s="38"/>
      <c r="MI1" s="38"/>
      <c r="MJ1" s="38"/>
      <c r="MK1" s="38"/>
      <c r="ML1" s="38"/>
      <c r="MM1" s="38"/>
      <c r="MN1" s="38"/>
      <c r="MO1" s="38"/>
      <c r="MP1" s="38"/>
      <c r="MQ1" s="38"/>
      <c r="MR1" s="38"/>
      <c r="MS1" s="38"/>
      <c r="MT1" s="38"/>
      <c r="MU1" s="38"/>
      <c r="MV1" s="38"/>
      <c r="MW1" s="38"/>
      <c r="MX1" s="38"/>
      <c r="MY1" s="38"/>
      <c r="MZ1" s="38"/>
      <c r="NA1" s="38"/>
      <c r="NB1" s="38"/>
      <c r="NC1" s="38"/>
      <c r="ND1" s="38"/>
      <c r="NE1" s="38"/>
      <c r="NF1" s="38"/>
      <c r="NG1" s="38"/>
      <c r="NH1" s="38"/>
      <c r="NI1" s="38"/>
    </row>
    <row r="2" spans="1:373" ht="15" customHeight="1" x14ac:dyDescent="0.2">
      <c r="A2" s="38"/>
      <c r="B2" s="768" t="s">
        <v>20</v>
      </c>
      <c r="C2" s="768"/>
      <c r="D2" s="768"/>
      <c r="E2" s="768"/>
      <c r="F2" s="768"/>
      <c r="G2" s="768"/>
      <c r="H2" s="768"/>
      <c r="I2" s="768"/>
      <c r="J2" s="768"/>
      <c r="K2" s="768"/>
      <c r="L2" s="768"/>
      <c r="M2" s="76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</row>
    <row r="3" spans="1:373" ht="15" customHeight="1" x14ac:dyDescent="0.2">
      <c r="A3" s="38"/>
      <c r="B3" s="768"/>
      <c r="C3" s="768"/>
      <c r="D3" s="768"/>
      <c r="E3" s="768"/>
      <c r="F3" s="768"/>
      <c r="G3" s="768"/>
      <c r="H3" s="768"/>
      <c r="I3" s="768"/>
      <c r="J3" s="768"/>
      <c r="K3" s="768"/>
      <c r="L3" s="768"/>
      <c r="M3" s="768"/>
      <c r="N3" s="38"/>
      <c r="O3" s="38"/>
      <c r="P3" s="38"/>
      <c r="Q3" s="38"/>
      <c r="R3" s="38"/>
      <c r="S3" s="38"/>
      <c r="T3" s="38"/>
      <c r="U3" s="38"/>
      <c r="V3" s="38"/>
      <c r="W3" s="41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  <c r="IW3" s="38"/>
      <c r="IX3" s="38"/>
      <c r="IY3" s="38"/>
      <c r="IZ3" s="38"/>
      <c r="JA3" s="38"/>
      <c r="JB3" s="38"/>
      <c r="JC3" s="38"/>
      <c r="JD3" s="38"/>
      <c r="JE3" s="38"/>
      <c r="JF3" s="38"/>
      <c r="JG3" s="38"/>
      <c r="JH3" s="38"/>
      <c r="JI3" s="38"/>
      <c r="JJ3" s="38"/>
      <c r="JK3" s="38"/>
      <c r="JL3" s="38"/>
      <c r="JM3" s="38"/>
      <c r="JN3" s="38"/>
      <c r="JO3" s="38"/>
      <c r="JP3" s="38"/>
      <c r="JQ3" s="38"/>
      <c r="JR3" s="38"/>
      <c r="JS3" s="38"/>
      <c r="JT3" s="38"/>
      <c r="JU3" s="38"/>
      <c r="JV3" s="38"/>
      <c r="JW3" s="38"/>
      <c r="JX3" s="38"/>
      <c r="JY3" s="38"/>
      <c r="JZ3" s="38"/>
      <c r="KA3" s="38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  <c r="KP3" s="38"/>
      <c r="KQ3" s="38"/>
      <c r="KR3" s="38"/>
      <c r="KS3" s="38"/>
      <c r="KT3" s="38"/>
      <c r="KU3" s="38"/>
      <c r="KV3" s="38"/>
      <c r="KW3" s="38"/>
      <c r="KX3" s="38"/>
      <c r="KY3" s="38"/>
      <c r="KZ3" s="38"/>
      <c r="LA3" s="38"/>
      <c r="LB3" s="38"/>
      <c r="LC3" s="38"/>
      <c r="LD3" s="38"/>
      <c r="LE3" s="38"/>
      <c r="LF3" s="38"/>
      <c r="LG3" s="38"/>
      <c r="LH3" s="38"/>
      <c r="LI3" s="38"/>
      <c r="LJ3" s="38"/>
      <c r="LK3" s="38"/>
      <c r="LL3" s="38"/>
      <c r="LM3" s="38"/>
      <c r="LN3" s="38"/>
      <c r="LO3" s="38"/>
      <c r="LP3" s="38"/>
      <c r="LQ3" s="38"/>
      <c r="LR3" s="38"/>
      <c r="LS3" s="38"/>
      <c r="LT3" s="38"/>
      <c r="LU3" s="38"/>
      <c r="LV3" s="38"/>
      <c r="LW3" s="38"/>
      <c r="LX3" s="38"/>
      <c r="LY3" s="38"/>
      <c r="LZ3" s="38"/>
      <c r="MA3" s="38"/>
      <c r="MB3" s="38"/>
      <c r="MC3" s="38"/>
      <c r="MD3" s="38"/>
      <c r="ME3" s="38"/>
      <c r="MF3" s="38"/>
      <c r="MG3" s="38"/>
      <c r="MH3" s="38"/>
      <c r="MI3" s="38"/>
      <c r="MJ3" s="38"/>
      <c r="MK3" s="38"/>
      <c r="ML3" s="38"/>
      <c r="MM3" s="38"/>
      <c r="MN3" s="38"/>
      <c r="MO3" s="38"/>
      <c r="MP3" s="38"/>
      <c r="MQ3" s="38"/>
      <c r="MR3" s="38"/>
      <c r="MS3" s="38"/>
      <c r="MT3" s="38"/>
      <c r="MU3" s="38"/>
      <c r="MV3" s="38"/>
      <c r="MW3" s="38"/>
      <c r="MX3" s="38"/>
      <c r="MY3" s="38"/>
      <c r="MZ3" s="38"/>
      <c r="NA3" s="38"/>
      <c r="NB3" s="38"/>
      <c r="NC3" s="38"/>
      <c r="ND3" s="38"/>
      <c r="NE3" s="38"/>
      <c r="NF3" s="38"/>
      <c r="NG3" s="38"/>
      <c r="NH3" s="38"/>
      <c r="NI3" s="38"/>
    </row>
    <row r="4" spans="1:373" ht="15" customHeight="1" x14ac:dyDescent="0.2">
      <c r="A4" s="38"/>
      <c r="B4" s="768"/>
      <c r="C4" s="768"/>
      <c r="D4" s="768"/>
      <c r="E4" s="768"/>
      <c r="F4" s="768"/>
      <c r="G4" s="768"/>
      <c r="H4" s="768"/>
      <c r="I4" s="768"/>
      <c r="J4" s="768"/>
      <c r="K4" s="768"/>
      <c r="L4" s="768"/>
      <c r="M4" s="76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</row>
    <row r="5" spans="1:373" ht="15" customHeight="1" x14ac:dyDescent="0.2">
      <c r="A5" s="38"/>
      <c r="B5" s="768"/>
      <c r="C5" s="768"/>
      <c r="D5" s="768"/>
      <c r="E5" s="768"/>
      <c r="F5" s="768"/>
      <c r="G5" s="768"/>
      <c r="H5" s="768"/>
      <c r="I5" s="768"/>
      <c r="J5" s="768"/>
      <c r="K5" s="768"/>
      <c r="L5" s="768"/>
      <c r="M5" s="76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</row>
    <row r="6" spans="1:373" ht="15.75" customHeight="1" x14ac:dyDescent="0.2">
      <c r="A6" s="38"/>
      <c r="B6" s="768"/>
      <c r="C6" s="768"/>
      <c r="D6" s="768"/>
      <c r="E6" s="768"/>
      <c r="F6" s="768"/>
      <c r="G6" s="768"/>
      <c r="H6" s="768"/>
      <c r="I6" s="768"/>
      <c r="J6" s="768"/>
      <c r="K6" s="768"/>
      <c r="L6" s="768"/>
      <c r="M6" s="76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</row>
    <row r="7" spans="1:373" x14ac:dyDescent="0.2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</row>
    <row r="8" spans="1:373" ht="15.75" thickBot="1" x14ac:dyDescent="0.25">
      <c r="A8" s="3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</row>
    <row r="9" spans="1:373" s="44" customFormat="1" ht="15.75" thickBot="1" x14ac:dyDescent="0.25">
      <c r="A9" s="41"/>
      <c r="B9" s="43"/>
      <c r="C9" s="43"/>
      <c r="D9" s="89" t="s">
        <v>21</v>
      </c>
      <c r="E9" s="90" t="s">
        <v>22</v>
      </c>
      <c r="F9" s="129" t="s">
        <v>5</v>
      </c>
      <c r="G9" s="129" t="s">
        <v>6</v>
      </c>
      <c r="H9" s="129" t="s">
        <v>23</v>
      </c>
      <c r="I9" s="90" t="s">
        <v>8</v>
      </c>
      <c r="J9" s="90" t="s">
        <v>9</v>
      </c>
      <c r="K9" s="771" t="s">
        <v>10</v>
      </c>
      <c r="L9" s="771"/>
      <c r="M9" s="41"/>
      <c r="N9" s="41"/>
      <c r="O9" s="41"/>
      <c r="P9" s="41"/>
      <c r="Q9" s="41"/>
      <c r="R9" s="41"/>
      <c r="S9" s="41"/>
      <c r="T9" s="41"/>
      <c r="U9" s="41"/>
      <c r="V9" s="41"/>
      <c r="W9" s="38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</row>
    <row r="10" spans="1:373" ht="19.5" x14ac:dyDescent="0.2">
      <c r="A10" s="38"/>
      <c r="B10" s="45"/>
      <c r="C10" s="91" t="s">
        <v>24</v>
      </c>
      <c r="D10" s="92">
        <v>41764</v>
      </c>
      <c r="E10" s="92"/>
      <c r="F10" s="97">
        <v>500</v>
      </c>
      <c r="G10" s="98"/>
      <c r="H10" s="99">
        <f>0.02*F10</f>
        <v>10</v>
      </c>
      <c r="I10" s="100">
        <f t="shared" ref="I10:I11" si="0">F10-G10-H10</f>
        <v>490</v>
      </c>
      <c r="J10" s="101">
        <v>490</v>
      </c>
      <c r="K10" s="102" t="str">
        <f>IF(ISBLANK(J10)," ",IF(J10-I10=0,"Correcto ",IF(J10-I10&lt;0,"Faltan","Sobran")))</f>
        <v xml:space="preserve">Correcto </v>
      </c>
      <c r="L10" s="103" t="str">
        <f>IF(ISBLANK(J10)," ",IF(J10-I10=0," ",J10-I10))</f>
        <v xml:space="preserve"> </v>
      </c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</row>
    <row r="11" spans="1:373" ht="19.5" x14ac:dyDescent="0.2">
      <c r="A11" s="38"/>
      <c r="B11" s="45"/>
      <c r="C11" s="93" t="s">
        <v>25</v>
      </c>
      <c r="D11" s="88"/>
      <c r="E11" s="88"/>
      <c r="F11" s="104">
        <v>500</v>
      </c>
      <c r="G11" s="105"/>
      <c r="H11" s="106">
        <f t="shared" ref="H11:H12" si="1">0.02*F11</f>
        <v>10</v>
      </c>
      <c r="I11" s="107">
        <f t="shared" si="0"/>
        <v>490</v>
      </c>
      <c r="J11" s="108">
        <v>490</v>
      </c>
      <c r="K11" s="109" t="str">
        <f>IF(ISBLANK(J11)," ",IF(J11-I11=0,"Correcto ",IF(J11-I11&lt;0,"Faltan","Sobran")))</f>
        <v xml:space="preserve">Correcto </v>
      </c>
      <c r="L11" s="110" t="str">
        <f>IF(ISBLANK(J11)," ",IF(J11-I11=0," ",J11-I11))</f>
        <v xml:space="preserve"> </v>
      </c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</row>
    <row r="12" spans="1:373" ht="20.25" thickBot="1" x14ac:dyDescent="0.25">
      <c r="A12" s="38"/>
      <c r="B12" s="45"/>
      <c r="C12" s="94" t="s">
        <v>26</v>
      </c>
      <c r="D12" s="95"/>
      <c r="E12" s="95">
        <v>41844</v>
      </c>
      <c r="F12" s="111">
        <v>500</v>
      </c>
      <c r="G12" s="112"/>
      <c r="H12" s="113">
        <f t="shared" si="1"/>
        <v>10</v>
      </c>
      <c r="I12" s="114">
        <f>F12-G12-H12</f>
        <v>490</v>
      </c>
      <c r="J12" s="115">
        <v>490</v>
      </c>
      <c r="K12" s="116" t="str">
        <f>IF(ISBLANK(J12)," ",IF(J12-I12=0,"Correcto ",IF(J12-I12&lt;0,"Faltan","Sobran")))</f>
        <v xml:space="preserve">Correcto </v>
      </c>
      <c r="L12" s="117" t="str">
        <f>IF(ISBLANK(J12)," ",IF(J12-I12=0," ",J12-I12))</f>
        <v xml:space="preserve"> </v>
      </c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</row>
    <row r="13" spans="1:373" ht="20.25" thickBot="1" x14ac:dyDescent="0.25">
      <c r="A13" s="38"/>
      <c r="B13" s="45"/>
      <c r="C13" s="45"/>
      <c r="D13" s="775" t="s">
        <v>3</v>
      </c>
      <c r="E13" s="776"/>
      <c r="F13" s="96">
        <f t="shared" ref="F13:J13" si="2">SUM(F10:F12)</f>
        <v>1500</v>
      </c>
      <c r="G13" s="118">
        <f t="shared" si="2"/>
        <v>0</v>
      </c>
      <c r="H13" s="119">
        <f t="shared" si="2"/>
        <v>30</v>
      </c>
      <c r="I13" s="120">
        <f t="shared" si="2"/>
        <v>1470</v>
      </c>
      <c r="J13" s="121">
        <f t="shared" si="2"/>
        <v>1470</v>
      </c>
      <c r="K13" s="122" t="str">
        <f>IF(ISBLANK(J13)," ",IF(J13-I13=0,"Correcto ",IF(J13-I13&lt;0,"Faltan","Sobran")))</f>
        <v xml:space="preserve">Correcto </v>
      </c>
      <c r="L13" s="123" t="str">
        <f>IF(ISBLANK(J13)," ",IF(J13-I13=0," ",J13-I13))</f>
        <v xml:space="preserve"> </v>
      </c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</row>
    <row r="14" spans="1:373" ht="18.75" thickBot="1" x14ac:dyDescent="0.25">
      <c r="A14" s="38"/>
      <c r="B14" s="42"/>
      <c r="C14" s="42"/>
      <c r="D14" s="42"/>
      <c r="E14" s="42"/>
      <c r="F14" s="772">
        <f>F13-G13-H13</f>
        <v>1470</v>
      </c>
      <c r="G14" s="773"/>
      <c r="H14" s="774"/>
      <c r="I14" s="124"/>
      <c r="J14" s="124"/>
      <c r="K14" s="124"/>
      <c r="L14" s="124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</row>
    <row r="15" spans="1:373" s="38" customFormat="1" x14ac:dyDescent="0.2">
      <c r="B15" s="42"/>
      <c r="C15" s="42"/>
      <c r="D15" s="42"/>
      <c r="E15" s="42"/>
      <c r="F15" s="42"/>
      <c r="G15" s="42"/>
      <c r="H15" s="46"/>
      <c r="I15" s="46"/>
      <c r="J15" s="42"/>
      <c r="K15" s="42"/>
      <c r="L15" s="42"/>
    </row>
    <row r="16" spans="1:373" s="38" customFormat="1" x14ac:dyDescent="0.2">
      <c r="A16" s="47"/>
      <c r="B16" s="48"/>
      <c r="C16" s="87"/>
      <c r="D16" s="48"/>
      <c r="E16" s="48"/>
      <c r="F16" s="48"/>
      <c r="G16" s="48"/>
      <c r="H16" s="48"/>
      <c r="I16" s="48"/>
      <c r="J16" s="48"/>
      <c r="K16" s="48"/>
      <c r="L16" s="48"/>
    </row>
    <row r="17" spans="1:12" s="38" customFormat="1" x14ac:dyDescent="0.2">
      <c r="B17" s="42"/>
      <c r="C17" s="42"/>
      <c r="D17" s="42"/>
      <c r="E17" s="42"/>
      <c r="F17" s="42"/>
      <c r="G17" s="46"/>
      <c r="H17" s="42"/>
      <c r="I17" s="42"/>
      <c r="J17" s="42"/>
      <c r="K17" s="42"/>
      <c r="L17" s="42"/>
    </row>
    <row r="18" spans="1:12" s="38" customFormat="1" x14ac:dyDescent="0.2">
      <c r="A18" s="769"/>
      <c r="B18" s="769"/>
      <c r="C18" s="49"/>
      <c r="D18" s="50"/>
      <c r="E18" s="50"/>
      <c r="G18" s="51"/>
      <c r="H18" s="51"/>
      <c r="I18" s="51"/>
      <c r="J18" s="51"/>
    </row>
    <row r="19" spans="1:12" s="38" customFormat="1" x14ac:dyDescent="0.2">
      <c r="D19" s="52"/>
      <c r="E19" s="50"/>
    </row>
    <row r="20" spans="1:12" s="38" customFormat="1" x14ac:dyDescent="0.2">
      <c r="A20" s="769"/>
      <c r="B20" s="769"/>
      <c r="C20" s="49"/>
      <c r="D20" s="50"/>
      <c r="E20" s="50"/>
    </row>
    <row r="21" spans="1:12" s="38" customFormat="1" x14ac:dyDescent="0.2">
      <c r="A21" s="769"/>
      <c r="B21" s="769"/>
      <c r="C21" s="49"/>
      <c r="D21" s="50"/>
      <c r="E21" s="50"/>
    </row>
    <row r="22" spans="1:12" s="38" customFormat="1" x14ac:dyDescent="0.2">
      <c r="E22" s="50"/>
    </row>
    <row r="23" spans="1:12" s="38" customFormat="1" x14ac:dyDescent="0.2">
      <c r="A23" s="770"/>
      <c r="B23" s="770"/>
      <c r="C23" s="53"/>
      <c r="D23" s="54"/>
      <c r="E23" s="55"/>
      <c r="F23" s="87"/>
    </row>
    <row r="24" spans="1:12" s="38" customFormat="1" x14ac:dyDescent="0.2"/>
    <row r="25" spans="1:12" s="38" customFormat="1" x14ac:dyDescent="0.2">
      <c r="H25" s="56"/>
    </row>
    <row r="26" spans="1:12" s="38" customFormat="1" x14ac:dyDescent="0.2"/>
    <row r="27" spans="1:12" s="38" customFormat="1" x14ac:dyDescent="0.2"/>
    <row r="28" spans="1:12" s="38" customFormat="1" x14ac:dyDescent="0.2"/>
    <row r="29" spans="1:12" s="38" customFormat="1" x14ac:dyDescent="0.2"/>
    <row r="30" spans="1:12" s="38" customFormat="1" x14ac:dyDescent="0.2"/>
    <row r="31" spans="1:12" s="38" customFormat="1" x14ac:dyDescent="0.2"/>
    <row r="32" spans="1:12" s="38" customFormat="1" x14ac:dyDescent="0.2"/>
    <row r="33" s="38" customFormat="1" x14ac:dyDescent="0.2"/>
    <row r="34" s="38" customFormat="1" x14ac:dyDescent="0.2"/>
    <row r="35" s="38" customFormat="1" x14ac:dyDescent="0.2"/>
    <row r="36" s="38" customFormat="1" x14ac:dyDescent="0.2"/>
    <row r="37" s="38" customFormat="1" x14ac:dyDescent="0.2"/>
    <row r="38" s="38" customFormat="1" x14ac:dyDescent="0.2"/>
    <row r="39" s="38" customFormat="1" x14ac:dyDescent="0.2"/>
    <row r="40" s="38" customFormat="1" x14ac:dyDescent="0.2"/>
    <row r="41" s="38" customFormat="1" x14ac:dyDescent="0.2"/>
    <row r="42" s="38" customFormat="1" x14ac:dyDescent="0.2"/>
    <row r="43" s="38" customFormat="1" x14ac:dyDescent="0.2"/>
    <row r="44" s="38" customFormat="1" x14ac:dyDescent="0.2"/>
    <row r="45" s="38" customFormat="1" x14ac:dyDescent="0.2"/>
    <row r="46" s="38" customFormat="1" x14ac:dyDescent="0.2"/>
    <row r="47" s="38" customFormat="1" x14ac:dyDescent="0.2"/>
    <row r="48" s="38" customFormat="1" x14ac:dyDescent="0.2"/>
    <row r="49" s="38" customFormat="1" x14ac:dyDescent="0.2"/>
    <row r="50" s="38" customFormat="1" x14ac:dyDescent="0.2"/>
    <row r="51" s="38" customFormat="1" x14ac:dyDescent="0.2"/>
    <row r="52" s="38" customFormat="1" x14ac:dyDescent="0.2"/>
    <row r="53" s="38" customFormat="1" x14ac:dyDescent="0.2"/>
    <row r="54" s="38" customFormat="1" x14ac:dyDescent="0.2"/>
    <row r="55" s="38" customFormat="1" x14ac:dyDescent="0.2"/>
    <row r="56" s="38" customFormat="1" x14ac:dyDescent="0.2"/>
    <row r="57" s="38" customFormat="1" x14ac:dyDescent="0.2"/>
    <row r="58" s="38" customFormat="1" x14ac:dyDescent="0.2"/>
    <row r="59" s="38" customFormat="1" x14ac:dyDescent="0.2"/>
    <row r="60" s="38" customFormat="1" x14ac:dyDescent="0.2"/>
    <row r="61" s="38" customFormat="1" x14ac:dyDescent="0.2"/>
    <row r="62" s="38" customFormat="1" x14ac:dyDescent="0.2"/>
    <row r="63" s="38" customFormat="1" x14ac:dyDescent="0.2"/>
    <row r="64" s="38" customFormat="1" x14ac:dyDescent="0.2"/>
    <row r="65" s="38" customFormat="1" x14ac:dyDescent="0.2"/>
    <row r="66" s="38" customFormat="1" x14ac:dyDescent="0.2"/>
    <row r="67" s="38" customFormat="1" x14ac:dyDescent="0.2"/>
    <row r="68" s="38" customFormat="1" x14ac:dyDescent="0.2"/>
    <row r="69" s="38" customFormat="1" x14ac:dyDescent="0.2"/>
    <row r="70" s="38" customFormat="1" x14ac:dyDescent="0.2"/>
    <row r="71" s="38" customFormat="1" x14ac:dyDescent="0.2"/>
    <row r="72" s="38" customFormat="1" x14ac:dyDescent="0.2"/>
    <row r="73" s="38" customFormat="1" x14ac:dyDescent="0.2"/>
    <row r="74" s="38" customFormat="1" x14ac:dyDescent="0.2"/>
    <row r="75" s="38" customFormat="1" x14ac:dyDescent="0.2"/>
    <row r="76" s="38" customFormat="1" x14ac:dyDescent="0.2"/>
    <row r="77" s="38" customFormat="1" x14ac:dyDescent="0.2"/>
    <row r="78" s="38" customFormat="1" x14ac:dyDescent="0.2"/>
    <row r="79" s="38" customFormat="1" x14ac:dyDescent="0.2"/>
    <row r="80" s="38" customFormat="1" x14ac:dyDescent="0.2"/>
    <row r="81" s="38" customFormat="1" x14ac:dyDescent="0.2"/>
    <row r="82" s="38" customFormat="1" x14ac:dyDescent="0.2"/>
    <row r="83" s="38" customFormat="1" x14ac:dyDescent="0.2"/>
    <row r="84" s="38" customFormat="1" x14ac:dyDescent="0.2"/>
    <row r="85" s="38" customFormat="1" x14ac:dyDescent="0.2"/>
    <row r="86" s="38" customFormat="1" x14ac:dyDescent="0.2"/>
    <row r="87" s="38" customFormat="1" x14ac:dyDescent="0.2"/>
    <row r="88" s="38" customFormat="1" x14ac:dyDescent="0.2"/>
    <row r="89" s="38" customFormat="1" x14ac:dyDescent="0.2"/>
    <row r="90" s="38" customFormat="1" x14ac:dyDescent="0.2"/>
    <row r="91" s="38" customFormat="1" x14ac:dyDescent="0.2"/>
    <row r="92" s="38" customFormat="1" x14ac:dyDescent="0.2"/>
    <row r="93" s="38" customFormat="1" x14ac:dyDescent="0.2"/>
    <row r="94" s="38" customFormat="1" x14ac:dyDescent="0.2"/>
    <row r="95" s="38" customFormat="1" x14ac:dyDescent="0.2"/>
    <row r="96" s="38" customFormat="1" x14ac:dyDescent="0.2"/>
    <row r="97" s="38" customFormat="1" x14ac:dyDescent="0.2"/>
    <row r="98" s="38" customFormat="1" x14ac:dyDescent="0.2"/>
    <row r="99" s="38" customFormat="1" x14ac:dyDescent="0.2"/>
    <row r="100" s="38" customFormat="1" x14ac:dyDescent="0.2"/>
    <row r="101" s="38" customFormat="1" x14ac:dyDescent="0.2"/>
    <row r="102" s="38" customFormat="1" x14ac:dyDescent="0.2"/>
    <row r="103" s="38" customFormat="1" x14ac:dyDescent="0.2"/>
    <row r="104" s="38" customFormat="1" x14ac:dyDescent="0.2"/>
    <row r="105" s="38" customFormat="1" x14ac:dyDescent="0.2"/>
    <row r="106" s="38" customFormat="1" x14ac:dyDescent="0.2"/>
    <row r="107" s="38" customFormat="1" x14ac:dyDescent="0.2"/>
    <row r="108" s="38" customFormat="1" x14ac:dyDescent="0.2"/>
    <row r="109" s="38" customFormat="1" x14ac:dyDescent="0.2"/>
    <row r="110" s="38" customFormat="1" x14ac:dyDescent="0.2"/>
    <row r="111" s="38" customFormat="1" x14ac:dyDescent="0.2"/>
    <row r="112" s="38" customFormat="1" x14ac:dyDescent="0.2"/>
    <row r="113" s="38" customFormat="1" x14ac:dyDescent="0.2"/>
    <row r="114" s="38" customFormat="1" x14ac:dyDescent="0.2"/>
    <row r="115" s="38" customFormat="1" x14ac:dyDescent="0.2"/>
    <row r="116" s="38" customFormat="1" x14ac:dyDescent="0.2"/>
    <row r="117" s="38" customFormat="1" x14ac:dyDescent="0.2"/>
    <row r="118" s="38" customFormat="1" x14ac:dyDescent="0.2"/>
    <row r="119" s="38" customFormat="1" x14ac:dyDescent="0.2"/>
    <row r="120" s="38" customFormat="1" x14ac:dyDescent="0.2"/>
    <row r="121" s="38" customFormat="1" x14ac:dyDescent="0.2"/>
    <row r="122" s="38" customFormat="1" x14ac:dyDescent="0.2"/>
    <row r="123" s="38" customFormat="1" x14ac:dyDescent="0.2"/>
    <row r="124" s="38" customFormat="1" x14ac:dyDescent="0.2"/>
    <row r="125" s="38" customFormat="1" x14ac:dyDescent="0.2"/>
    <row r="126" s="38" customFormat="1" x14ac:dyDescent="0.2"/>
    <row r="127" s="38" customFormat="1" x14ac:dyDescent="0.2"/>
    <row r="128" s="38" customFormat="1" x14ac:dyDescent="0.2"/>
    <row r="129" s="38" customFormat="1" x14ac:dyDescent="0.2"/>
    <row r="130" s="38" customFormat="1" x14ac:dyDescent="0.2"/>
    <row r="131" s="38" customFormat="1" x14ac:dyDescent="0.2"/>
    <row r="132" s="38" customFormat="1" x14ac:dyDescent="0.2"/>
    <row r="133" s="38" customFormat="1" x14ac:dyDescent="0.2"/>
    <row r="134" s="38" customFormat="1" x14ac:dyDescent="0.2"/>
    <row r="135" s="38" customFormat="1" x14ac:dyDescent="0.2"/>
    <row r="136" s="38" customFormat="1" x14ac:dyDescent="0.2"/>
    <row r="137" s="38" customFormat="1" x14ac:dyDescent="0.2"/>
    <row r="138" s="38" customFormat="1" x14ac:dyDescent="0.2"/>
    <row r="139" s="38" customFormat="1" x14ac:dyDescent="0.2"/>
    <row r="140" s="38" customFormat="1" x14ac:dyDescent="0.2"/>
    <row r="141" s="38" customFormat="1" x14ac:dyDescent="0.2"/>
    <row r="142" s="38" customFormat="1" x14ac:dyDescent="0.2"/>
    <row r="143" s="38" customFormat="1" x14ac:dyDescent="0.2"/>
    <row r="144" s="38" customFormat="1" x14ac:dyDescent="0.2"/>
    <row r="145" s="38" customFormat="1" x14ac:dyDescent="0.2"/>
    <row r="146" s="38" customFormat="1" x14ac:dyDescent="0.2"/>
    <row r="147" s="38" customFormat="1" x14ac:dyDescent="0.2"/>
    <row r="148" s="38" customFormat="1" x14ac:dyDescent="0.2"/>
    <row r="149" s="38" customFormat="1" x14ac:dyDescent="0.2"/>
    <row r="150" s="38" customFormat="1" x14ac:dyDescent="0.2"/>
    <row r="151" s="38" customFormat="1" x14ac:dyDescent="0.2"/>
    <row r="152" s="38" customFormat="1" x14ac:dyDescent="0.2"/>
    <row r="153" s="38" customFormat="1" x14ac:dyDescent="0.2"/>
    <row r="154" s="38" customFormat="1" x14ac:dyDescent="0.2"/>
    <row r="155" s="38" customFormat="1" x14ac:dyDescent="0.2"/>
    <row r="156" s="38" customFormat="1" x14ac:dyDescent="0.2"/>
    <row r="157" s="38" customFormat="1" x14ac:dyDescent="0.2"/>
    <row r="158" s="38" customFormat="1" x14ac:dyDescent="0.2"/>
    <row r="159" s="38" customFormat="1" x14ac:dyDescent="0.2"/>
    <row r="160" s="38" customFormat="1" x14ac:dyDescent="0.2"/>
    <row r="161" s="38" customFormat="1" x14ac:dyDescent="0.2"/>
    <row r="162" s="38" customFormat="1" x14ac:dyDescent="0.2"/>
    <row r="163" s="38" customFormat="1" x14ac:dyDescent="0.2"/>
    <row r="164" s="38" customFormat="1" x14ac:dyDescent="0.2"/>
    <row r="165" s="38" customFormat="1" x14ac:dyDescent="0.2"/>
    <row r="166" s="38" customFormat="1" x14ac:dyDescent="0.2"/>
    <row r="167" s="38" customFormat="1" x14ac:dyDescent="0.2"/>
    <row r="168" s="38" customFormat="1" x14ac:dyDescent="0.2"/>
    <row r="169" s="38" customFormat="1" x14ac:dyDescent="0.2"/>
    <row r="170" s="38" customFormat="1" x14ac:dyDescent="0.2"/>
    <row r="171" s="38" customFormat="1" x14ac:dyDescent="0.2"/>
    <row r="172" s="38" customFormat="1" x14ac:dyDescent="0.2"/>
    <row r="173" s="38" customFormat="1" x14ac:dyDescent="0.2"/>
    <row r="174" s="38" customFormat="1" x14ac:dyDescent="0.2"/>
    <row r="175" s="38" customFormat="1" x14ac:dyDescent="0.2"/>
    <row r="176" s="38" customFormat="1" x14ac:dyDescent="0.2"/>
    <row r="177" s="38" customFormat="1" x14ac:dyDescent="0.2"/>
    <row r="178" s="38" customFormat="1" x14ac:dyDescent="0.2"/>
    <row r="179" s="38" customFormat="1" x14ac:dyDescent="0.2"/>
    <row r="180" s="38" customFormat="1" x14ac:dyDescent="0.2"/>
    <row r="181" s="38" customFormat="1" x14ac:dyDescent="0.2"/>
    <row r="182" s="38" customFormat="1" x14ac:dyDescent="0.2"/>
    <row r="183" s="38" customFormat="1" x14ac:dyDescent="0.2"/>
    <row r="184" s="38" customFormat="1" x14ac:dyDescent="0.2"/>
    <row r="185" s="38" customFormat="1" x14ac:dyDescent="0.2"/>
    <row r="186" s="38" customFormat="1" x14ac:dyDescent="0.2"/>
    <row r="187" s="38" customFormat="1" x14ac:dyDescent="0.2"/>
    <row r="188" s="38" customFormat="1" x14ac:dyDescent="0.2"/>
    <row r="189" s="38" customFormat="1" x14ac:dyDescent="0.2"/>
    <row r="190" s="38" customFormat="1" x14ac:dyDescent="0.2"/>
    <row r="191" s="38" customFormat="1" x14ac:dyDescent="0.2"/>
    <row r="192" s="38" customFormat="1" x14ac:dyDescent="0.2"/>
    <row r="193" s="38" customFormat="1" x14ac:dyDescent="0.2"/>
    <row r="194" s="38" customFormat="1" x14ac:dyDescent="0.2"/>
    <row r="195" s="38" customFormat="1" x14ac:dyDescent="0.2"/>
    <row r="196" s="38" customFormat="1" x14ac:dyDescent="0.2"/>
    <row r="197" s="38" customFormat="1" x14ac:dyDescent="0.2"/>
    <row r="198" s="38" customFormat="1" x14ac:dyDescent="0.2"/>
    <row r="199" s="38" customFormat="1" x14ac:dyDescent="0.2"/>
    <row r="200" s="38" customFormat="1" x14ac:dyDescent="0.2"/>
    <row r="201" s="38" customFormat="1" x14ac:dyDescent="0.2"/>
    <row r="202" s="38" customFormat="1" x14ac:dyDescent="0.2"/>
    <row r="203" s="38" customFormat="1" x14ac:dyDescent="0.2"/>
    <row r="204" s="38" customFormat="1" x14ac:dyDescent="0.2"/>
    <row r="205" s="38" customFormat="1" x14ac:dyDescent="0.2"/>
    <row r="206" s="38" customFormat="1" x14ac:dyDescent="0.2"/>
    <row r="207" s="38" customFormat="1" x14ac:dyDescent="0.2"/>
    <row r="208" s="38" customFormat="1" x14ac:dyDescent="0.2"/>
    <row r="209" s="38" customFormat="1" x14ac:dyDescent="0.2"/>
    <row r="210" s="38" customFormat="1" x14ac:dyDescent="0.2"/>
    <row r="211" s="38" customFormat="1" x14ac:dyDescent="0.2"/>
    <row r="212" s="38" customFormat="1" x14ac:dyDescent="0.2"/>
    <row r="213" s="38" customFormat="1" x14ac:dyDescent="0.2"/>
    <row r="214" s="38" customFormat="1" x14ac:dyDescent="0.2"/>
    <row r="215" s="38" customFormat="1" x14ac:dyDescent="0.2"/>
    <row r="216" s="38" customFormat="1" x14ac:dyDescent="0.2"/>
    <row r="217" s="38" customFormat="1" x14ac:dyDescent="0.2"/>
    <row r="218" s="38" customFormat="1" x14ac:dyDescent="0.2"/>
    <row r="219" s="38" customFormat="1" x14ac:dyDescent="0.2"/>
    <row r="220" s="38" customFormat="1" x14ac:dyDescent="0.2"/>
    <row r="221" s="38" customFormat="1" x14ac:dyDescent="0.2"/>
    <row r="222" s="38" customFormat="1" x14ac:dyDescent="0.2"/>
    <row r="223" s="38" customFormat="1" x14ac:dyDescent="0.2"/>
    <row r="224" s="38" customFormat="1" x14ac:dyDescent="0.2"/>
    <row r="225" s="38" customFormat="1" x14ac:dyDescent="0.2"/>
    <row r="226" s="38" customFormat="1" x14ac:dyDescent="0.2"/>
    <row r="227" s="38" customFormat="1" x14ac:dyDescent="0.2"/>
    <row r="228" s="38" customFormat="1" x14ac:dyDescent="0.2"/>
    <row r="229" s="38" customFormat="1" x14ac:dyDescent="0.2"/>
    <row r="230" s="38" customFormat="1" x14ac:dyDescent="0.2"/>
    <row r="231" s="38" customFormat="1" x14ac:dyDescent="0.2"/>
    <row r="232" s="38" customFormat="1" x14ac:dyDescent="0.2"/>
    <row r="233" s="38" customFormat="1" x14ac:dyDescent="0.2"/>
    <row r="234" s="38" customFormat="1" x14ac:dyDescent="0.2"/>
    <row r="235" s="38" customFormat="1" x14ac:dyDescent="0.2"/>
    <row r="236" s="38" customFormat="1" x14ac:dyDescent="0.2"/>
    <row r="237" s="38" customFormat="1" x14ac:dyDescent="0.2"/>
    <row r="238" s="38" customFormat="1" x14ac:dyDescent="0.2"/>
    <row r="239" s="38" customFormat="1" x14ac:dyDescent="0.2"/>
    <row r="240" s="38" customFormat="1" x14ac:dyDescent="0.2"/>
    <row r="241" s="38" customFormat="1" x14ac:dyDescent="0.2"/>
    <row r="242" s="38" customFormat="1" x14ac:dyDescent="0.2"/>
    <row r="243" s="38" customFormat="1" x14ac:dyDescent="0.2"/>
    <row r="244" s="38" customFormat="1" x14ac:dyDescent="0.2"/>
    <row r="245" s="38" customFormat="1" x14ac:dyDescent="0.2"/>
    <row r="246" s="38" customFormat="1" x14ac:dyDescent="0.2"/>
    <row r="247" s="38" customFormat="1" x14ac:dyDescent="0.2"/>
    <row r="248" s="38" customFormat="1" x14ac:dyDescent="0.2"/>
    <row r="249" s="38" customFormat="1" x14ac:dyDescent="0.2"/>
    <row r="250" s="38" customFormat="1" x14ac:dyDescent="0.2"/>
    <row r="251" s="38" customFormat="1" x14ac:dyDescent="0.2"/>
    <row r="252" s="38" customFormat="1" x14ac:dyDescent="0.2"/>
    <row r="253" s="38" customFormat="1" x14ac:dyDescent="0.2"/>
    <row r="254" s="38" customFormat="1" x14ac:dyDescent="0.2"/>
    <row r="255" s="38" customFormat="1" x14ac:dyDescent="0.2"/>
    <row r="256" s="38" customFormat="1" x14ac:dyDescent="0.2"/>
    <row r="257" s="38" customFormat="1" x14ac:dyDescent="0.2"/>
    <row r="258" s="38" customFormat="1" x14ac:dyDescent="0.2"/>
    <row r="259" s="38" customFormat="1" x14ac:dyDescent="0.2"/>
    <row r="260" s="38" customFormat="1" x14ac:dyDescent="0.2"/>
    <row r="261" s="38" customFormat="1" x14ac:dyDescent="0.2"/>
    <row r="262" s="38" customFormat="1" x14ac:dyDescent="0.2"/>
    <row r="263" s="38" customFormat="1" x14ac:dyDescent="0.2"/>
    <row r="264" s="38" customFormat="1" x14ac:dyDescent="0.2"/>
    <row r="265" s="38" customFormat="1" x14ac:dyDescent="0.2"/>
    <row r="266" s="38" customFormat="1" x14ac:dyDescent="0.2"/>
    <row r="267" s="38" customFormat="1" x14ac:dyDescent="0.2"/>
    <row r="268" s="38" customFormat="1" x14ac:dyDescent="0.2"/>
    <row r="269" s="38" customFormat="1" x14ac:dyDescent="0.2"/>
    <row r="270" s="38" customFormat="1" x14ac:dyDescent="0.2"/>
    <row r="271" s="38" customFormat="1" x14ac:dyDescent="0.2"/>
    <row r="272" s="38" customFormat="1" x14ac:dyDescent="0.2"/>
    <row r="273" s="38" customFormat="1" x14ac:dyDescent="0.2"/>
    <row r="274" s="38" customFormat="1" x14ac:dyDescent="0.2"/>
    <row r="275" s="38" customFormat="1" x14ac:dyDescent="0.2"/>
    <row r="276" s="38" customFormat="1" x14ac:dyDescent="0.2"/>
    <row r="277" s="38" customFormat="1" x14ac:dyDescent="0.2"/>
    <row r="278" s="38" customFormat="1" x14ac:dyDescent="0.2"/>
    <row r="279" s="38" customFormat="1" x14ac:dyDescent="0.2"/>
    <row r="280" s="38" customFormat="1" x14ac:dyDescent="0.2"/>
    <row r="281" s="38" customFormat="1" x14ac:dyDescent="0.2"/>
    <row r="282" s="38" customFormat="1" x14ac:dyDescent="0.2"/>
    <row r="283" s="38" customFormat="1" x14ac:dyDescent="0.2"/>
    <row r="284" s="38" customFormat="1" x14ac:dyDescent="0.2"/>
    <row r="285" s="38" customFormat="1" x14ac:dyDescent="0.2"/>
    <row r="286" s="38" customFormat="1" x14ac:dyDescent="0.2"/>
    <row r="287" s="38" customFormat="1" x14ac:dyDescent="0.2"/>
    <row r="288" s="38" customFormat="1" x14ac:dyDescent="0.2"/>
    <row r="289" s="38" customFormat="1" x14ac:dyDescent="0.2"/>
    <row r="290" s="38" customFormat="1" x14ac:dyDescent="0.2"/>
    <row r="291" s="38" customFormat="1" x14ac:dyDescent="0.2"/>
    <row r="292" s="38" customFormat="1" x14ac:dyDescent="0.2"/>
    <row r="293" s="38" customFormat="1" x14ac:dyDescent="0.2"/>
    <row r="294" s="38" customFormat="1" x14ac:dyDescent="0.2"/>
    <row r="295" s="38" customFormat="1" x14ac:dyDescent="0.2"/>
    <row r="296" s="38" customFormat="1" x14ac:dyDescent="0.2"/>
    <row r="297" s="38" customFormat="1" x14ac:dyDescent="0.2"/>
    <row r="298" s="38" customFormat="1" x14ac:dyDescent="0.2"/>
    <row r="299" s="38" customFormat="1" x14ac:dyDescent="0.2"/>
    <row r="300" s="38" customFormat="1" x14ac:dyDescent="0.2"/>
    <row r="301" s="38" customFormat="1" x14ac:dyDescent="0.2"/>
    <row r="302" s="38" customFormat="1" x14ac:dyDescent="0.2"/>
    <row r="303" s="38" customFormat="1" x14ac:dyDescent="0.2"/>
    <row r="304" s="38" customFormat="1" x14ac:dyDescent="0.2"/>
    <row r="305" s="38" customFormat="1" x14ac:dyDescent="0.2"/>
    <row r="306" s="38" customFormat="1" x14ac:dyDescent="0.2"/>
    <row r="307" s="38" customFormat="1" x14ac:dyDescent="0.2"/>
    <row r="308" s="38" customFormat="1" x14ac:dyDescent="0.2"/>
    <row r="309" s="38" customFormat="1" x14ac:dyDescent="0.2"/>
    <row r="310" s="38" customFormat="1" x14ac:dyDescent="0.2"/>
    <row r="311" s="38" customFormat="1" x14ac:dyDescent="0.2"/>
    <row r="312" s="38" customFormat="1" x14ac:dyDescent="0.2"/>
    <row r="313" s="38" customFormat="1" x14ac:dyDescent="0.2"/>
    <row r="314" s="38" customFormat="1" x14ac:dyDescent="0.2"/>
    <row r="315" s="38" customFormat="1" x14ac:dyDescent="0.2"/>
    <row r="316" s="38" customFormat="1" x14ac:dyDescent="0.2"/>
    <row r="317" s="38" customFormat="1" x14ac:dyDescent="0.2"/>
    <row r="318" s="38" customFormat="1" x14ac:dyDescent="0.2"/>
    <row r="319" s="38" customFormat="1" x14ac:dyDescent="0.2"/>
    <row r="320" s="38" customFormat="1" x14ac:dyDescent="0.2"/>
    <row r="321" s="38" customFormat="1" x14ac:dyDescent="0.2"/>
    <row r="322" s="38" customFormat="1" x14ac:dyDescent="0.2"/>
    <row r="323" s="38" customFormat="1" x14ac:dyDescent="0.2"/>
    <row r="324" s="38" customFormat="1" x14ac:dyDescent="0.2"/>
    <row r="325" s="38" customFormat="1" x14ac:dyDescent="0.2"/>
    <row r="326" s="38" customFormat="1" x14ac:dyDescent="0.2"/>
    <row r="327" s="38" customFormat="1" x14ac:dyDescent="0.2"/>
    <row r="328" s="38" customFormat="1" x14ac:dyDescent="0.2"/>
    <row r="329" s="38" customFormat="1" x14ac:dyDescent="0.2"/>
    <row r="330" s="38" customFormat="1" x14ac:dyDescent="0.2"/>
    <row r="331" s="38" customFormat="1" x14ac:dyDescent="0.2"/>
    <row r="332" s="38" customFormat="1" x14ac:dyDescent="0.2"/>
    <row r="333" s="38" customFormat="1" x14ac:dyDescent="0.2"/>
    <row r="334" s="38" customFormat="1" x14ac:dyDescent="0.2"/>
    <row r="335" s="38" customFormat="1" x14ac:dyDescent="0.2"/>
    <row r="336" s="38" customFormat="1" x14ac:dyDescent="0.2"/>
    <row r="337" s="38" customFormat="1" x14ac:dyDescent="0.2"/>
    <row r="338" s="38" customFormat="1" x14ac:dyDescent="0.2"/>
    <row r="339" s="38" customFormat="1" x14ac:dyDescent="0.2"/>
    <row r="340" s="38" customFormat="1" x14ac:dyDescent="0.2"/>
    <row r="341" s="38" customFormat="1" x14ac:dyDescent="0.2"/>
    <row r="342" s="38" customFormat="1" x14ac:dyDescent="0.2"/>
    <row r="343" s="38" customFormat="1" x14ac:dyDescent="0.2"/>
    <row r="344" s="38" customFormat="1" x14ac:dyDescent="0.2"/>
    <row r="345" s="38" customFormat="1" x14ac:dyDescent="0.2"/>
    <row r="346" s="38" customFormat="1" x14ac:dyDescent="0.2"/>
    <row r="347" s="38" customFormat="1" x14ac:dyDescent="0.2"/>
    <row r="348" s="38" customFormat="1" x14ac:dyDescent="0.2"/>
    <row r="349" s="38" customFormat="1" x14ac:dyDescent="0.2"/>
    <row r="350" s="38" customFormat="1" x14ac:dyDescent="0.2"/>
    <row r="351" s="38" customFormat="1" x14ac:dyDescent="0.2"/>
    <row r="352" s="38" customFormat="1" x14ac:dyDescent="0.2"/>
    <row r="353" s="38" customFormat="1" x14ac:dyDescent="0.2"/>
    <row r="354" s="38" customFormat="1" x14ac:dyDescent="0.2"/>
    <row r="355" s="38" customFormat="1" x14ac:dyDescent="0.2"/>
    <row r="356" s="38" customFormat="1" x14ac:dyDescent="0.2"/>
    <row r="357" s="38" customFormat="1" x14ac:dyDescent="0.2"/>
    <row r="358" s="38" customFormat="1" x14ac:dyDescent="0.2"/>
    <row r="359" s="38" customFormat="1" x14ac:dyDescent="0.2"/>
    <row r="360" s="38" customFormat="1" x14ac:dyDescent="0.2"/>
    <row r="361" s="38" customFormat="1" x14ac:dyDescent="0.2"/>
    <row r="362" s="38" customFormat="1" x14ac:dyDescent="0.2"/>
    <row r="363" s="38" customFormat="1" x14ac:dyDescent="0.2"/>
    <row r="364" s="38" customFormat="1" x14ac:dyDescent="0.2"/>
    <row r="365" s="38" customFormat="1" x14ac:dyDescent="0.2"/>
    <row r="366" s="38" customFormat="1" x14ac:dyDescent="0.2"/>
    <row r="367" s="38" customFormat="1" x14ac:dyDescent="0.2"/>
    <row r="368" s="38" customFormat="1" x14ac:dyDescent="0.2"/>
    <row r="369" s="38" customFormat="1" x14ac:dyDescent="0.2"/>
    <row r="370" s="38" customFormat="1" x14ac:dyDescent="0.2"/>
    <row r="371" s="38" customFormat="1" x14ac:dyDescent="0.2"/>
    <row r="372" s="38" customFormat="1" x14ac:dyDescent="0.2"/>
    <row r="373" s="38" customFormat="1" x14ac:dyDescent="0.2"/>
    <row r="374" s="38" customFormat="1" x14ac:dyDescent="0.2"/>
    <row r="375" s="38" customFormat="1" x14ac:dyDescent="0.2"/>
    <row r="376" s="38" customFormat="1" x14ac:dyDescent="0.2"/>
    <row r="377" s="38" customFormat="1" x14ac:dyDescent="0.2"/>
    <row r="378" s="38" customFormat="1" x14ac:dyDescent="0.2"/>
    <row r="379" s="38" customFormat="1" x14ac:dyDescent="0.2"/>
    <row r="380" s="38" customFormat="1" x14ac:dyDescent="0.2"/>
    <row r="381" s="38" customFormat="1" x14ac:dyDescent="0.2"/>
    <row r="382" s="38" customFormat="1" x14ac:dyDescent="0.2"/>
    <row r="383" s="38" customFormat="1" x14ac:dyDescent="0.2"/>
    <row r="384" s="38" customFormat="1" x14ac:dyDescent="0.2"/>
    <row r="385" s="38" customFormat="1" x14ac:dyDescent="0.2"/>
    <row r="386" s="38" customFormat="1" x14ac:dyDescent="0.2"/>
    <row r="387" s="38" customFormat="1" x14ac:dyDescent="0.2"/>
    <row r="388" s="38" customFormat="1" x14ac:dyDescent="0.2"/>
    <row r="389" s="38" customFormat="1" x14ac:dyDescent="0.2"/>
    <row r="390" s="38" customFormat="1" x14ac:dyDescent="0.2"/>
    <row r="391" s="38" customFormat="1" x14ac:dyDescent="0.2"/>
    <row r="392" s="38" customFormat="1" x14ac:dyDescent="0.2"/>
    <row r="393" s="38" customFormat="1" x14ac:dyDescent="0.2"/>
    <row r="394" s="38" customFormat="1" x14ac:dyDescent="0.2"/>
    <row r="395" s="38" customFormat="1" x14ac:dyDescent="0.2"/>
    <row r="396" s="38" customFormat="1" x14ac:dyDescent="0.2"/>
    <row r="397" s="38" customFormat="1" x14ac:dyDescent="0.2"/>
    <row r="398" s="38" customFormat="1" x14ac:dyDescent="0.2"/>
    <row r="399" s="38" customFormat="1" x14ac:dyDescent="0.2"/>
    <row r="400" s="38" customFormat="1" x14ac:dyDescent="0.2"/>
    <row r="401" s="38" customFormat="1" x14ac:dyDescent="0.2"/>
    <row r="402" s="38" customFormat="1" x14ac:dyDescent="0.2"/>
    <row r="403" s="38" customFormat="1" x14ac:dyDescent="0.2"/>
    <row r="404" s="38" customFormat="1" x14ac:dyDescent="0.2"/>
    <row r="405" s="38" customFormat="1" x14ac:dyDescent="0.2"/>
    <row r="406" s="38" customFormat="1" x14ac:dyDescent="0.2"/>
    <row r="407" s="38" customFormat="1" x14ac:dyDescent="0.2"/>
    <row r="408" s="38" customFormat="1" x14ac:dyDescent="0.2"/>
    <row r="409" s="38" customFormat="1" x14ac:dyDescent="0.2"/>
    <row r="410" s="38" customFormat="1" x14ac:dyDescent="0.2"/>
    <row r="411" s="38" customFormat="1" x14ac:dyDescent="0.2"/>
    <row r="412" s="38" customFormat="1" x14ac:dyDescent="0.2"/>
    <row r="413" s="38" customFormat="1" x14ac:dyDescent="0.2"/>
    <row r="414" s="38" customFormat="1" x14ac:dyDescent="0.2"/>
    <row r="415" s="38" customFormat="1" x14ac:dyDescent="0.2"/>
    <row r="416" s="38" customFormat="1" x14ac:dyDescent="0.2"/>
    <row r="417" s="38" customFormat="1" x14ac:dyDescent="0.2"/>
    <row r="418" s="38" customFormat="1" x14ac:dyDescent="0.2"/>
    <row r="419" s="38" customFormat="1" x14ac:dyDescent="0.2"/>
    <row r="420" s="38" customFormat="1" x14ac:dyDescent="0.2"/>
    <row r="421" s="38" customFormat="1" x14ac:dyDescent="0.2"/>
    <row r="422" s="38" customFormat="1" x14ac:dyDescent="0.2"/>
    <row r="423" s="38" customFormat="1" x14ac:dyDescent="0.2"/>
    <row r="424" s="38" customFormat="1" x14ac:dyDescent="0.2"/>
    <row r="425" s="38" customFormat="1" x14ac:dyDescent="0.2"/>
    <row r="426" s="38" customFormat="1" x14ac:dyDescent="0.2"/>
    <row r="427" s="38" customFormat="1" x14ac:dyDescent="0.2"/>
    <row r="428" s="38" customFormat="1" x14ac:dyDescent="0.2"/>
    <row r="429" s="38" customFormat="1" x14ac:dyDescent="0.2"/>
    <row r="430" s="38" customFormat="1" x14ac:dyDescent="0.2"/>
    <row r="431" s="38" customFormat="1" x14ac:dyDescent="0.2"/>
    <row r="432" s="38" customFormat="1" x14ac:dyDescent="0.2"/>
    <row r="433" s="38" customFormat="1" x14ac:dyDescent="0.2"/>
    <row r="434" s="38" customFormat="1" x14ac:dyDescent="0.2"/>
    <row r="435" s="38" customFormat="1" x14ac:dyDescent="0.2"/>
    <row r="436" s="38" customFormat="1" x14ac:dyDescent="0.2"/>
    <row r="437" s="38" customFormat="1" x14ac:dyDescent="0.2"/>
    <row r="438" s="38" customFormat="1" x14ac:dyDescent="0.2"/>
    <row r="439" s="38" customFormat="1" x14ac:dyDescent="0.2"/>
    <row r="440" s="38" customFormat="1" x14ac:dyDescent="0.2"/>
    <row r="441" s="38" customFormat="1" x14ac:dyDescent="0.2"/>
    <row r="442" s="38" customFormat="1" x14ac:dyDescent="0.2"/>
    <row r="443" s="38" customFormat="1" x14ac:dyDescent="0.2"/>
    <row r="444" s="38" customFormat="1" x14ac:dyDescent="0.2"/>
    <row r="445" s="38" customFormat="1" x14ac:dyDescent="0.2"/>
    <row r="446" s="38" customFormat="1" x14ac:dyDescent="0.2"/>
    <row r="447" s="38" customFormat="1" x14ac:dyDescent="0.2"/>
    <row r="448" s="38" customFormat="1" x14ac:dyDescent="0.2"/>
    <row r="449" s="38" customFormat="1" x14ac:dyDescent="0.2"/>
    <row r="450" s="38" customFormat="1" x14ac:dyDescent="0.2"/>
    <row r="451" s="38" customFormat="1" x14ac:dyDescent="0.2"/>
    <row r="452" s="38" customFormat="1" x14ac:dyDescent="0.2"/>
    <row r="453" s="38" customFormat="1" x14ac:dyDescent="0.2"/>
    <row r="454" s="38" customFormat="1" x14ac:dyDescent="0.2"/>
    <row r="455" s="38" customFormat="1" x14ac:dyDescent="0.2"/>
    <row r="456" s="38" customFormat="1" x14ac:dyDescent="0.2"/>
    <row r="457" s="38" customFormat="1" x14ac:dyDescent="0.2"/>
    <row r="458" s="38" customFormat="1" x14ac:dyDescent="0.2"/>
    <row r="459" s="38" customFormat="1" x14ac:dyDescent="0.2"/>
    <row r="460" s="38" customFormat="1" x14ac:dyDescent="0.2"/>
    <row r="461" s="38" customFormat="1" x14ac:dyDescent="0.2"/>
    <row r="462" s="38" customFormat="1" x14ac:dyDescent="0.2"/>
    <row r="463" s="38" customFormat="1" x14ac:dyDescent="0.2"/>
    <row r="464" s="38" customFormat="1" x14ac:dyDescent="0.2"/>
    <row r="465" s="38" customFormat="1" x14ac:dyDescent="0.2"/>
    <row r="466" s="38" customFormat="1" x14ac:dyDescent="0.2"/>
    <row r="467" s="38" customFormat="1" x14ac:dyDescent="0.2"/>
    <row r="468" s="38" customFormat="1" x14ac:dyDescent="0.2"/>
    <row r="469" s="38" customFormat="1" x14ac:dyDescent="0.2"/>
    <row r="470" s="38" customFormat="1" x14ac:dyDescent="0.2"/>
    <row r="471" s="38" customFormat="1" x14ac:dyDescent="0.2"/>
    <row r="472" s="38" customFormat="1" x14ac:dyDescent="0.2"/>
    <row r="473" s="38" customFormat="1" x14ac:dyDescent="0.2"/>
    <row r="474" s="38" customFormat="1" x14ac:dyDescent="0.2"/>
    <row r="475" s="38" customFormat="1" x14ac:dyDescent="0.2"/>
    <row r="476" s="38" customFormat="1" x14ac:dyDescent="0.2"/>
    <row r="477" s="38" customFormat="1" x14ac:dyDescent="0.2"/>
    <row r="478" s="38" customFormat="1" x14ac:dyDescent="0.2"/>
    <row r="479" s="38" customFormat="1" x14ac:dyDescent="0.2"/>
    <row r="480" s="38" customFormat="1" x14ac:dyDescent="0.2"/>
    <row r="481" s="38" customFormat="1" x14ac:dyDescent="0.2"/>
    <row r="482" s="38" customFormat="1" x14ac:dyDescent="0.2"/>
    <row r="483" s="38" customFormat="1" x14ac:dyDescent="0.2"/>
    <row r="484" s="38" customFormat="1" x14ac:dyDescent="0.2"/>
    <row r="485" s="38" customFormat="1" x14ac:dyDescent="0.2"/>
    <row r="486" s="38" customFormat="1" x14ac:dyDescent="0.2"/>
    <row r="487" s="38" customFormat="1" x14ac:dyDescent="0.2"/>
    <row r="488" s="38" customFormat="1" x14ac:dyDescent="0.2"/>
    <row r="489" s="38" customFormat="1" x14ac:dyDescent="0.2"/>
    <row r="490" s="38" customFormat="1" x14ac:dyDescent="0.2"/>
    <row r="491" s="38" customFormat="1" x14ac:dyDescent="0.2"/>
    <row r="492" s="38" customFormat="1" x14ac:dyDescent="0.2"/>
    <row r="493" s="38" customFormat="1" x14ac:dyDescent="0.2"/>
    <row r="494" s="38" customFormat="1" x14ac:dyDescent="0.2"/>
    <row r="495" s="38" customFormat="1" x14ac:dyDescent="0.2"/>
    <row r="496" s="38" customFormat="1" x14ac:dyDescent="0.2"/>
    <row r="497" s="38" customFormat="1" x14ac:dyDescent="0.2"/>
    <row r="498" s="38" customFormat="1" x14ac:dyDescent="0.2"/>
    <row r="499" s="38" customFormat="1" x14ac:dyDescent="0.2"/>
    <row r="500" s="38" customFormat="1" x14ac:dyDescent="0.2"/>
    <row r="501" s="38" customFormat="1" x14ac:dyDescent="0.2"/>
    <row r="502" s="38" customFormat="1" x14ac:dyDescent="0.2"/>
    <row r="503" s="38" customFormat="1" x14ac:dyDescent="0.2"/>
    <row r="504" s="38" customFormat="1" x14ac:dyDescent="0.2"/>
    <row r="505" s="38" customFormat="1" x14ac:dyDescent="0.2"/>
    <row r="506" s="38" customFormat="1" x14ac:dyDescent="0.2"/>
    <row r="507" s="38" customFormat="1" x14ac:dyDescent="0.2"/>
    <row r="508" s="38" customFormat="1" x14ac:dyDescent="0.2"/>
    <row r="509" s="38" customFormat="1" x14ac:dyDescent="0.2"/>
    <row r="510" s="38" customFormat="1" x14ac:dyDescent="0.2"/>
    <row r="511" s="38" customFormat="1" x14ac:dyDescent="0.2"/>
    <row r="512" s="38" customFormat="1" x14ac:dyDescent="0.2"/>
    <row r="513" s="38" customFormat="1" x14ac:dyDescent="0.2"/>
    <row r="514" s="38" customFormat="1" x14ac:dyDescent="0.2"/>
    <row r="515" s="38" customFormat="1" x14ac:dyDescent="0.2"/>
    <row r="516" s="38" customFormat="1" x14ac:dyDescent="0.2"/>
    <row r="517" s="38" customFormat="1" x14ac:dyDescent="0.2"/>
    <row r="518" s="38" customFormat="1" x14ac:dyDescent="0.2"/>
    <row r="519" s="38" customFormat="1" x14ac:dyDescent="0.2"/>
    <row r="520" s="38" customFormat="1" x14ac:dyDescent="0.2"/>
    <row r="521" s="38" customFormat="1" x14ac:dyDescent="0.2"/>
    <row r="522" s="38" customFormat="1" x14ac:dyDescent="0.2"/>
    <row r="523" s="38" customFormat="1" x14ac:dyDescent="0.2"/>
    <row r="524" s="38" customFormat="1" x14ac:dyDescent="0.2"/>
    <row r="525" s="38" customFormat="1" x14ac:dyDescent="0.2"/>
    <row r="526" s="38" customFormat="1" x14ac:dyDescent="0.2"/>
    <row r="527" s="38" customFormat="1" x14ac:dyDescent="0.2"/>
    <row r="528" s="38" customFormat="1" x14ac:dyDescent="0.2"/>
    <row r="529" s="38" customFormat="1" x14ac:dyDescent="0.2"/>
    <row r="530" s="38" customFormat="1" x14ac:dyDescent="0.2"/>
    <row r="531" s="38" customFormat="1" x14ac:dyDescent="0.2"/>
    <row r="532" s="38" customFormat="1" x14ac:dyDescent="0.2"/>
    <row r="533" s="38" customFormat="1" x14ac:dyDescent="0.2"/>
    <row r="534" s="38" customFormat="1" x14ac:dyDescent="0.2"/>
    <row r="535" s="38" customFormat="1" x14ac:dyDescent="0.2"/>
    <row r="536" s="38" customFormat="1" x14ac:dyDescent="0.2"/>
    <row r="537" s="38" customFormat="1" x14ac:dyDescent="0.2"/>
    <row r="538" s="38" customFormat="1" x14ac:dyDescent="0.2"/>
    <row r="539" s="38" customFormat="1" x14ac:dyDescent="0.2"/>
    <row r="540" s="38" customFormat="1" x14ac:dyDescent="0.2"/>
    <row r="541" s="38" customFormat="1" x14ac:dyDescent="0.2"/>
    <row r="542" s="38" customFormat="1" x14ac:dyDescent="0.2"/>
    <row r="543" s="38" customFormat="1" x14ac:dyDescent="0.2"/>
    <row r="544" s="38" customFormat="1" x14ac:dyDescent="0.2"/>
    <row r="545" s="38" customFormat="1" x14ac:dyDescent="0.2"/>
    <row r="546" s="38" customFormat="1" x14ac:dyDescent="0.2"/>
    <row r="547" s="38" customFormat="1" x14ac:dyDescent="0.2"/>
    <row r="548" s="38" customFormat="1" x14ac:dyDescent="0.2"/>
    <row r="549" s="38" customFormat="1" x14ac:dyDescent="0.2"/>
    <row r="550" s="38" customFormat="1" x14ac:dyDescent="0.2"/>
    <row r="551" s="38" customFormat="1" x14ac:dyDescent="0.2"/>
    <row r="552" s="38" customFormat="1" x14ac:dyDescent="0.2"/>
    <row r="553" s="38" customFormat="1" x14ac:dyDescent="0.2"/>
    <row r="554" s="38" customFormat="1" x14ac:dyDescent="0.2"/>
    <row r="555" s="38" customFormat="1" x14ac:dyDescent="0.2"/>
    <row r="556" s="38" customFormat="1" x14ac:dyDescent="0.2"/>
    <row r="557" s="38" customFormat="1" x14ac:dyDescent="0.2"/>
    <row r="558" s="38" customFormat="1" x14ac:dyDescent="0.2"/>
    <row r="559" s="38" customFormat="1" x14ac:dyDescent="0.2"/>
    <row r="560" s="38" customFormat="1" x14ac:dyDescent="0.2"/>
    <row r="561" s="38" customFormat="1" x14ac:dyDescent="0.2"/>
    <row r="562" s="38" customFormat="1" x14ac:dyDescent="0.2"/>
    <row r="563" s="38" customFormat="1" x14ac:dyDescent="0.2"/>
    <row r="564" s="38" customFormat="1" x14ac:dyDescent="0.2"/>
    <row r="565" s="38" customFormat="1" x14ac:dyDescent="0.2"/>
    <row r="566" s="38" customFormat="1" x14ac:dyDescent="0.2"/>
    <row r="567" s="38" customFormat="1" x14ac:dyDescent="0.2"/>
    <row r="568" s="38" customFormat="1" x14ac:dyDescent="0.2"/>
    <row r="569" s="38" customFormat="1" x14ac:dyDescent="0.2"/>
    <row r="570" s="38" customFormat="1" x14ac:dyDescent="0.2"/>
    <row r="571" s="38" customFormat="1" x14ac:dyDescent="0.2"/>
    <row r="572" s="38" customFormat="1" x14ac:dyDescent="0.2"/>
    <row r="573" s="38" customFormat="1" x14ac:dyDescent="0.2"/>
    <row r="574" s="38" customFormat="1" x14ac:dyDescent="0.2"/>
    <row r="575" s="38" customFormat="1" x14ac:dyDescent="0.2"/>
    <row r="576" s="38" customFormat="1" x14ac:dyDescent="0.2"/>
    <row r="577" s="38" customFormat="1" x14ac:dyDescent="0.2"/>
    <row r="578" s="38" customFormat="1" x14ac:dyDescent="0.2"/>
    <row r="579" s="38" customFormat="1" x14ac:dyDescent="0.2"/>
    <row r="580" s="38" customFormat="1" x14ac:dyDescent="0.2"/>
    <row r="581" s="38" customFormat="1" x14ac:dyDescent="0.2"/>
    <row r="582" s="38" customFormat="1" x14ac:dyDescent="0.2"/>
    <row r="583" s="38" customFormat="1" x14ac:dyDescent="0.2"/>
    <row r="584" s="38" customFormat="1" x14ac:dyDescent="0.2"/>
    <row r="585" s="38" customFormat="1" x14ac:dyDescent="0.2"/>
    <row r="586" s="38" customFormat="1" x14ac:dyDescent="0.2"/>
    <row r="587" s="38" customFormat="1" x14ac:dyDescent="0.2"/>
    <row r="588" s="38" customFormat="1" x14ac:dyDescent="0.2"/>
    <row r="589" s="38" customFormat="1" x14ac:dyDescent="0.2"/>
    <row r="590" s="38" customFormat="1" x14ac:dyDescent="0.2"/>
    <row r="591" s="38" customFormat="1" x14ac:dyDescent="0.2"/>
    <row r="592" s="38" customFormat="1" x14ac:dyDescent="0.2"/>
    <row r="593" s="38" customFormat="1" x14ac:dyDescent="0.2"/>
    <row r="594" s="38" customFormat="1" x14ac:dyDescent="0.2"/>
    <row r="595" s="38" customFormat="1" x14ac:dyDescent="0.2"/>
    <row r="596" s="38" customFormat="1" x14ac:dyDescent="0.2"/>
    <row r="597" s="38" customFormat="1" x14ac:dyDescent="0.2"/>
    <row r="598" s="38" customFormat="1" x14ac:dyDescent="0.2"/>
    <row r="599" s="38" customFormat="1" x14ac:dyDescent="0.2"/>
    <row r="600" s="38" customFormat="1" x14ac:dyDescent="0.2"/>
    <row r="601" s="38" customFormat="1" x14ac:dyDescent="0.2"/>
    <row r="602" s="38" customFormat="1" x14ac:dyDescent="0.2"/>
    <row r="603" s="38" customFormat="1" x14ac:dyDescent="0.2"/>
    <row r="604" s="38" customFormat="1" x14ac:dyDescent="0.2"/>
    <row r="605" s="38" customFormat="1" x14ac:dyDescent="0.2"/>
    <row r="606" s="38" customFormat="1" x14ac:dyDescent="0.2"/>
    <row r="607" s="38" customFormat="1" x14ac:dyDescent="0.2"/>
    <row r="608" s="38" customFormat="1" x14ac:dyDescent="0.2"/>
    <row r="609" s="38" customFormat="1" x14ac:dyDescent="0.2"/>
    <row r="610" s="38" customFormat="1" x14ac:dyDescent="0.2"/>
    <row r="611" s="38" customFormat="1" x14ac:dyDescent="0.2"/>
    <row r="612" s="38" customFormat="1" x14ac:dyDescent="0.2"/>
    <row r="613" s="38" customFormat="1" x14ac:dyDescent="0.2"/>
    <row r="614" s="38" customFormat="1" x14ac:dyDescent="0.2"/>
    <row r="615" s="38" customFormat="1" x14ac:dyDescent="0.2"/>
    <row r="616" s="38" customFormat="1" x14ac:dyDescent="0.2"/>
    <row r="617" s="38" customFormat="1" x14ac:dyDescent="0.2"/>
    <row r="618" s="38" customFormat="1" x14ac:dyDescent="0.2"/>
    <row r="619" s="38" customFormat="1" x14ac:dyDescent="0.2"/>
    <row r="620" s="38" customFormat="1" x14ac:dyDescent="0.2"/>
    <row r="621" s="38" customFormat="1" x14ac:dyDescent="0.2"/>
    <row r="622" s="38" customFormat="1" x14ac:dyDescent="0.2"/>
    <row r="623" s="38" customFormat="1" x14ac:dyDescent="0.2"/>
    <row r="624" s="38" customFormat="1" x14ac:dyDescent="0.2"/>
    <row r="625" s="38" customFormat="1" x14ac:dyDescent="0.2"/>
    <row r="626" s="38" customFormat="1" x14ac:dyDescent="0.2"/>
    <row r="627" s="38" customFormat="1" x14ac:dyDescent="0.2"/>
    <row r="628" s="38" customFormat="1" x14ac:dyDescent="0.2"/>
    <row r="629" s="38" customFormat="1" x14ac:dyDescent="0.2"/>
    <row r="630" s="38" customFormat="1" x14ac:dyDescent="0.2"/>
    <row r="631" s="38" customFormat="1" x14ac:dyDescent="0.2"/>
    <row r="632" s="38" customFormat="1" x14ac:dyDescent="0.2"/>
    <row r="633" s="38" customFormat="1" x14ac:dyDescent="0.2"/>
    <row r="634" s="38" customFormat="1" x14ac:dyDescent="0.2"/>
    <row r="635" s="38" customFormat="1" x14ac:dyDescent="0.2"/>
    <row r="636" s="38" customFormat="1" x14ac:dyDescent="0.2"/>
    <row r="637" s="38" customFormat="1" x14ac:dyDescent="0.2"/>
    <row r="638" s="38" customFormat="1" x14ac:dyDescent="0.2"/>
    <row r="639" s="38" customFormat="1" x14ac:dyDescent="0.2"/>
    <row r="640" s="38" customFormat="1" x14ac:dyDescent="0.2"/>
    <row r="641" s="38" customFormat="1" x14ac:dyDescent="0.2"/>
    <row r="642" s="38" customFormat="1" x14ac:dyDescent="0.2"/>
    <row r="643" s="38" customFormat="1" x14ac:dyDescent="0.2"/>
    <row r="644" s="38" customFormat="1" x14ac:dyDescent="0.2"/>
    <row r="645" s="38" customFormat="1" x14ac:dyDescent="0.2"/>
    <row r="646" s="38" customFormat="1" x14ac:dyDescent="0.2"/>
    <row r="647" s="38" customFormat="1" x14ac:dyDescent="0.2"/>
    <row r="648" s="38" customFormat="1" x14ac:dyDescent="0.2"/>
    <row r="649" s="38" customFormat="1" x14ac:dyDescent="0.2"/>
    <row r="650" s="38" customFormat="1" x14ac:dyDescent="0.2"/>
    <row r="651" s="38" customFormat="1" x14ac:dyDescent="0.2"/>
    <row r="652" s="38" customFormat="1" x14ac:dyDescent="0.2"/>
    <row r="653" s="38" customFormat="1" x14ac:dyDescent="0.2"/>
    <row r="654" s="38" customFormat="1" x14ac:dyDescent="0.2"/>
    <row r="655" s="38" customFormat="1" x14ac:dyDescent="0.2"/>
    <row r="656" s="38" customFormat="1" x14ac:dyDescent="0.2"/>
    <row r="657" s="38" customFormat="1" x14ac:dyDescent="0.2"/>
    <row r="658" s="38" customFormat="1" x14ac:dyDescent="0.2"/>
    <row r="659" s="38" customFormat="1" x14ac:dyDescent="0.2"/>
    <row r="660" s="38" customFormat="1" x14ac:dyDescent="0.2"/>
    <row r="661" s="38" customFormat="1" x14ac:dyDescent="0.2"/>
    <row r="662" s="38" customFormat="1" x14ac:dyDescent="0.2"/>
    <row r="663" s="38" customFormat="1" x14ac:dyDescent="0.2"/>
    <row r="664" s="38" customFormat="1" x14ac:dyDescent="0.2"/>
    <row r="665" s="38" customFormat="1" x14ac:dyDescent="0.2"/>
    <row r="666" s="38" customFormat="1" x14ac:dyDescent="0.2"/>
    <row r="667" s="38" customFormat="1" x14ac:dyDescent="0.2"/>
    <row r="668" s="38" customFormat="1" x14ac:dyDescent="0.2"/>
    <row r="669" s="38" customFormat="1" x14ac:dyDescent="0.2"/>
    <row r="670" s="38" customFormat="1" x14ac:dyDescent="0.2"/>
    <row r="671" s="38" customFormat="1" x14ac:dyDescent="0.2"/>
    <row r="672" s="38" customFormat="1" x14ac:dyDescent="0.2"/>
    <row r="673" s="38" customFormat="1" x14ac:dyDescent="0.2"/>
    <row r="674" s="38" customFormat="1" x14ac:dyDescent="0.2"/>
    <row r="675" s="38" customFormat="1" x14ac:dyDescent="0.2"/>
    <row r="676" s="38" customFormat="1" x14ac:dyDescent="0.2"/>
    <row r="677" s="38" customFormat="1" x14ac:dyDescent="0.2"/>
    <row r="678" s="38" customFormat="1" x14ac:dyDescent="0.2"/>
    <row r="679" s="38" customFormat="1" x14ac:dyDescent="0.2"/>
    <row r="680" s="38" customFormat="1" x14ac:dyDescent="0.2"/>
    <row r="681" s="38" customFormat="1" x14ac:dyDescent="0.2"/>
    <row r="682" s="38" customFormat="1" x14ac:dyDescent="0.2"/>
    <row r="683" s="38" customFormat="1" x14ac:dyDescent="0.2"/>
    <row r="684" s="38" customFormat="1" x14ac:dyDescent="0.2"/>
    <row r="685" s="38" customFormat="1" x14ac:dyDescent="0.2"/>
    <row r="686" s="38" customFormat="1" x14ac:dyDescent="0.2"/>
    <row r="687" s="38" customFormat="1" x14ac:dyDescent="0.2"/>
    <row r="688" s="38" customFormat="1" x14ac:dyDescent="0.2"/>
    <row r="689" s="38" customFormat="1" x14ac:dyDescent="0.2"/>
    <row r="690" s="38" customFormat="1" x14ac:dyDescent="0.2"/>
    <row r="691" s="38" customFormat="1" x14ac:dyDescent="0.2"/>
    <row r="692" s="38" customFormat="1" x14ac:dyDescent="0.2"/>
    <row r="693" s="38" customFormat="1" x14ac:dyDescent="0.2"/>
    <row r="694" s="38" customFormat="1" x14ac:dyDescent="0.2"/>
    <row r="695" s="38" customFormat="1" x14ac:dyDescent="0.2"/>
    <row r="696" s="38" customFormat="1" x14ac:dyDescent="0.2"/>
    <row r="697" s="38" customFormat="1" x14ac:dyDescent="0.2"/>
    <row r="698" s="38" customFormat="1" x14ac:dyDescent="0.2"/>
    <row r="699" s="38" customFormat="1" x14ac:dyDescent="0.2"/>
    <row r="700" s="38" customFormat="1" x14ac:dyDescent="0.2"/>
    <row r="701" s="38" customFormat="1" x14ac:dyDescent="0.2"/>
    <row r="702" s="38" customFormat="1" x14ac:dyDescent="0.2"/>
    <row r="703" s="38" customFormat="1" x14ac:dyDescent="0.2"/>
    <row r="704" s="38" customFormat="1" x14ac:dyDescent="0.2"/>
    <row r="705" s="38" customFormat="1" x14ac:dyDescent="0.2"/>
    <row r="706" s="38" customFormat="1" x14ac:dyDescent="0.2"/>
    <row r="707" s="38" customFormat="1" x14ac:dyDescent="0.2"/>
    <row r="708" s="38" customFormat="1" x14ac:dyDescent="0.2"/>
    <row r="709" s="38" customFormat="1" x14ac:dyDescent="0.2"/>
    <row r="710" s="38" customFormat="1" x14ac:dyDescent="0.2"/>
    <row r="711" s="38" customFormat="1" x14ac:dyDescent="0.2"/>
    <row r="712" s="38" customFormat="1" x14ac:dyDescent="0.2"/>
    <row r="713" s="38" customFormat="1" x14ac:dyDescent="0.2"/>
    <row r="714" s="38" customFormat="1" x14ac:dyDescent="0.2"/>
    <row r="715" s="38" customFormat="1" x14ac:dyDescent="0.2"/>
    <row r="716" s="38" customFormat="1" x14ac:dyDescent="0.2"/>
    <row r="717" s="38" customFormat="1" x14ac:dyDescent="0.2"/>
    <row r="718" s="38" customFormat="1" x14ac:dyDescent="0.2"/>
    <row r="719" s="38" customFormat="1" x14ac:dyDescent="0.2"/>
    <row r="720" s="38" customFormat="1" x14ac:dyDescent="0.2"/>
    <row r="721" s="38" customFormat="1" x14ac:dyDescent="0.2"/>
    <row r="722" s="38" customFormat="1" x14ac:dyDescent="0.2"/>
    <row r="723" s="38" customFormat="1" x14ac:dyDescent="0.2"/>
    <row r="724" s="38" customFormat="1" x14ac:dyDescent="0.2"/>
    <row r="725" s="38" customFormat="1" x14ac:dyDescent="0.2"/>
    <row r="726" s="38" customFormat="1" x14ac:dyDescent="0.2"/>
    <row r="727" s="38" customFormat="1" x14ac:dyDescent="0.2"/>
    <row r="728" s="38" customFormat="1" x14ac:dyDescent="0.2"/>
    <row r="729" s="38" customFormat="1" x14ac:dyDescent="0.2"/>
    <row r="730" s="38" customFormat="1" x14ac:dyDescent="0.2"/>
    <row r="731" s="38" customFormat="1" x14ac:dyDescent="0.2"/>
    <row r="732" s="38" customFormat="1" x14ac:dyDescent="0.2"/>
    <row r="733" s="38" customFormat="1" x14ac:dyDescent="0.2"/>
    <row r="734" s="38" customFormat="1" x14ac:dyDescent="0.2"/>
    <row r="735" s="38" customFormat="1" x14ac:dyDescent="0.2"/>
    <row r="736" s="38" customFormat="1" x14ac:dyDescent="0.2"/>
    <row r="737" s="38" customFormat="1" x14ac:dyDescent="0.2"/>
    <row r="738" s="38" customFormat="1" x14ac:dyDescent="0.2"/>
    <row r="739" s="38" customFormat="1" x14ac:dyDescent="0.2"/>
    <row r="740" s="38" customFormat="1" x14ac:dyDescent="0.2"/>
    <row r="741" s="38" customFormat="1" x14ac:dyDescent="0.2"/>
    <row r="742" s="38" customFormat="1" x14ac:dyDescent="0.2"/>
    <row r="743" s="38" customFormat="1" x14ac:dyDescent="0.2"/>
    <row r="744" s="38" customFormat="1" x14ac:dyDescent="0.2"/>
    <row r="745" s="38" customFormat="1" x14ac:dyDescent="0.2"/>
    <row r="746" s="38" customFormat="1" x14ac:dyDescent="0.2"/>
    <row r="747" s="38" customFormat="1" x14ac:dyDescent="0.2"/>
    <row r="748" s="38" customFormat="1" x14ac:dyDescent="0.2"/>
    <row r="749" s="38" customFormat="1" x14ac:dyDescent="0.2"/>
    <row r="750" s="38" customFormat="1" x14ac:dyDescent="0.2"/>
    <row r="751" s="38" customFormat="1" x14ac:dyDescent="0.2"/>
    <row r="752" s="38" customFormat="1" x14ac:dyDescent="0.2"/>
    <row r="753" s="38" customFormat="1" x14ac:dyDescent="0.2"/>
    <row r="754" s="38" customFormat="1" x14ac:dyDescent="0.2"/>
    <row r="755" s="38" customFormat="1" x14ac:dyDescent="0.2"/>
    <row r="756" s="38" customFormat="1" x14ac:dyDescent="0.2"/>
    <row r="757" s="38" customFormat="1" x14ac:dyDescent="0.2"/>
    <row r="758" s="38" customFormat="1" x14ac:dyDescent="0.2"/>
    <row r="759" s="38" customFormat="1" x14ac:dyDescent="0.2"/>
    <row r="760" s="38" customFormat="1" x14ac:dyDescent="0.2"/>
    <row r="761" s="38" customFormat="1" x14ac:dyDescent="0.2"/>
    <row r="762" s="38" customFormat="1" x14ac:dyDescent="0.2"/>
    <row r="763" s="38" customFormat="1" x14ac:dyDescent="0.2"/>
    <row r="764" s="38" customFormat="1" x14ac:dyDescent="0.2"/>
    <row r="765" s="38" customFormat="1" x14ac:dyDescent="0.2"/>
    <row r="766" s="38" customFormat="1" x14ac:dyDescent="0.2"/>
    <row r="767" s="38" customFormat="1" x14ac:dyDescent="0.2"/>
    <row r="768" s="38" customFormat="1" x14ac:dyDescent="0.2"/>
    <row r="769" s="38" customFormat="1" x14ac:dyDescent="0.2"/>
    <row r="770" s="38" customFormat="1" x14ac:dyDescent="0.2"/>
    <row r="771" s="38" customFormat="1" x14ac:dyDescent="0.2"/>
    <row r="772" s="38" customFormat="1" x14ac:dyDescent="0.2"/>
    <row r="773" s="38" customFormat="1" x14ac:dyDescent="0.2"/>
    <row r="774" s="38" customFormat="1" x14ac:dyDescent="0.2"/>
    <row r="775" s="38" customFormat="1" x14ac:dyDescent="0.2"/>
    <row r="776" s="38" customFormat="1" x14ac:dyDescent="0.2"/>
    <row r="777" s="38" customFormat="1" x14ac:dyDescent="0.2"/>
    <row r="778" s="38" customFormat="1" x14ac:dyDescent="0.2"/>
    <row r="779" s="38" customFormat="1" x14ac:dyDescent="0.2"/>
    <row r="780" s="38" customFormat="1" x14ac:dyDescent="0.2"/>
    <row r="781" s="38" customFormat="1" x14ac:dyDescent="0.2"/>
    <row r="782" s="38" customFormat="1" x14ac:dyDescent="0.2"/>
    <row r="783" s="38" customFormat="1" x14ac:dyDescent="0.2"/>
    <row r="784" s="38" customFormat="1" x14ac:dyDescent="0.2"/>
    <row r="785" s="38" customFormat="1" x14ac:dyDescent="0.2"/>
    <row r="786" s="38" customFormat="1" x14ac:dyDescent="0.2"/>
    <row r="787" s="38" customFormat="1" x14ac:dyDescent="0.2"/>
    <row r="788" s="38" customFormat="1" x14ac:dyDescent="0.2"/>
    <row r="789" s="38" customFormat="1" x14ac:dyDescent="0.2"/>
    <row r="790" s="38" customFormat="1" x14ac:dyDescent="0.2"/>
    <row r="791" s="38" customFormat="1" x14ac:dyDescent="0.2"/>
    <row r="792" s="38" customFormat="1" x14ac:dyDescent="0.2"/>
    <row r="793" s="38" customFormat="1" x14ac:dyDescent="0.2"/>
    <row r="794" s="38" customFormat="1" x14ac:dyDescent="0.2"/>
    <row r="795" s="38" customFormat="1" x14ac:dyDescent="0.2"/>
    <row r="796" s="38" customFormat="1" x14ac:dyDescent="0.2"/>
    <row r="797" s="38" customFormat="1" x14ac:dyDescent="0.2"/>
    <row r="798" s="38" customFormat="1" x14ac:dyDescent="0.2"/>
    <row r="799" s="38" customFormat="1" x14ac:dyDescent="0.2"/>
    <row r="800" s="38" customFormat="1" x14ac:dyDescent="0.2"/>
    <row r="801" s="38" customFormat="1" x14ac:dyDescent="0.2"/>
    <row r="802" s="38" customFormat="1" x14ac:dyDescent="0.2"/>
    <row r="803" s="38" customFormat="1" x14ac:dyDescent="0.2"/>
    <row r="804" s="38" customFormat="1" x14ac:dyDescent="0.2"/>
    <row r="805" s="38" customFormat="1" x14ac:dyDescent="0.2"/>
    <row r="806" s="38" customFormat="1" x14ac:dyDescent="0.2"/>
    <row r="807" s="38" customFormat="1" x14ac:dyDescent="0.2"/>
    <row r="808" s="38" customFormat="1" x14ac:dyDescent="0.2"/>
    <row r="809" s="38" customFormat="1" x14ac:dyDescent="0.2"/>
    <row r="810" s="38" customFormat="1" x14ac:dyDescent="0.2"/>
    <row r="811" s="38" customFormat="1" x14ac:dyDescent="0.2"/>
    <row r="812" s="38" customFormat="1" x14ac:dyDescent="0.2"/>
    <row r="813" s="38" customFormat="1" x14ac:dyDescent="0.2"/>
    <row r="814" s="38" customFormat="1" x14ac:dyDescent="0.2"/>
    <row r="815" s="38" customFormat="1" x14ac:dyDescent="0.2"/>
    <row r="816" s="38" customFormat="1" x14ac:dyDescent="0.2"/>
    <row r="817" s="38" customFormat="1" x14ac:dyDescent="0.2"/>
    <row r="818" s="38" customFormat="1" x14ac:dyDescent="0.2"/>
    <row r="819" s="38" customFormat="1" x14ac:dyDescent="0.2"/>
    <row r="820" s="38" customFormat="1" x14ac:dyDescent="0.2"/>
    <row r="821" s="38" customFormat="1" x14ac:dyDescent="0.2"/>
    <row r="822" s="38" customFormat="1" x14ac:dyDescent="0.2"/>
    <row r="823" s="38" customFormat="1" x14ac:dyDescent="0.2"/>
    <row r="824" s="38" customFormat="1" x14ac:dyDescent="0.2"/>
    <row r="825" s="38" customFormat="1" x14ac:dyDescent="0.2"/>
    <row r="826" s="38" customFormat="1" x14ac:dyDescent="0.2"/>
    <row r="827" s="38" customFormat="1" x14ac:dyDescent="0.2"/>
    <row r="828" s="38" customFormat="1" x14ac:dyDescent="0.2"/>
    <row r="829" s="38" customFormat="1" x14ac:dyDescent="0.2"/>
    <row r="830" s="38" customFormat="1" x14ac:dyDescent="0.2"/>
    <row r="831" s="38" customFormat="1" x14ac:dyDescent="0.2"/>
    <row r="832" s="38" customFormat="1" x14ac:dyDescent="0.2"/>
    <row r="833" s="38" customFormat="1" x14ac:dyDescent="0.2"/>
    <row r="834" s="38" customFormat="1" x14ac:dyDescent="0.2"/>
    <row r="835" s="38" customFormat="1" x14ac:dyDescent="0.2"/>
    <row r="836" s="38" customFormat="1" x14ac:dyDescent="0.2"/>
    <row r="837" s="38" customFormat="1" x14ac:dyDescent="0.2"/>
    <row r="838" s="38" customFormat="1" x14ac:dyDescent="0.2"/>
    <row r="839" s="38" customFormat="1" x14ac:dyDescent="0.2"/>
    <row r="840" s="38" customFormat="1" x14ac:dyDescent="0.2"/>
    <row r="841" s="38" customFormat="1" x14ac:dyDescent="0.2"/>
    <row r="842" s="38" customFormat="1" x14ac:dyDescent="0.2"/>
    <row r="843" s="38" customFormat="1" x14ac:dyDescent="0.2"/>
    <row r="844" s="38" customFormat="1" x14ac:dyDescent="0.2"/>
    <row r="845" s="38" customFormat="1" x14ac:dyDescent="0.2"/>
    <row r="846" s="38" customFormat="1" x14ac:dyDescent="0.2"/>
    <row r="847" s="38" customFormat="1" x14ac:dyDescent="0.2"/>
    <row r="848" s="38" customFormat="1" x14ac:dyDescent="0.2"/>
    <row r="849" s="38" customFormat="1" x14ac:dyDescent="0.2"/>
    <row r="850" s="38" customFormat="1" x14ac:dyDescent="0.2"/>
    <row r="851" s="38" customFormat="1" x14ac:dyDescent="0.2"/>
    <row r="852" s="38" customFormat="1" x14ac:dyDescent="0.2"/>
    <row r="853" s="38" customFormat="1" x14ac:dyDescent="0.2"/>
    <row r="854" s="38" customFormat="1" x14ac:dyDescent="0.2"/>
    <row r="855" s="38" customFormat="1" x14ac:dyDescent="0.2"/>
    <row r="856" s="38" customFormat="1" x14ac:dyDescent="0.2"/>
    <row r="857" s="38" customFormat="1" x14ac:dyDescent="0.2"/>
    <row r="858" s="38" customFormat="1" x14ac:dyDescent="0.2"/>
    <row r="859" s="38" customFormat="1" x14ac:dyDescent="0.2"/>
    <row r="860" s="38" customFormat="1" x14ac:dyDescent="0.2"/>
    <row r="861" s="38" customFormat="1" x14ac:dyDescent="0.2"/>
    <row r="862" s="38" customFormat="1" x14ac:dyDescent="0.2"/>
    <row r="863" s="38" customFormat="1" x14ac:dyDescent="0.2"/>
    <row r="864" s="38" customFormat="1" x14ac:dyDescent="0.2"/>
    <row r="865" s="38" customFormat="1" x14ac:dyDescent="0.2"/>
    <row r="866" s="38" customFormat="1" x14ac:dyDescent="0.2"/>
    <row r="867" s="38" customFormat="1" x14ac:dyDescent="0.2"/>
    <row r="868" s="38" customFormat="1" x14ac:dyDescent="0.2"/>
    <row r="869" s="38" customFormat="1" x14ac:dyDescent="0.2"/>
    <row r="870" s="38" customFormat="1" x14ac:dyDescent="0.2"/>
    <row r="871" s="38" customFormat="1" x14ac:dyDescent="0.2"/>
    <row r="872" s="38" customFormat="1" x14ac:dyDescent="0.2"/>
    <row r="873" s="38" customFormat="1" x14ac:dyDescent="0.2"/>
    <row r="874" s="38" customFormat="1" x14ac:dyDescent="0.2"/>
    <row r="875" s="38" customFormat="1" x14ac:dyDescent="0.2"/>
    <row r="876" s="38" customFormat="1" x14ac:dyDescent="0.2"/>
    <row r="877" s="38" customFormat="1" x14ac:dyDescent="0.2"/>
    <row r="878" s="38" customFormat="1" x14ac:dyDescent="0.2"/>
    <row r="879" s="38" customFormat="1" x14ac:dyDescent="0.2"/>
    <row r="880" s="38" customFormat="1" x14ac:dyDescent="0.2"/>
    <row r="881" s="38" customFormat="1" x14ac:dyDescent="0.2"/>
    <row r="882" s="38" customFormat="1" x14ac:dyDescent="0.2"/>
    <row r="883" s="38" customFormat="1" x14ac:dyDescent="0.2"/>
    <row r="884" s="38" customFormat="1" x14ac:dyDescent="0.2"/>
    <row r="885" s="38" customFormat="1" x14ac:dyDescent="0.2"/>
    <row r="886" s="38" customFormat="1" x14ac:dyDescent="0.2"/>
    <row r="887" s="38" customFormat="1" x14ac:dyDescent="0.2"/>
    <row r="888" s="38" customFormat="1" x14ac:dyDescent="0.2"/>
    <row r="889" s="38" customFormat="1" x14ac:dyDescent="0.2"/>
    <row r="890" s="38" customFormat="1" x14ac:dyDescent="0.2"/>
    <row r="891" s="38" customFormat="1" x14ac:dyDescent="0.2"/>
    <row r="892" s="38" customFormat="1" x14ac:dyDescent="0.2"/>
    <row r="893" s="38" customFormat="1" x14ac:dyDescent="0.2"/>
    <row r="894" s="38" customFormat="1" x14ac:dyDescent="0.2"/>
    <row r="895" s="38" customFormat="1" x14ac:dyDescent="0.2"/>
    <row r="896" s="38" customFormat="1" x14ac:dyDescent="0.2"/>
    <row r="897" s="38" customFormat="1" x14ac:dyDescent="0.2"/>
    <row r="898" s="38" customFormat="1" x14ac:dyDescent="0.2"/>
    <row r="899" s="38" customFormat="1" x14ac:dyDescent="0.2"/>
    <row r="900" s="38" customFormat="1" x14ac:dyDescent="0.2"/>
    <row r="901" s="38" customFormat="1" x14ac:dyDescent="0.2"/>
    <row r="902" s="38" customFormat="1" x14ac:dyDescent="0.2"/>
    <row r="903" s="38" customFormat="1" x14ac:dyDescent="0.2"/>
    <row r="904" s="38" customFormat="1" x14ac:dyDescent="0.2"/>
    <row r="905" s="38" customFormat="1" x14ac:dyDescent="0.2"/>
    <row r="906" s="38" customFormat="1" x14ac:dyDescent="0.2"/>
    <row r="907" s="38" customFormat="1" x14ac:dyDescent="0.2"/>
    <row r="908" s="38" customFormat="1" x14ac:dyDescent="0.2"/>
    <row r="909" s="38" customFormat="1" x14ac:dyDescent="0.2"/>
    <row r="910" s="38" customFormat="1" x14ac:dyDescent="0.2"/>
    <row r="911" s="38" customFormat="1" x14ac:dyDescent="0.2"/>
    <row r="912" s="38" customFormat="1" x14ac:dyDescent="0.2"/>
    <row r="913" s="38" customFormat="1" x14ac:dyDescent="0.2"/>
    <row r="914" s="38" customFormat="1" x14ac:dyDescent="0.2"/>
    <row r="915" s="38" customFormat="1" x14ac:dyDescent="0.2"/>
    <row r="916" s="38" customFormat="1" x14ac:dyDescent="0.2"/>
    <row r="917" s="38" customFormat="1" x14ac:dyDescent="0.2"/>
    <row r="918" s="38" customFormat="1" x14ac:dyDescent="0.2"/>
    <row r="919" s="38" customFormat="1" x14ac:dyDescent="0.2"/>
    <row r="920" s="38" customFormat="1" x14ac:dyDescent="0.2"/>
    <row r="921" s="38" customFormat="1" x14ac:dyDescent="0.2"/>
    <row r="922" s="38" customFormat="1" x14ac:dyDescent="0.2"/>
    <row r="923" s="38" customFormat="1" x14ac:dyDescent="0.2"/>
    <row r="924" s="38" customFormat="1" x14ac:dyDescent="0.2"/>
    <row r="925" s="38" customFormat="1" x14ac:dyDescent="0.2"/>
    <row r="926" s="38" customFormat="1" x14ac:dyDescent="0.2"/>
    <row r="927" s="38" customFormat="1" x14ac:dyDescent="0.2"/>
    <row r="928" s="38" customFormat="1" x14ac:dyDescent="0.2"/>
    <row r="929" s="38" customFormat="1" x14ac:dyDescent="0.2"/>
    <row r="930" s="38" customFormat="1" x14ac:dyDescent="0.2"/>
    <row r="931" s="38" customFormat="1" x14ac:dyDescent="0.2"/>
    <row r="932" s="38" customFormat="1" x14ac:dyDescent="0.2"/>
    <row r="933" s="38" customFormat="1" x14ac:dyDescent="0.2"/>
    <row r="934" s="38" customFormat="1" x14ac:dyDescent="0.2"/>
    <row r="935" s="38" customFormat="1" x14ac:dyDescent="0.2"/>
    <row r="936" s="38" customFormat="1" x14ac:dyDescent="0.2"/>
    <row r="937" s="38" customFormat="1" x14ac:dyDescent="0.2"/>
    <row r="938" s="38" customFormat="1" x14ac:dyDescent="0.2"/>
    <row r="939" s="38" customFormat="1" x14ac:dyDescent="0.2"/>
    <row r="940" s="38" customFormat="1" x14ac:dyDescent="0.2"/>
    <row r="941" s="38" customFormat="1" x14ac:dyDescent="0.2"/>
    <row r="942" s="38" customFormat="1" x14ac:dyDescent="0.2"/>
    <row r="943" s="38" customFormat="1" x14ac:dyDescent="0.2"/>
    <row r="944" s="38" customFormat="1" x14ac:dyDescent="0.2"/>
    <row r="945" s="38" customFormat="1" x14ac:dyDescent="0.2"/>
    <row r="946" s="38" customFormat="1" x14ac:dyDescent="0.2"/>
    <row r="947" s="38" customFormat="1" x14ac:dyDescent="0.2"/>
    <row r="948" s="38" customFormat="1" x14ac:dyDescent="0.2"/>
    <row r="949" s="38" customFormat="1" x14ac:dyDescent="0.2"/>
    <row r="950" s="38" customFormat="1" x14ac:dyDescent="0.2"/>
    <row r="951" s="38" customFormat="1" x14ac:dyDescent="0.2"/>
    <row r="952" s="38" customFormat="1" x14ac:dyDescent="0.2"/>
    <row r="953" s="38" customFormat="1" x14ac:dyDescent="0.2"/>
    <row r="954" s="38" customFormat="1" x14ac:dyDescent="0.2"/>
    <row r="955" s="38" customFormat="1" x14ac:dyDescent="0.2"/>
    <row r="956" s="38" customFormat="1" x14ac:dyDescent="0.2"/>
    <row r="957" s="38" customFormat="1" x14ac:dyDescent="0.2"/>
    <row r="958" s="38" customFormat="1" x14ac:dyDescent="0.2"/>
    <row r="959" s="38" customFormat="1" x14ac:dyDescent="0.2"/>
    <row r="960" s="38" customFormat="1" x14ac:dyDescent="0.2"/>
    <row r="961" s="38" customFormat="1" x14ac:dyDescent="0.2"/>
    <row r="962" s="38" customFormat="1" x14ac:dyDescent="0.2"/>
    <row r="963" s="38" customFormat="1" x14ac:dyDescent="0.2"/>
    <row r="964" s="38" customFormat="1" x14ac:dyDescent="0.2"/>
    <row r="965" s="38" customFormat="1" x14ac:dyDescent="0.2"/>
    <row r="966" s="38" customFormat="1" x14ac:dyDescent="0.2"/>
    <row r="967" s="38" customFormat="1" x14ac:dyDescent="0.2"/>
    <row r="968" s="38" customFormat="1" x14ac:dyDescent="0.2"/>
    <row r="969" s="38" customFormat="1" x14ac:dyDescent="0.2"/>
    <row r="970" s="38" customFormat="1" x14ac:dyDescent="0.2"/>
    <row r="971" s="38" customFormat="1" x14ac:dyDescent="0.2"/>
    <row r="972" s="38" customFormat="1" x14ac:dyDescent="0.2"/>
    <row r="973" s="38" customFormat="1" x14ac:dyDescent="0.2"/>
    <row r="974" s="38" customFormat="1" x14ac:dyDescent="0.2"/>
    <row r="975" s="38" customFormat="1" x14ac:dyDescent="0.2"/>
    <row r="976" s="38" customFormat="1" x14ac:dyDescent="0.2"/>
    <row r="977" s="38" customFormat="1" x14ac:dyDescent="0.2"/>
    <row r="978" s="38" customFormat="1" x14ac:dyDescent="0.2"/>
    <row r="979" s="38" customFormat="1" x14ac:dyDescent="0.2"/>
    <row r="980" s="38" customFormat="1" x14ac:dyDescent="0.2"/>
    <row r="981" s="38" customFormat="1" x14ac:dyDescent="0.2"/>
    <row r="982" s="38" customFormat="1" x14ac:dyDescent="0.2"/>
    <row r="983" s="38" customFormat="1" x14ac:dyDescent="0.2"/>
    <row r="984" s="38" customFormat="1" x14ac:dyDescent="0.2"/>
    <row r="985" s="38" customFormat="1" x14ac:dyDescent="0.2"/>
    <row r="986" s="38" customFormat="1" x14ac:dyDescent="0.2"/>
    <row r="987" s="38" customFormat="1" x14ac:dyDescent="0.2"/>
    <row r="988" s="38" customFormat="1" x14ac:dyDescent="0.2"/>
    <row r="989" s="38" customFormat="1" x14ac:dyDescent="0.2"/>
    <row r="990" s="38" customFormat="1" x14ac:dyDescent="0.2"/>
    <row r="991" s="38" customFormat="1" x14ac:dyDescent="0.2"/>
    <row r="992" s="38" customFormat="1" x14ac:dyDescent="0.2"/>
    <row r="993" s="38" customFormat="1" x14ac:dyDescent="0.2"/>
    <row r="994" s="38" customFormat="1" x14ac:dyDescent="0.2"/>
    <row r="995" s="38" customFormat="1" x14ac:dyDescent="0.2"/>
    <row r="996" s="38" customFormat="1" x14ac:dyDescent="0.2"/>
    <row r="997" s="38" customFormat="1" x14ac:dyDescent="0.2"/>
    <row r="998" s="38" customFormat="1" x14ac:dyDescent="0.2"/>
    <row r="999" s="38" customFormat="1" x14ac:dyDescent="0.2"/>
    <row r="1000" s="38" customFormat="1" x14ac:dyDescent="0.2"/>
    <row r="1001" s="38" customFormat="1" x14ac:dyDescent="0.2"/>
    <row r="1002" s="38" customFormat="1" x14ac:dyDescent="0.2"/>
    <row r="1003" s="38" customFormat="1" x14ac:dyDescent="0.2"/>
    <row r="1004" s="38" customFormat="1" x14ac:dyDescent="0.2"/>
    <row r="1005" s="38" customFormat="1" x14ac:dyDescent="0.2"/>
    <row r="1006" s="38" customFormat="1" x14ac:dyDescent="0.2"/>
    <row r="1007" s="38" customFormat="1" x14ac:dyDescent="0.2"/>
    <row r="1008" s="38" customFormat="1" x14ac:dyDescent="0.2"/>
    <row r="1009" s="38" customFormat="1" x14ac:dyDescent="0.2"/>
    <row r="1010" s="38" customFormat="1" x14ac:dyDescent="0.2"/>
    <row r="1011" s="38" customFormat="1" x14ac:dyDescent="0.2"/>
    <row r="1012" s="38" customFormat="1" x14ac:dyDescent="0.2"/>
    <row r="1013" s="38" customFormat="1" x14ac:dyDescent="0.2"/>
    <row r="1014" s="38" customFormat="1" x14ac:dyDescent="0.2"/>
    <row r="1015" s="38" customFormat="1" x14ac:dyDescent="0.2"/>
    <row r="1016" s="38" customFormat="1" x14ac:dyDescent="0.2"/>
    <row r="1017" s="38" customFormat="1" x14ac:dyDescent="0.2"/>
    <row r="1018" s="38" customFormat="1" x14ac:dyDescent="0.2"/>
    <row r="1019" s="38" customFormat="1" x14ac:dyDescent="0.2"/>
    <row r="1020" s="38" customFormat="1" x14ac:dyDescent="0.2"/>
    <row r="1021" s="38" customFormat="1" x14ac:dyDescent="0.2"/>
    <row r="1022" s="38" customFormat="1" x14ac:dyDescent="0.2"/>
    <row r="1023" s="38" customFormat="1" x14ac:dyDescent="0.2"/>
    <row r="1024" s="38" customFormat="1" x14ac:dyDescent="0.2"/>
    <row r="1025" s="38" customFormat="1" x14ac:dyDescent="0.2"/>
    <row r="1026" s="38" customFormat="1" x14ac:dyDescent="0.2"/>
    <row r="1027" s="38" customFormat="1" x14ac:dyDescent="0.2"/>
    <row r="1028" s="38" customFormat="1" x14ac:dyDescent="0.2"/>
    <row r="1029" s="38" customFormat="1" x14ac:dyDescent="0.2"/>
    <row r="1030" s="38" customFormat="1" x14ac:dyDescent="0.2"/>
    <row r="1031" s="38" customFormat="1" x14ac:dyDescent="0.2"/>
    <row r="1032" s="38" customFormat="1" x14ac:dyDescent="0.2"/>
    <row r="1033" s="38" customFormat="1" x14ac:dyDescent="0.2"/>
    <row r="1034" s="38" customFormat="1" x14ac:dyDescent="0.2"/>
    <row r="1035" s="38" customFormat="1" x14ac:dyDescent="0.2"/>
    <row r="1036" s="38" customFormat="1" x14ac:dyDescent="0.2"/>
    <row r="1037" s="38" customFormat="1" x14ac:dyDescent="0.2"/>
    <row r="1038" s="38" customFormat="1" x14ac:dyDescent="0.2"/>
    <row r="1039" s="38" customFormat="1" x14ac:dyDescent="0.2"/>
    <row r="1040" s="38" customFormat="1" x14ac:dyDescent="0.2"/>
    <row r="1041" s="38" customFormat="1" x14ac:dyDescent="0.2"/>
    <row r="1042" s="38" customFormat="1" x14ac:dyDescent="0.2"/>
    <row r="1043" s="38" customFormat="1" x14ac:dyDescent="0.2"/>
    <row r="1044" s="38" customFormat="1" x14ac:dyDescent="0.2"/>
    <row r="1045" s="38" customFormat="1" x14ac:dyDescent="0.2"/>
    <row r="1046" s="38" customFormat="1" x14ac:dyDescent="0.2"/>
    <row r="1047" s="38" customFormat="1" x14ac:dyDescent="0.2"/>
    <row r="1048" s="38" customFormat="1" x14ac:dyDescent="0.2"/>
    <row r="1049" s="38" customFormat="1" x14ac:dyDescent="0.2"/>
    <row r="1050" s="38" customFormat="1" x14ac:dyDescent="0.2"/>
    <row r="1051" s="38" customFormat="1" x14ac:dyDescent="0.2"/>
    <row r="1052" s="38" customFormat="1" x14ac:dyDescent="0.2"/>
    <row r="1053" s="38" customFormat="1" x14ac:dyDescent="0.2"/>
    <row r="1054" s="38" customFormat="1" x14ac:dyDescent="0.2"/>
    <row r="1055" s="38" customFormat="1" x14ac:dyDescent="0.2"/>
    <row r="1056" s="38" customFormat="1" x14ac:dyDescent="0.2"/>
    <row r="1057" s="38" customFormat="1" x14ac:dyDescent="0.2"/>
    <row r="1058" s="38" customFormat="1" x14ac:dyDescent="0.2"/>
    <row r="1059" s="38" customFormat="1" x14ac:dyDescent="0.2"/>
    <row r="1060" s="38" customFormat="1" x14ac:dyDescent="0.2"/>
    <row r="1061" s="38" customFormat="1" x14ac:dyDescent="0.2"/>
    <row r="1062" s="38" customFormat="1" x14ac:dyDescent="0.2"/>
    <row r="1063" s="38" customFormat="1" x14ac:dyDescent="0.2"/>
    <row r="1064" s="38" customFormat="1" x14ac:dyDescent="0.2"/>
    <row r="1065" s="38" customFormat="1" x14ac:dyDescent="0.2"/>
    <row r="1066" s="38" customFormat="1" x14ac:dyDescent="0.2"/>
    <row r="1067" s="38" customFormat="1" x14ac:dyDescent="0.2"/>
    <row r="1068" s="38" customFormat="1" x14ac:dyDescent="0.2"/>
    <row r="1069" s="38" customFormat="1" x14ac:dyDescent="0.2"/>
    <row r="1070" s="38" customFormat="1" x14ac:dyDescent="0.2"/>
    <row r="1071" s="38" customFormat="1" x14ac:dyDescent="0.2"/>
    <row r="1072" s="38" customFormat="1" x14ac:dyDescent="0.2"/>
    <row r="1073" s="38" customFormat="1" x14ac:dyDescent="0.2"/>
    <row r="1074" s="38" customFormat="1" x14ac:dyDescent="0.2"/>
    <row r="1075" s="38" customFormat="1" x14ac:dyDescent="0.2"/>
    <row r="1076" s="38" customFormat="1" x14ac:dyDescent="0.2"/>
    <row r="1077" s="38" customFormat="1" x14ac:dyDescent="0.2"/>
    <row r="1078" s="38" customFormat="1" x14ac:dyDescent="0.2"/>
    <row r="1079" s="38" customFormat="1" x14ac:dyDescent="0.2"/>
    <row r="1080" s="38" customFormat="1" x14ac:dyDescent="0.2"/>
    <row r="1081" s="38" customFormat="1" x14ac:dyDescent="0.2"/>
    <row r="1082" s="38" customFormat="1" x14ac:dyDescent="0.2"/>
    <row r="1083" s="38" customFormat="1" x14ac:dyDescent="0.2"/>
    <row r="1084" s="38" customFormat="1" x14ac:dyDescent="0.2"/>
    <row r="1085" s="38" customFormat="1" x14ac:dyDescent="0.2"/>
    <row r="1086" s="38" customFormat="1" x14ac:dyDescent="0.2"/>
    <row r="1087" s="38" customFormat="1" x14ac:dyDescent="0.2"/>
    <row r="1088" s="38" customFormat="1" x14ac:dyDescent="0.2"/>
    <row r="1089" s="38" customFormat="1" x14ac:dyDescent="0.2"/>
    <row r="1090" s="38" customFormat="1" x14ac:dyDescent="0.2"/>
    <row r="1091" s="38" customFormat="1" x14ac:dyDescent="0.2"/>
    <row r="1092" s="38" customFormat="1" x14ac:dyDescent="0.2"/>
    <row r="1093" s="38" customFormat="1" x14ac:dyDescent="0.2"/>
    <row r="1094" s="38" customFormat="1" x14ac:dyDescent="0.2"/>
    <row r="1095" s="38" customFormat="1" x14ac:dyDescent="0.2"/>
    <row r="1096" s="38" customFormat="1" x14ac:dyDescent="0.2"/>
    <row r="1097" s="38" customFormat="1" x14ac:dyDescent="0.2"/>
    <row r="1098" s="38" customFormat="1" x14ac:dyDescent="0.2"/>
    <row r="1099" s="38" customFormat="1" x14ac:dyDescent="0.2"/>
    <row r="1100" s="38" customFormat="1" x14ac:dyDescent="0.2"/>
    <row r="1101" s="38" customFormat="1" x14ac:dyDescent="0.2"/>
    <row r="1102" s="38" customFormat="1" x14ac:dyDescent="0.2"/>
    <row r="1103" s="38" customFormat="1" x14ac:dyDescent="0.2"/>
    <row r="1104" s="38" customFormat="1" x14ac:dyDescent="0.2"/>
    <row r="1105" s="38" customFormat="1" x14ac:dyDescent="0.2"/>
    <row r="1106" s="38" customFormat="1" x14ac:dyDescent="0.2"/>
    <row r="1107" s="38" customFormat="1" x14ac:dyDescent="0.2"/>
    <row r="1108" s="38" customFormat="1" x14ac:dyDescent="0.2"/>
    <row r="1109" s="38" customFormat="1" x14ac:dyDescent="0.2"/>
    <row r="1110" s="38" customFormat="1" x14ac:dyDescent="0.2"/>
    <row r="1111" s="38" customFormat="1" x14ac:dyDescent="0.2"/>
    <row r="1112" s="38" customFormat="1" x14ac:dyDescent="0.2"/>
    <row r="1113" s="38" customFormat="1" x14ac:dyDescent="0.2"/>
    <row r="1114" s="38" customFormat="1" x14ac:dyDescent="0.2"/>
    <row r="1115" s="38" customFormat="1" x14ac:dyDescent="0.2"/>
    <row r="1116" s="38" customFormat="1" x14ac:dyDescent="0.2"/>
    <row r="1117" s="38" customFormat="1" x14ac:dyDescent="0.2"/>
    <row r="1118" s="38" customFormat="1" x14ac:dyDescent="0.2"/>
    <row r="1119" s="38" customFormat="1" x14ac:dyDescent="0.2"/>
    <row r="1120" s="38" customFormat="1" x14ac:dyDescent="0.2"/>
    <row r="1121" s="38" customFormat="1" x14ac:dyDescent="0.2"/>
    <row r="1122" s="38" customFormat="1" x14ac:dyDescent="0.2"/>
    <row r="1123" s="38" customFormat="1" x14ac:dyDescent="0.2"/>
    <row r="1124" s="38" customFormat="1" x14ac:dyDescent="0.2"/>
    <row r="1125" s="38" customFormat="1" x14ac:dyDescent="0.2"/>
    <row r="1126" s="38" customFormat="1" x14ac:dyDescent="0.2"/>
    <row r="1127" s="38" customFormat="1" x14ac:dyDescent="0.2"/>
    <row r="1128" s="38" customFormat="1" x14ac:dyDescent="0.2"/>
    <row r="1129" s="38" customFormat="1" x14ac:dyDescent="0.2"/>
    <row r="1130" s="38" customFormat="1" x14ac:dyDescent="0.2"/>
    <row r="1131" s="38" customFormat="1" x14ac:dyDescent="0.2"/>
    <row r="1132" s="38" customFormat="1" x14ac:dyDescent="0.2"/>
    <row r="1133" s="38" customFormat="1" x14ac:dyDescent="0.2"/>
    <row r="1134" s="38" customFormat="1" x14ac:dyDescent="0.2"/>
    <row r="1135" s="38" customFormat="1" x14ac:dyDescent="0.2"/>
    <row r="1136" s="38" customFormat="1" x14ac:dyDescent="0.2"/>
    <row r="1137" s="38" customFormat="1" x14ac:dyDescent="0.2"/>
    <row r="1138" s="38" customFormat="1" x14ac:dyDescent="0.2"/>
    <row r="1139" s="38" customFormat="1" x14ac:dyDescent="0.2"/>
    <row r="1140" s="38" customFormat="1" x14ac:dyDescent="0.2"/>
    <row r="1141" s="38" customFormat="1" x14ac:dyDescent="0.2"/>
    <row r="1142" s="38" customFormat="1" x14ac:dyDescent="0.2"/>
    <row r="1143" s="38" customFormat="1" x14ac:dyDescent="0.2"/>
    <row r="1144" s="38" customFormat="1" x14ac:dyDescent="0.2"/>
    <row r="1145" s="38" customFormat="1" x14ac:dyDescent="0.2"/>
    <row r="1146" s="38" customFormat="1" x14ac:dyDescent="0.2"/>
    <row r="1147" s="38" customFormat="1" x14ac:dyDescent="0.2"/>
    <row r="1148" s="38" customFormat="1" x14ac:dyDescent="0.2"/>
    <row r="1149" s="38" customFormat="1" x14ac:dyDescent="0.2"/>
    <row r="1150" s="38" customFormat="1" x14ac:dyDescent="0.2"/>
    <row r="1151" s="38" customFormat="1" x14ac:dyDescent="0.2"/>
    <row r="1152" s="38" customFormat="1" x14ac:dyDescent="0.2"/>
    <row r="1153" s="38" customFormat="1" x14ac:dyDescent="0.2"/>
    <row r="1154" s="38" customFormat="1" x14ac:dyDescent="0.2"/>
    <row r="1155" s="38" customFormat="1" x14ac:dyDescent="0.2"/>
    <row r="1156" s="38" customFormat="1" x14ac:dyDescent="0.2"/>
    <row r="1157" s="38" customFormat="1" x14ac:dyDescent="0.2"/>
    <row r="1158" s="38" customFormat="1" x14ac:dyDescent="0.2"/>
    <row r="1159" s="38" customFormat="1" x14ac:dyDescent="0.2"/>
    <row r="1160" s="38" customFormat="1" x14ac:dyDescent="0.2"/>
    <row r="1161" s="38" customFormat="1" x14ac:dyDescent="0.2"/>
    <row r="1162" s="38" customFormat="1" x14ac:dyDescent="0.2"/>
    <row r="1163" s="38" customFormat="1" x14ac:dyDescent="0.2"/>
    <row r="1164" s="38" customFormat="1" x14ac:dyDescent="0.2"/>
    <row r="1165" s="38" customFormat="1" x14ac:dyDescent="0.2"/>
    <row r="1166" s="38" customFormat="1" x14ac:dyDescent="0.2"/>
    <row r="1167" s="38" customFormat="1" x14ac:dyDescent="0.2"/>
    <row r="1168" s="38" customFormat="1" x14ac:dyDescent="0.2"/>
    <row r="1169" s="38" customFormat="1" x14ac:dyDescent="0.2"/>
    <row r="1170" s="38" customFormat="1" x14ac:dyDescent="0.2"/>
    <row r="1171" s="38" customFormat="1" x14ac:dyDescent="0.2"/>
    <row r="1172" s="38" customFormat="1" x14ac:dyDescent="0.2"/>
    <row r="1173" s="38" customFormat="1" x14ac:dyDescent="0.2"/>
    <row r="1174" s="38" customFormat="1" x14ac:dyDescent="0.2"/>
    <row r="1175" s="38" customFormat="1" x14ac:dyDescent="0.2"/>
    <row r="1176" s="38" customFormat="1" x14ac:dyDescent="0.2"/>
    <row r="1177" s="38" customFormat="1" x14ac:dyDescent="0.2"/>
    <row r="1178" s="38" customFormat="1" x14ac:dyDescent="0.2"/>
    <row r="1179" s="38" customFormat="1" x14ac:dyDescent="0.2"/>
    <row r="1180" s="38" customFormat="1" x14ac:dyDescent="0.2"/>
    <row r="1181" s="38" customFormat="1" x14ac:dyDescent="0.2"/>
    <row r="1182" s="38" customFormat="1" x14ac:dyDescent="0.2"/>
    <row r="1183" s="38" customFormat="1" x14ac:dyDescent="0.2"/>
    <row r="1184" s="38" customFormat="1" x14ac:dyDescent="0.2"/>
    <row r="1185" s="38" customFormat="1" x14ac:dyDescent="0.2"/>
    <row r="1186" s="38" customFormat="1" x14ac:dyDescent="0.2"/>
    <row r="1187" s="38" customFormat="1" x14ac:dyDescent="0.2"/>
    <row r="1188" s="38" customFormat="1" x14ac:dyDescent="0.2"/>
    <row r="1189" s="38" customFormat="1" x14ac:dyDescent="0.2"/>
    <row r="1190" s="38" customFormat="1" x14ac:dyDescent="0.2"/>
    <row r="1191" s="38" customFormat="1" x14ac:dyDescent="0.2"/>
    <row r="1192" s="38" customFormat="1" x14ac:dyDescent="0.2"/>
    <row r="1193" s="38" customFormat="1" x14ac:dyDescent="0.2"/>
    <row r="1194" s="38" customFormat="1" x14ac:dyDescent="0.2"/>
    <row r="1195" s="38" customFormat="1" x14ac:dyDescent="0.2"/>
    <row r="1196" s="38" customFormat="1" x14ac:dyDescent="0.2"/>
    <row r="1197" s="38" customFormat="1" x14ac:dyDescent="0.2"/>
    <row r="1198" s="38" customFormat="1" x14ac:dyDescent="0.2"/>
    <row r="1199" s="38" customFormat="1" x14ac:dyDescent="0.2"/>
    <row r="1200" s="38" customFormat="1" x14ac:dyDescent="0.2"/>
    <row r="1201" s="38" customFormat="1" x14ac:dyDescent="0.2"/>
    <row r="1202" s="38" customFormat="1" x14ac:dyDescent="0.2"/>
    <row r="1203" s="38" customFormat="1" x14ac:dyDescent="0.2"/>
    <row r="1204" s="38" customFormat="1" x14ac:dyDescent="0.2"/>
    <row r="1205" s="38" customFormat="1" x14ac:dyDescent="0.2"/>
    <row r="1206" s="38" customFormat="1" x14ac:dyDescent="0.2"/>
    <row r="1207" s="38" customFormat="1" x14ac:dyDescent="0.2"/>
    <row r="1208" s="38" customFormat="1" x14ac:dyDescent="0.2"/>
    <row r="1209" s="38" customFormat="1" x14ac:dyDescent="0.2"/>
    <row r="1210" s="38" customFormat="1" x14ac:dyDescent="0.2"/>
    <row r="1211" s="38" customFormat="1" x14ac:dyDescent="0.2"/>
    <row r="1212" s="38" customFormat="1" x14ac:dyDescent="0.2"/>
    <row r="1213" s="38" customFormat="1" x14ac:dyDescent="0.2"/>
    <row r="1214" s="38" customFormat="1" x14ac:dyDescent="0.2"/>
    <row r="1215" s="38" customFormat="1" x14ac:dyDescent="0.2"/>
    <row r="1216" s="38" customFormat="1" x14ac:dyDescent="0.2"/>
    <row r="1217" s="38" customFormat="1" x14ac:dyDescent="0.2"/>
    <row r="1218" s="38" customFormat="1" x14ac:dyDescent="0.2"/>
    <row r="1219" s="38" customFormat="1" x14ac:dyDescent="0.2"/>
    <row r="1220" s="38" customFormat="1" x14ac:dyDescent="0.2"/>
    <row r="1221" s="38" customFormat="1" x14ac:dyDescent="0.2"/>
    <row r="1222" s="38" customFormat="1" x14ac:dyDescent="0.2"/>
    <row r="1223" s="38" customFormat="1" x14ac:dyDescent="0.2"/>
    <row r="1224" s="38" customFormat="1" x14ac:dyDescent="0.2"/>
    <row r="1225" s="38" customFormat="1" x14ac:dyDescent="0.2"/>
    <row r="1226" s="38" customFormat="1" x14ac:dyDescent="0.2"/>
    <row r="1227" s="38" customFormat="1" x14ac:dyDescent="0.2"/>
    <row r="1228" s="38" customFormat="1" x14ac:dyDescent="0.2"/>
    <row r="1229" s="38" customFormat="1" x14ac:dyDescent="0.2"/>
    <row r="1230" s="38" customFormat="1" x14ac:dyDescent="0.2"/>
    <row r="1231" s="38" customFormat="1" x14ac:dyDescent="0.2"/>
    <row r="1232" s="38" customFormat="1" x14ac:dyDescent="0.2"/>
    <row r="1233" s="38" customFormat="1" x14ac:dyDescent="0.2"/>
    <row r="1234" s="38" customFormat="1" x14ac:dyDescent="0.2"/>
    <row r="1235" s="38" customFormat="1" x14ac:dyDescent="0.2"/>
    <row r="1236" s="38" customFormat="1" x14ac:dyDescent="0.2"/>
    <row r="1237" s="38" customFormat="1" x14ac:dyDescent="0.2"/>
    <row r="1238" s="38" customFormat="1" x14ac:dyDescent="0.2"/>
    <row r="1239" s="38" customFormat="1" x14ac:dyDescent="0.2"/>
    <row r="1240" s="38" customFormat="1" x14ac:dyDescent="0.2"/>
    <row r="1241" s="38" customFormat="1" x14ac:dyDescent="0.2"/>
    <row r="1242" s="38" customFormat="1" x14ac:dyDescent="0.2"/>
    <row r="1243" s="38" customFormat="1" x14ac:dyDescent="0.2"/>
    <row r="1244" s="38" customFormat="1" x14ac:dyDescent="0.2"/>
    <row r="1245" s="38" customFormat="1" x14ac:dyDescent="0.2"/>
    <row r="1246" s="38" customFormat="1" x14ac:dyDescent="0.2"/>
    <row r="1247" s="38" customFormat="1" x14ac:dyDescent="0.2"/>
    <row r="1248" s="38" customFormat="1" x14ac:dyDescent="0.2"/>
    <row r="1249" s="38" customFormat="1" x14ac:dyDescent="0.2"/>
    <row r="1250" s="38" customFormat="1" x14ac:dyDescent="0.2"/>
    <row r="1251" s="38" customFormat="1" x14ac:dyDescent="0.2"/>
    <row r="1252" s="38" customFormat="1" x14ac:dyDescent="0.2"/>
    <row r="1253" s="38" customFormat="1" x14ac:dyDescent="0.2"/>
    <row r="1254" s="38" customFormat="1" x14ac:dyDescent="0.2"/>
    <row r="1255" s="38" customFormat="1" x14ac:dyDescent="0.2"/>
    <row r="1256" s="38" customFormat="1" x14ac:dyDescent="0.2"/>
    <row r="1257" s="38" customFormat="1" x14ac:dyDescent="0.2"/>
    <row r="1258" s="38" customFormat="1" x14ac:dyDescent="0.2"/>
    <row r="1259" s="38" customFormat="1" x14ac:dyDescent="0.2"/>
    <row r="1260" s="38" customFormat="1" x14ac:dyDescent="0.2"/>
    <row r="1261" s="38" customFormat="1" x14ac:dyDescent="0.2"/>
    <row r="1262" s="38" customFormat="1" x14ac:dyDescent="0.2"/>
    <row r="1263" s="38" customFormat="1" x14ac:dyDescent="0.2"/>
    <row r="1264" s="38" customFormat="1" x14ac:dyDescent="0.2"/>
    <row r="1265" s="38" customFormat="1" x14ac:dyDescent="0.2"/>
    <row r="1266" s="38" customFormat="1" x14ac:dyDescent="0.2"/>
    <row r="1267" s="38" customFormat="1" x14ac:dyDescent="0.2"/>
    <row r="1268" s="38" customFormat="1" x14ac:dyDescent="0.2"/>
    <row r="1269" s="38" customFormat="1" x14ac:dyDescent="0.2"/>
    <row r="1270" s="38" customFormat="1" x14ac:dyDescent="0.2"/>
    <row r="1271" s="38" customFormat="1" x14ac:dyDescent="0.2"/>
    <row r="1272" s="38" customFormat="1" x14ac:dyDescent="0.2"/>
    <row r="1273" s="38" customFormat="1" x14ac:dyDescent="0.2"/>
    <row r="1274" s="38" customFormat="1" x14ac:dyDescent="0.2"/>
    <row r="1275" s="38" customFormat="1" x14ac:dyDescent="0.2"/>
    <row r="1276" s="38" customFormat="1" x14ac:dyDescent="0.2"/>
    <row r="1277" s="38" customFormat="1" x14ac:dyDescent="0.2"/>
    <row r="1278" s="38" customFormat="1" x14ac:dyDescent="0.2"/>
    <row r="1279" s="38" customFormat="1" x14ac:dyDescent="0.2"/>
    <row r="1280" s="38" customFormat="1" x14ac:dyDescent="0.2"/>
    <row r="1281" s="38" customFormat="1" x14ac:dyDescent="0.2"/>
    <row r="1282" s="38" customFormat="1" x14ac:dyDescent="0.2"/>
    <row r="1283" s="38" customFormat="1" x14ac:dyDescent="0.2"/>
    <row r="1284" s="38" customFormat="1" x14ac:dyDescent="0.2"/>
    <row r="1285" s="38" customFormat="1" x14ac:dyDescent="0.2"/>
    <row r="1286" s="38" customFormat="1" x14ac:dyDescent="0.2"/>
    <row r="1287" s="38" customFormat="1" x14ac:dyDescent="0.2"/>
    <row r="1288" s="38" customFormat="1" x14ac:dyDescent="0.2"/>
    <row r="1289" s="38" customFormat="1" x14ac:dyDescent="0.2"/>
    <row r="1290" s="38" customFormat="1" x14ac:dyDescent="0.2"/>
    <row r="1291" s="38" customFormat="1" x14ac:dyDescent="0.2"/>
    <row r="1292" s="38" customFormat="1" x14ac:dyDescent="0.2"/>
    <row r="1293" s="38" customFormat="1" x14ac:dyDescent="0.2"/>
    <row r="1294" s="38" customFormat="1" x14ac:dyDescent="0.2"/>
    <row r="1295" s="38" customFormat="1" x14ac:dyDescent="0.2"/>
    <row r="1296" s="38" customFormat="1" x14ac:dyDescent="0.2"/>
    <row r="1297" s="38" customFormat="1" x14ac:dyDescent="0.2"/>
    <row r="1298" s="38" customFormat="1" x14ac:dyDescent="0.2"/>
    <row r="1299" s="38" customFormat="1" x14ac:dyDescent="0.2"/>
    <row r="1300" s="38" customFormat="1" x14ac:dyDescent="0.2"/>
    <row r="1301" s="38" customFormat="1" x14ac:dyDescent="0.2"/>
    <row r="1302" s="38" customFormat="1" x14ac:dyDescent="0.2"/>
    <row r="1303" s="38" customFormat="1" x14ac:dyDescent="0.2"/>
    <row r="1304" s="38" customFormat="1" x14ac:dyDescent="0.2"/>
    <row r="1305" s="38" customFormat="1" x14ac:dyDescent="0.2"/>
    <row r="1306" s="38" customFormat="1" x14ac:dyDescent="0.2"/>
    <row r="1307" s="38" customFormat="1" x14ac:dyDescent="0.2"/>
    <row r="1308" s="38" customFormat="1" x14ac:dyDescent="0.2"/>
    <row r="1309" s="38" customFormat="1" x14ac:dyDescent="0.2"/>
    <row r="1310" s="38" customFormat="1" x14ac:dyDescent="0.2"/>
    <row r="1311" s="38" customFormat="1" x14ac:dyDescent="0.2"/>
    <row r="1312" s="38" customFormat="1" x14ac:dyDescent="0.2"/>
    <row r="1313" s="38" customFormat="1" x14ac:dyDescent="0.2"/>
    <row r="1314" s="38" customFormat="1" x14ac:dyDescent="0.2"/>
    <row r="1315" s="38" customFormat="1" x14ac:dyDescent="0.2"/>
    <row r="1316" s="38" customFormat="1" x14ac:dyDescent="0.2"/>
    <row r="1317" s="38" customFormat="1" x14ac:dyDescent="0.2"/>
    <row r="1318" s="38" customFormat="1" x14ac:dyDescent="0.2"/>
    <row r="1319" s="38" customFormat="1" x14ac:dyDescent="0.2"/>
    <row r="1320" s="38" customFormat="1" x14ac:dyDescent="0.2"/>
    <row r="1321" s="38" customFormat="1" x14ac:dyDescent="0.2"/>
    <row r="1322" s="38" customFormat="1" x14ac:dyDescent="0.2"/>
    <row r="1323" s="38" customFormat="1" x14ac:dyDescent="0.2"/>
    <row r="1324" s="38" customFormat="1" x14ac:dyDescent="0.2"/>
    <row r="1325" s="38" customFormat="1" x14ac:dyDescent="0.2"/>
    <row r="1326" s="38" customFormat="1" x14ac:dyDescent="0.2"/>
    <row r="1327" s="38" customFormat="1" x14ac:dyDescent="0.2"/>
    <row r="1328" s="38" customFormat="1" x14ac:dyDescent="0.2"/>
    <row r="1329" s="38" customFormat="1" x14ac:dyDescent="0.2"/>
    <row r="1330" s="38" customFormat="1" x14ac:dyDescent="0.2"/>
    <row r="1331" s="38" customFormat="1" x14ac:dyDescent="0.2"/>
    <row r="1332" s="38" customFormat="1" x14ac:dyDescent="0.2"/>
    <row r="1333" s="38" customFormat="1" x14ac:dyDescent="0.2"/>
    <row r="1334" s="38" customFormat="1" x14ac:dyDescent="0.2"/>
    <row r="1335" s="38" customFormat="1" x14ac:dyDescent="0.2"/>
    <row r="1336" s="38" customFormat="1" x14ac:dyDescent="0.2"/>
    <row r="1337" s="38" customFormat="1" x14ac:dyDescent="0.2"/>
    <row r="1338" s="38" customFormat="1" x14ac:dyDescent="0.2"/>
    <row r="1339" s="38" customFormat="1" x14ac:dyDescent="0.2"/>
    <row r="1340" s="38" customFormat="1" x14ac:dyDescent="0.2"/>
    <row r="1341" s="38" customFormat="1" x14ac:dyDescent="0.2"/>
    <row r="1342" s="38" customFormat="1" x14ac:dyDescent="0.2"/>
    <row r="1343" s="38" customFormat="1" x14ac:dyDescent="0.2"/>
    <row r="1344" s="38" customFormat="1" x14ac:dyDescent="0.2"/>
    <row r="1345" s="38" customFormat="1" x14ac:dyDescent="0.2"/>
    <row r="1346" s="38" customFormat="1" x14ac:dyDescent="0.2"/>
    <row r="1347" s="38" customFormat="1" x14ac:dyDescent="0.2"/>
    <row r="1348" s="38" customFormat="1" x14ac:dyDescent="0.2"/>
    <row r="1349" s="38" customFormat="1" x14ac:dyDescent="0.2"/>
    <row r="1350" s="38" customFormat="1" x14ac:dyDescent="0.2"/>
    <row r="1351" s="38" customFormat="1" x14ac:dyDescent="0.2"/>
    <row r="1352" s="38" customFormat="1" x14ac:dyDescent="0.2"/>
    <row r="1353" s="38" customFormat="1" x14ac:dyDescent="0.2"/>
    <row r="1354" s="38" customFormat="1" x14ac:dyDescent="0.2"/>
    <row r="1355" s="38" customFormat="1" x14ac:dyDescent="0.2"/>
    <row r="1356" s="38" customFormat="1" x14ac:dyDescent="0.2"/>
    <row r="1357" s="38" customFormat="1" x14ac:dyDescent="0.2"/>
    <row r="1358" s="38" customFormat="1" x14ac:dyDescent="0.2"/>
    <row r="1359" s="38" customFormat="1" x14ac:dyDescent="0.2"/>
    <row r="1360" s="38" customFormat="1" x14ac:dyDescent="0.2"/>
    <row r="1361" s="38" customFormat="1" x14ac:dyDescent="0.2"/>
    <row r="1362" s="38" customFormat="1" x14ac:dyDescent="0.2"/>
    <row r="1363" s="38" customFormat="1" x14ac:dyDescent="0.2"/>
    <row r="1364" s="38" customFormat="1" x14ac:dyDescent="0.2"/>
    <row r="1365" s="38" customFormat="1" x14ac:dyDescent="0.2"/>
    <row r="1366" s="38" customFormat="1" x14ac:dyDescent="0.2"/>
    <row r="1367" s="38" customFormat="1" x14ac:dyDescent="0.2"/>
    <row r="1368" s="38" customFormat="1" x14ac:dyDescent="0.2"/>
    <row r="1369" s="38" customFormat="1" x14ac:dyDescent="0.2"/>
    <row r="1370" s="38" customFormat="1" x14ac:dyDescent="0.2"/>
    <row r="1371" s="38" customFormat="1" x14ac:dyDescent="0.2"/>
    <row r="1372" s="38" customFormat="1" x14ac:dyDescent="0.2"/>
    <row r="1373" s="38" customFormat="1" x14ac:dyDescent="0.2"/>
    <row r="1374" s="38" customFormat="1" x14ac:dyDescent="0.2"/>
    <row r="1375" s="38" customFormat="1" x14ac:dyDescent="0.2"/>
    <row r="1376" s="38" customFormat="1" x14ac:dyDescent="0.2"/>
    <row r="1377" s="38" customFormat="1" x14ac:dyDescent="0.2"/>
    <row r="1378" s="38" customFormat="1" x14ac:dyDescent="0.2"/>
    <row r="1379" s="38" customFormat="1" x14ac:dyDescent="0.2"/>
    <row r="1380" s="38" customFormat="1" x14ac:dyDescent="0.2"/>
    <row r="1381" s="38" customFormat="1" x14ac:dyDescent="0.2"/>
    <row r="1382" s="38" customFormat="1" x14ac:dyDescent="0.2"/>
    <row r="1383" s="38" customFormat="1" x14ac:dyDescent="0.2"/>
    <row r="1384" s="38" customFormat="1" x14ac:dyDescent="0.2"/>
    <row r="1385" s="38" customFormat="1" x14ac:dyDescent="0.2"/>
    <row r="1386" s="38" customFormat="1" x14ac:dyDescent="0.2"/>
    <row r="1387" s="38" customFormat="1" x14ac:dyDescent="0.2"/>
    <row r="1388" s="38" customFormat="1" x14ac:dyDescent="0.2"/>
    <row r="1389" s="38" customFormat="1" x14ac:dyDescent="0.2"/>
    <row r="1390" s="38" customFormat="1" x14ac:dyDescent="0.2"/>
    <row r="1391" s="38" customFormat="1" x14ac:dyDescent="0.2"/>
    <row r="1392" s="38" customFormat="1" x14ac:dyDescent="0.2"/>
    <row r="1393" s="38" customFormat="1" x14ac:dyDescent="0.2"/>
    <row r="1394" s="38" customFormat="1" x14ac:dyDescent="0.2"/>
    <row r="1395" s="38" customFormat="1" x14ac:dyDescent="0.2"/>
    <row r="1396" s="38" customFormat="1" x14ac:dyDescent="0.2"/>
    <row r="1397" s="38" customFormat="1" x14ac:dyDescent="0.2"/>
    <row r="1398" s="38" customFormat="1" x14ac:dyDescent="0.2"/>
    <row r="1399" s="38" customFormat="1" x14ac:dyDescent="0.2"/>
    <row r="1400" s="38" customFormat="1" x14ac:dyDescent="0.2"/>
    <row r="1401" s="38" customFormat="1" x14ac:dyDescent="0.2"/>
    <row r="1402" s="38" customFormat="1" x14ac:dyDescent="0.2"/>
    <row r="1403" s="38" customFormat="1" x14ac:dyDescent="0.2"/>
    <row r="1404" s="38" customFormat="1" x14ac:dyDescent="0.2"/>
    <row r="1405" s="38" customFormat="1" x14ac:dyDescent="0.2"/>
    <row r="1406" s="38" customFormat="1" x14ac:dyDescent="0.2"/>
    <row r="1407" s="38" customFormat="1" x14ac:dyDescent="0.2"/>
    <row r="1408" s="38" customFormat="1" x14ac:dyDescent="0.2"/>
    <row r="1409" s="38" customFormat="1" x14ac:dyDescent="0.2"/>
    <row r="1410" s="38" customFormat="1" x14ac:dyDescent="0.2"/>
    <row r="1411" s="38" customFormat="1" x14ac:dyDescent="0.2"/>
    <row r="1412" s="38" customFormat="1" x14ac:dyDescent="0.2"/>
    <row r="1413" s="38" customFormat="1" x14ac:dyDescent="0.2"/>
    <row r="1414" s="38" customFormat="1" x14ac:dyDescent="0.2"/>
    <row r="1415" s="38" customFormat="1" x14ac:dyDescent="0.2"/>
    <row r="1416" s="38" customFormat="1" x14ac:dyDescent="0.2"/>
    <row r="1417" s="38" customFormat="1" x14ac:dyDescent="0.2"/>
    <row r="1418" s="38" customFormat="1" x14ac:dyDescent="0.2"/>
    <row r="1419" s="38" customFormat="1" x14ac:dyDescent="0.2"/>
    <row r="1420" s="38" customFormat="1" x14ac:dyDescent="0.2"/>
    <row r="1421" s="38" customFormat="1" x14ac:dyDescent="0.2"/>
    <row r="1422" s="38" customFormat="1" x14ac:dyDescent="0.2"/>
    <row r="1423" s="38" customFormat="1" x14ac:dyDescent="0.2"/>
    <row r="1424" s="38" customFormat="1" x14ac:dyDescent="0.2"/>
    <row r="1425" s="38" customFormat="1" x14ac:dyDescent="0.2"/>
    <row r="1426" s="38" customFormat="1" x14ac:dyDescent="0.2"/>
    <row r="1427" s="38" customFormat="1" x14ac:dyDescent="0.2"/>
    <row r="1428" s="38" customFormat="1" x14ac:dyDescent="0.2"/>
    <row r="1429" s="38" customFormat="1" x14ac:dyDescent="0.2"/>
    <row r="1430" s="38" customFormat="1" x14ac:dyDescent="0.2"/>
    <row r="1431" s="38" customFormat="1" x14ac:dyDescent="0.2"/>
    <row r="1432" s="38" customFormat="1" x14ac:dyDescent="0.2"/>
    <row r="1433" s="38" customFormat="1" x14ac:dyDescent="0.2"/>
    <row r="1434" s="38" customFormat="1" x14ac:dyDescent="0.2"/>
    <row r="1435" s="38" customFormat="1" x14ac:dyDescent="0.2"/>
    <row r="1436" s="38" customFormat="1" x14ac:dyDescent="0.2"/>
    <row r="1437" s="38" customFormat="1" x14ac:dyDescent="0.2"/>
    <row r="1438" s="38" customFormat="1" x14ac:dyDescent="0.2"/>
    <row r="1439" s="38" customFormat="1" x14ac:dyDescent="0.2"/>
    <row r="1440" s="38" customFormat="1" x14ac:dyDescent="0.2"/>
    <row r="1441" s="38" customFormat="1" x14ac:dyDescent="0.2"/>
    <row r="1442" s="38" customFormat="1" x14ac:dyDescent="0.2"/>
    <row r="1443" s="38" customFormat="1" x14ac:dyDescent="0.2"/>
    <row r="1444" s="38" customFormat="1" x14ac:dyDescent="0.2"/>
    <row r="1445" s="38" customFormat="1" x14ac:dyDescent="0.2"/>
    <row r="1446" s="38" customFormat="1" x14ac:dyDescent="0.2"/>
    <row r="1447" s="38" customFormat="1" x14ac:dyDescent="0.2"/>
    <row r="1448" s="38" customFormat="1" x14ac:dyDescent="0.2"/>
    <row r="1449" s="38" customFormat="1" x14ac:dyDescent="0.2"/>
    <row r="1450" s="38" customFormat="1" x14ac:dyDescent="0.2"/>
    <row r="1451" s="38" customFormat="1" x14ac:dyDescent="0.2"/>
    <row r="1452" s="38" customFormat="1" x14ac:dyDescent="0.2"/>
    <row r="1453" s="38" customFormat="1" x14ac:dyDescent="0.2"/>
    <row r="1454" s="38" customFormat="1" x14ac:dyDescent="0.2"/>
    <row r="1455" s="38" customFormat="1" x14ac:dyDescent="0.2"/>
    <row r="1456" s="38" customFormat="1" x14ac:dyDescent="0.2"/>
    <row r="1457" s="38" customFormat="1" x14ac:dyDescent="0.2"/>
    <row r="1458" s="38" customFormat="1" x14ac:dyDescent="0.2"/>
    <row r="1459" s="38" customFormat="1" x14ac:dyDescent="0.2"/>
    <row r="1460" s="38" customFormat="1" x14ac:dyDescent="0.2"/>
    <row r="1461" s="38" customFormat="1" x14ac:dyDescent="0.2"/>
    <row r="1462" s="38" customFormat="1" x14ac:dyDescent="0.2"/>
    <row r="1463" s="38" customFormat="1" x14ac:dyDescent="0.2"/>
    <row r="1464" s="38" customFormat="1" x14ac:dyDescent="0.2"/>
    <row r="1465" s="38" customFormat="1" x14ac:dyDescent="0.2"/>
    <row r="1466" s="38" customFormat="1" x14ac:dyDescent="0.2"/>
    <row r="1467" s="38" customFormat="1" x14ac:dyDescent="0.2"/>
    <row r="1468" s="38" customFormat="1" x14ac:dyDescent="0.2"/>
    <row r="1469" s="38" customFormat="1" x14ac:dyDescent="0.2"/>
    <row r="1470" s="38" customFormat="1" x14ac:dyDescent="0.2"/>
    <row r="1471" s="38" customFormat="1" x14ac:dyDescent="0.2"/>
    <row r="1472" s="38" customFormat="1" x14ac:dyDescent="0.2"/>
    <row r="1473" s="38" customFormat="1" x14ac:dyDescent="0.2"/>
    <row r="1474" s="38" customFormat="1" x14ac:dyDescent="0.2"/>
    <row r="1475" s="38" customFormat="1" x14ac:dyDescent="0.2"/>
    <row r="1476" s="38" customFormat="1" x14ac:dyDescent="0.2"/>
    <row r="1477" s="38" customFormat="1" x14ac:dyDescent="0.2"/>
    <row r="1478" s="38" customFormat="1" x14ac:dyDescent="0.2"/>
    <row r="1479" s="38" customFormat="1" x14ac:dyDescent="0.2"/>
    <row r="1480" s="38" customFormat="1" x14ac:dyDescent="0.2"/>
    <row r="1481" s="38" customFormat="1" x14ac:dyDescent="0.2"/>
    <row r="1482" s="38" customFormat="1" x14ac:dyDescent="0.2"/>
    <row r="1483" s="38" customFormat="1" x14ac:dyDescent="0.2"/>
    <row r="1484" s="38" customFormat="1" x14ac:dyDescent="0.2"/>
    <row r="1485" s="38" customFormat="1" x14ac:dyDescent="0.2"/>
    <row r="1486" s="38" customFormat="1" x14ac:dyDescent="0.2"/>
    <row r="1487" s="38" customFormat="1" x14ac:dyDescent="0.2"/>
    <row r="1488" s="38" customFormat="1" x14ac:dyDescent="0.2"/>
    <row r="1489" s="38" customFormat="1" x14ac:dyDescent="0.2"/>
    <row r="1490" s="38" customFormat="1" x14ac:dyDescent="0.2"/>
    <row r="1491" s="38" customFormat="1" x14ac:dyDescent="0.2"/>
    <row r="1492" s="38" customFormat="1" x14ac:dyDescent="0.2"/>
    <row r="1493" s="38" customFormat="1" x14ac:dyDescent="0.2"/>
    <row r="1494" s="38" customFormat="1" x14ac:dyDescent="0.2"/>
    <row r="1495" s="38" customFormat="1" x14ac:dyDescent="0.2"/>
    <row r="1496" s="38" customFormat="1" x14ac:dyDescent="0.2"/>
    <row r="1497" s="38" customFormat="1" x14ac:dyDescent="0.2"/>
    <row r="1498" s="38" customFormat="1" x14ac:dyDescent="0.2"/>
    <row r="1499" s="38" customFormat="1" x14ac:dyDescent="0.2"/>
    <row r="1500" s="38" customFormat="1" x14ac:dyDescent="0.2"/>
    <row r="1501" s="38" customFormat="1" x14ac:dyDescent="0.2"/>
    <row r="1502" s="38" customFormat="1" x14ac:dyDescent="0.2"/>
    <row r="1503" s="38" customFormat="1" x14ac:dyDescent="0.2"/>
    <row r="1504" s="38" customFormat="1" x14ac:dyDescent="0.2"/>
    <row r="1505" s="38" customFormat="1" x14ac:dyDescent="0.2"/>
    <row r="1506" s="38" customFormat="1" x14ac:dyDescent="0.2"/>
    <row r="1507" s="38" customFormat="1" x14ac:dyDescent="0.2"/>
    <row r="1508" s="38" customFormat="1" x14ac:dyDescent="0.2"/>
    <row r="1509" s="38" customFormat="1" x14ac:dyDescent="0.2"/>
    <row r="1510" s="38" customFormat="1" x14ac:dyDescent="0.2"/>
    <row r="1511" s="38" customFormat="1" x14ac:dyDescent="0.2"/>
    <row r="1512" s="38" customFormat="1" x14ac:dyDescent="0.2"/>
    <row r="1513" s="38" customFormat="1" x14ac:dyDescent="0.2"/>
    <row r="1514" s="38" customFormat="1" x14ac:dyDescent="0.2"/>
    <row r="1515" s="38" customFormat="1" x14ac:dyDescent="0.2"/>
    <row r="1516" s="38" customFormat="1" x14ac:dyDescent="0.2"/>
    <row r="1517" s="38" customFormat="1" x14ac:dyDescent="0.2"/>
    <row r="1518" s="38" customFormat="1" x14ac:dyDescent="0.2"/>
    <row r="1519" s="38" customFormat="1" x14ac:dyDescent="0.2"/>
    <row r="1520" s="38" customFormat="1" x14ac:dyDescent="0.2"/>
    <row r="1521" s="38" customFormat="1" x14ac:dyDescent="0.2"/>
    <row r="1522" s="38" customFormat="1" x14ac:dyDescent="0.2"/>
    <row r="1523" s="38" customFormat="1" x14ac:dyDescent="0.2"/>
    <row r="1524" s="38" customFormat="1" x14ac:dyDescent="0.2"/>
    <row r="1525" s="38" customFormat="1" x14ac:dyDescent="0.2"/>
    <row r="1526" s="38" customFormat="1" x14ac:dyDescent="0.2"/>
    <row r="1527" s="38" customFormat="1" x14ac:dyDescent="0.2"/>
    <row r="1528" s="38" customFormat="1" x14ac:dyDescent="0.2"/>
    <row r="1529" s="38" customFormat="1" x14ac:dyDescent="0.2"/>
    <row r="1530" s="38" customFormat="1" x14ac:dyDescent="0.2"/>
    <row r="1531" s="38" customFormat="1" x14ac:dyDescent="0.2"/>
    <row r="1532" s="38" customFormat="1" x14ac:dyDescent="0.2"/>
    <row r="1533" s="38" customFormat="1" x14ac:dyDescent="0.2"/>
    <row r="1534" s="38" customFormat="1" x14ac:dyDescent="0.2"/>
    <row r="1535" s="38" customFormat="1" x14ac:dyDescent="0.2"/>
    <row r="1536" s="38" customFormat="1" x14ac:dyDescent="0.2"/>
    <row r="1537" s="38" customFormat="1" x14ac:dyDescent="0.2"/>
    <row r="1538" s="38" customFormat="1" x14ac:dyDescent="0.2"/>
    <row r="1539" s="38" customFormat="1" x14ac:dyDescent="0.2"/>
    <row r="1540" s="38" customFormat="1" x14ac:dyDescent="0.2"/>
    <row r="1541" s="38" customFormat="1" x14ac:dyDescent="0.2"/>
    <row r="1542" s="38" customFormat="1" x14ac:dyDescent="0.2"/>
    <row r="1543" s="38" customFormat="1" x14ac:dyDescent="0.2"/>
    <row r="1544" s="38" customFormat="1" x14ac:dyDescent="0.2"/>
    <row r="1545" s="38" customFormat="1" x14ac:dyDescent="0.2"/>
    <row r="1546" s="38" customFormat="1" x14ac:dyDescent="0.2"/>
    <row r="1547" s="38" customFormat="1" x14ac:dyDescent="0.2"/>
    <row r="1548" s="38" customFormat="1" x14ac:dyDescent="0.2"/>
    <row r="1549" s="38" customFormat="1" x14ac:dyDescent="0.2"/>
    <row r="1550" s="38" customFormat="1" x14ac:dyDescent="0.2"/>
    <row r="1551" s="38" customFormat="1" x14ac:dyDescent="0.2"/>
    <row r="1552" s="38" customFormat="1" x14ac:dyDescent="0.2"/>
    <row r="1553" s="38" customFormat="1" x14ac:dyDescent="0.2"/>
    <row r="1554" s="38" customFormat="1" x14ac:dyDescent="0.2"/>
    <row r="1555" s="38" customFormat="1" x14ac:dyDescent="0.2"/>
    <row r="1556" s="38" customFormat="1" x14ac:dyDescent="0.2"/>
    <row r="1557" s="38" customFormat="1" x14ac:dyDescent="0.2"/>
    <row r="1558" s="38" customFormat="1" x14ac:dyDescent="0.2"/>
    <row r="1559" s="38" customFormat="1" x14ac:dyDescent="0.2"/>
    <row r="1560" s="38" customFormat="1" x14ac:dyDescent="0.2"/>
    <row r="1561" s="38" customFormat="1" x14ac:dyDescent="0.2"/>
    <row r="1562" s="38" customFormat="1" x14ac:dyDescent="0.2"/>
    <row r="1563" s="38" customFormat="1" x14ac:dyDescent="0.2"/>
    <row r="1564" s="38" customFormat="1" x14ac:dyDescent="0.2"/>
    <row r="1565" s="38" customFormat="1" x14ac:dyDescent="0.2"/>
    <row r="1566" s="38" customFormat="1" x14ac:dyDescent="0.2"/>
    <row r="1567" s="38" customFormat="1" x14ac:dyDescent="0.2"/>
    <row r="1568" s="38" customFormat="1" x14ac:dyDescent="0.2"/>
    <row r="1569" s="38" customFormat="1" x14ac:dyDescent="0.2"/>
    <row r="1570" s="38" customFormat="1" x14ac:dyDescent="0.2"/>
    <row r="1571" s="38" customFormat="1" x14ac:dyDescent="0.2"/>
    <row r="1572" s="38" customFormat="1" x14ac:dyDescent="0.2"/>
    <row r="1573" s="38" customFormat="1" x14ac:dyDescent="0.2"/>
    <row r="1574" s="38" customFormat="1" x14ac:dyDescent="0.2"/>
    <row r="1575" s="38" customFormat="1" x14ac:dyDescent="0.2"/>
    <row r="1576" s="38" customFormat="1" x14ac:dyDescent="0.2"/>
    <row r="1577" s="38" customFormat="1" x14ac:dyDescent="0.2"/>
    <row r="1578" s="38" customFormat="1" x14ac:dyDescent="0.2"/>
    <row r="1579" s="38" customFormat="1" x14ac:dyDescent="0.2"/>
    <row r="1580" s="38" customFormat="1" x14ac:dyDescent="0.2"/>
    <row r="1581" s="38" customFormat="1" x14ac:dyDescent="0.2"/>
    <row r="1582" s="38" customFormat="1" x14ac:dyDescent="0.2"/>
    <row r="1583" s="38" customFormat="1" x14ac:dyDescent="0.2"/>
    <row r="1584" s="38" customFormat="1" x14ac:dyDescent="0.2"/>
    <row r="1585" s="38" customFormat="1" x14ac:dyDescent="0.2"/>
    <row r="1586" s="38" customFormat="1" x14ac:dyDescent="0.2"/>
    <row r="1587" s="38" customFormat="1" x14ac:dyDescent="0.2"/>
    <row r="1588" s="38" customFormat="1" x14ac:dyDescent="0.2"/>
    <row r="1589" s="38" customFormat="1" x14ac:dyDescent="0.2"/>
    <row r="1590" s="38" customFormat="1" x14ac:dyDescent="0.2"/>
    <row r="1591" s="38" customFormat="1" x14ac:dyDescent="0.2"/>
    <row r="1592" s="38" customFormat="1" x14ac:dyDescent="0.2"/>
    <row r="1593" s="38" customFormat="1" x14ac:dyDescent="0.2"/>
    <row r="1594" s="38" customFormat="1" x14ac:dyDescent="0.2"/>
    <row r="1595" s="38" customFormat="1" x14ac:dyDescent="0.2"/>
    <row r="1596" s="38" customFormat="1" x14ac:dyDescent="0.2"/>
    <row r="1597" s="38" customFormat="1" x14ac:dyDescent="0.2"/>
    <row r="1598" s="38" customFormat="1" x14ac:dyDescent="0.2"/>
    <row r="1599" s="38" customFormat="1" x14ac:dyDescent="0.2"/>
    <row r="1600" s="38" customFormat="1" x14ac:dyDescent="0.2"/>
    <row r="1601" s="38" customFormat="1" x14ac:dyDescent="0.2"/>
    <row r="1602" s="38" customFormat="1" x14ac:dyDescent="0.2"/>
    <row r="1603" s="38" customFormat="1" x14ac:dyDescent="0.2"/>
    <row r="1604" s="38" customFormat="1" x14ac:dyDescent="0.2"/>
    <row r="1605" s="38" customFormat="1" x14ac:dyDescent="0.2"/>
    <row r="1606" s="38" customFormat="1" x14ac:dyDescent="0.2"/>
    <row r="1607" s="38" customFormat="1" x14ac:dyDescent="0.2"/>
    <row r="1608" s="38" customFormat="1" x14ac:dyDescent="0.2"/>
    <row r="1609" s="38" customFormat="1" x14ac:dyDescent="0.2"/>
    <row r="1610" s="38" customFormat="1" x14ac:dyDescent="0.2"/>
    <row r="1611" s="38" customFormat="1" x14ac:dyDescent="0.2"/>
    <row r="1612" s="38" customFormat="1" x14ac:dyDescent="0.2"/>
    <row r="1613" s="38" customFormat="1" x14ac:dyDescent="0.2"/>
    <row r="1614" s="38" customFormat="1" x14ac:dyDescent="0.2"/>
    <row r="1615" s="38" customFormat="1" x14ac:dyDescent="0.2"/>
    <row r="1616" s="38" customFormat="1" x14ac:dyDescent="0.2"/>
    <row r="1617" s="38" customFormat="1" x14ac:dyDescent="0.2"/>
    <row r="1618" s="38" customFormat="1" x14ac:dyDescent="0.2"/>
    <row r="1619" s="38" customFormat="1" x14ac:dyDescent="0.2"/>
    <row r="1620" s="38" customFormat="1" x14ac:dyDescent="0.2"/>
    <row r="1621" s="38" customFormat="1" x14ac:dyDescent="0.2"/>
    <row r="1622" s="38" customFormat="1" x14ac:dyDescent="0.2"/>
    <row r="1623" s="38" customFormat="1" x14ac:dyDescent="0.2"/>
    <row r="1624" s="38" customFormat="1" x14ac:dyDescent="0.2"/>
    <row r="1625" s="38" customFormat="1" x14ac:dyDescent="0.2"/>
    <row r="1626" s="38" customFormat="1" x14ac:dyDescent="0.2"/>
    <row r="1627" s="38" customFormat="1" x14ac:dyDescent="0.2"/>
    <row r="1628" s="38" customFormat="1" x14ac:dyDescent="0.2"/>
    <row r="1629" s="38" customFormat="1" x14ac:dyDescent="0.2"/>
    <row r="1630" s="38" customFormat="1" x14ac:dyDescent="0.2"/>
    <row r="1631" s="38" customFormat="1" x14ac:dyDescent="0.2"/>
    <row r="1632" s="38" customFormat="1" x14ac:dyDescent="0.2"/>
    <row r="1633" s="38" customFormat="1" x14ac:dyDescent="0.2"/>
    <row r="1634" s="38" customFormat="1" x14ac:dyDescent="0.2"/>
    <row r="1635" s="38" customFormat="1" x14ac:dyDescent="0.2"/>
    <row r="1636" s="38" customFormat="1" x14ac:dyDescent="0.2"/>
    <row r="1637" s="38" customFormat="1" x14ac:dyDescent="0.2"/>
    <row r="1638" s="38" customFormat="1" x14ac:dyDescent="0.2"/>
    <row r="1639" s="38" customFormat="1" x14ac:dyDescent="0.2"/>
    <row r="1640" s="38" customFormat="1" x14ac:dyDescent="0.2"/>
    <row r="1641" s="38" customFormat="1" x14ac:dyDescent="0.2"/>
    <row r="1642" s="38" customFormat="1" x14ac:dyDescent="0.2"/>
    <row r="1643" s="38" customFormat="1" x14ac:dyDescent="0.2"/>
    <row r="1644" s="38" customFormat="1" x14ac:dyDescent="0.2"/>
    <row r="1645" s="38" customFormat="1" x14ac:dyDescent="0.2"/>
    <row r="1646" s="38" customFormat="1" x14ac:dyDescent="0.2"/>
    <row r="1647" s="38" customFormat="1" x14ac:dyDescent="0.2"/>
    <row r="1648" s="38" customFormat="1" x14ac:dyDescent="0.2"/>
    <row r="1649" s="38" customFormat="1" x14ac:dyDescent="0.2"/>
    <row r="1650" s="38" customFormat="1" x14ac:dyDescent="0.2"/>
    <row r="1651" s="38" customFormat="1" x14ac:dyDescent="0.2"/>
    <row r="1652" s="38" customFormat="1" x14ac:dyDescent="0.2"/>
    <row r="1653" s="38" customFormat="1" x14ac:dyDescent="0.2"/>
    <row r="1654" s="38" customFormat="1" x14ac:dyDescent="0.2"/>
    <row r="1655" s="38" customFormat="1" x14ac:dyDescent="0.2"/>
    <row r="1656" s="38" customFormat="1" x14ac:dyDescent="0.2"/>
    <row r="1657" s="38" customFormat="1" x14ac:dyDescent="0.2"/>
    <row r="1658" s="38" customFormat="1" x14ac:dyDescent="0.2"/>
    <row r="1659" s="38" customFormat="1" x14ac:dyDescent="0.2"/>
    <row r="1660" s="38" customFormat="1" x14ac:dyDescent="0.2"/>
    <row r="1661" s="38" customFormat="1" x14ac:dyDescent="0.2"/>
    <row r="1662" s="38" customFormat="1" x14ac:dyDescent="0.2"/>
    <row r="1663" s="38" customFormat="1" x14ac:dyDescent="0.2"/>
    <row r="1664" s="38" customFormat="1" x14ac:dyDescent="0.2"/>
    <row r="1665" s="38" customFormat="1" x14ac:dyDescent="0.2"/>
    <row r="1666" s="38" customFormat="1" x14ac:dyDescent="0.2"/>
    <row r="1667" s="38" customFormat="1" x14ac:dyDescent="0.2"/>
    <row r="1668" s="38" customFormat="1" x14ac:dyDescent="0.2"/>
    <row r="1669" s="38" customFormat="1" x14ac:dyDescent="0.2"/>
    <row r="1670" s="38" customFormat="1" x14ac:dyDescent="0.2"/>
    <row r="1671" s="38" customFormat="1" x14ac:dyDescent="0.2"/>
    <row r="1672" s="38" customFormat="1" x14ac:dyDescent="0.2"/>
    <row r="1673" s="38" customFormat="1" x14ac:dyDescent="0.2"/>
    <row r="1674" s="38" customFormat="1" x14ac:dyDescent="0.2"/>
    <row r="1675" s="38" customFormat="1" x14ac:dyDescent="0.2"/>
    <row r="1676" s="38" customFormat="1" x14ac:dyDescent="0.2"/>
    <row r="1677" s="38" customFormat="1" x14ac:dyDescent="0.2"/>
    <row r="1678" s="38" customFormat="1" x14ac:dyDescent="0.2"/>
    <row r="1679" s="38" customFormat="1" x14ac:dyDescent="0.2"/>
    <row r="1680" s="38" customFormat="1" x14ac:dyDescent="0.2"/>
    <row r="1681" s="38" customFormat="1" x14ac:dyDescent="0.2"/>
    <row r="1682" s="38" customFormat="1" x14ac:dyDescent="0.2"/>
    <row r="1683" s="38" customFormat="1" x14ac:dyDescent="0.2"/>
    <row r="1684" s="38" customFormat="1" x14ac:dyDescent="0.2"/>
    <row r="1685" s="38" customFormat="1" x14ac:dyDescent="0.2"/>
    <row r="1686" s="38" customFormat="1" x14ac:dyDescent="0.2"/>
    <row r="1687" s="38" customFormat="1" x14ac:dyDescent="0.2"/>
    <row r="1688" s="38" customFormat="1" x14ac:dyDescent="0.2"/>
    <row r="1689" s="38" customFormat="1" x14ac:dyDescent="0.2"/>
    <row r="1690" s="38" customFormat="1" x14ac:dyDescent="0.2"/>
    <row r="1691" s="38" customFormat="1" x14ac:dyDescent="0.2"/>
    <row r="1692" s="38" customFormat="1" x14ac:dyDescent="0.2"/>
    <row r="1693" s="38" customFormat="1" x14ac:dyDescent="0.2"/>
    <row r="1694" s="38" customFormat="1" x14ac:dyDescent="0.2"/>
    <row r="1695" s="38" customFormat="1" x14ac:dyDescent="0.2"/>
    <row r="1696" s="38" customFormat="1" x14ac:dyDescent="0.2"/>
    <row r="1697" s="38" customFormat="1" x14ac:dyDescent="0.2"/>
    <row r="1698" s="38" customFormat="1" x14ac:dyDescent="0.2"/>
    <row r="1699" s="38" customFormat="1" x14ac:dyDescent="0.2"/>
    <row r="1700" s="38" customFormat="1" x14ac:dyDescent="0.2"/>
    <row r="1701" s="38" customFormat="1" x14ac:dyDescent="0.2"/>
    <row r="1702" s="38" customFormat="1" x14ac:dyDescent="0.2"/>
    <row r="1703" s="38" customFormat="1" x14ac:dyDescent="0.2"/>
    <row r="1704" s="38" customFormat="1" x14ac:dyDescent="0.2"/>
    <row r="1705" s="38" customFormat="1" x14ac:dyDescent="0.2"/>
    <row r="1706" s="38" customFormat="1" x14ac:dyDescent="0.2"/>
    <row r="1707" s="38" customFormat="1" x14ac:dyDescent="0.2"/>
    <row r="1708" s="38" customFormat="1" x14ac:dyDescent="0.2"/>
    <row r="1709" s="38" customFormat="1" x14ac:dyDescent="0.2"/>
    <row r="1710" s="38" customFormat="1" x14ac:dyDescent="0.2"/>
    <row r="1711" s="38" customFormat="1" x14ac:dyDescent="0.2"/>
    <row r="1712" s="38" customFormat="1" x14ac:dyDescent="0.2"/>
    <row r="1713" s="38" customFormat="1" x14ac:dyDescent="0.2"/>
    <row r="1714" s="38" customFormat="1" x14ac:dyDescent="0.2"/>
    <row r="1715" s="38" customFormat="1" x14ac:dyDescent="0.2"/>
    <row r="1716" s="38" customFormat="1" x14ac:dyDescent="0.2"/>
    <row r="1717" s="38" customFormat="1" x14ac:dyDescent="0.2"/>
    <row r="1718" s="38" customFormat="1" x14ac:dyDescent="0.2"/>
    <row r="1719" s="38" customFormat="1" x14ac:dyDescent="0.2"/>
    <row r="1720" s="38" customFormat="1" x14ac:dyDescent="0.2"/>
    <row r="1721" s="38" customFormat="1" x14ac:dyDescent="0.2"/>
    <row r="1722" s="38" customFormat="1" x14ac:dyDescent="0.2"/>
    <row r="1723" s="38" customFormat="1" x14ac:dyDescent="0.2"/>
    <row r="1724" s="38" customFormat="1" x14ac:dyDescent="0.2"/>
    <row r="1725" s="38" customFormat="1" x14ac:dyDescent="0.2"/>
    <row r="1726" s="38" customFormat="1" x14ac:dyDescent="0.2"/>
    <row r="1727" s="38" customFormat="1" x14ac:dyDescent="0.2"/>
    <row r="1728" s="38" customFormat="1" x14ac:dyDescent="0.2"/>
    <row r="1729" s="38" customFormat="1" x14ac:dyDescent="0.2"/>
    <row r="1730" s="38" customFormat="1" x14ac:dyDescent="0.2"/>
    <row r="1731" s="38" customFormat="1" x14ac:dyDescent="0.2"/>
    <row r="1732" s="38" customFormat="1" x14ac:dyDescent="0.2"/>
    <row r="1733" s="38" customFormat="1" x14ac:dyDescent="0.2"/>
    <row r="1734" s="38" customFormat="1" x14ac:dyDescent="0.2"/>
    <row r="1735" s="38" customFormat="1" x14ac:dyDescent="0.2"/>
    <row r="1736" s="38" customFormat="1" x14ac:dyDescent="0.2"/>
    <row r="1737" s="38" customFormat="1" x14ac:dyDescent="0.2"/>
    <row r="1738" s="38" customFormat="1" x14ac:dyDescent="0.2"/>
    <row r="1739" s="38" customFormat="1" x14ac:dyDescent="0.2"/>
    <row r="1740" s="38" customFormat="1" x14ac:dyDescent="0.2"/>
    <row r="1741" s="38" customFormat="1" x14ac:dyDescent="0.2"/>
    <row r="1742" s="38" customFormat="1" x14ac:dyDescent="0.2"/>
    <row r="1743" s="38" customFormat="1" x14ac:dyDescent="0.2"/>
    <row r="1744" s="38" customFormat="1" x14ac:dyDescent="0.2"/>
    <row r="1745" s="38" customFormat="1" x14ac:dyDescent="0.2"/>
    <row r="1746" s="38" customFormat="1" x14ac:dyDescent="0.2"/>
    <row r="1747" s="38" customFormat="1" x14ac:dyDescent="0.2"/>
    <row r="1748" s="38" customFormat="1" x14ac:dyDescent="0.2"/>
    <row r="1749" s="38" customFormat="1" x14ac:dyDescent="0.2"/>
    <row r="1750" s="38" customFormat="1" x14ac:dyDescent="0.2"/>
    <row r="1751" s="38" customFormat="1" x14ac:dyDescent="0.2"/>
    <row r="1752" s="38" customFormat="1" x14ac:dyDescent="0.2"/>
    <row r="1753" s="38" customFormat="1" x14ac:dyDescent="0.2"/>
    <row r="1754" s="38" customFormat="1" x14ac:dyDescent="0.2"/>
    <row r="1755" s="38" customFormat="1" x14ac:dyDescent="0.2"/>
    <row r="1756" s="38" customFormat="1" x14ac:dyDescent="0.2"/>
    <row r="1757" s="38" customFormat="1" x14ac:dyDescent="0.2"/>
    <row r="1758" s="38" customFormat="1" x14ac:dyDescent="0.2"/>
    <row r="1759" s="38" customFormat="1" x14ac:dyDescent="0.2"/>
    <row r="1760" s="38" customFormat="1" x14ac:dyDescent="0.2"/>
    <row r="1761" s="38" customFormat="1" x14ac:dyDescent="0.2"/>
    <row r="1762" s="38" customFormat="1" x14ac:dyDescent="0.2"/>
    <row r="1763" s="38" customFormat="1" x14ac:dyDescent="0.2"/>
    <row r="1764" s="38" customFormat="1" x14ac:dyDescent="0.2"/>
    <row r="1765" s="38" customFormat="1" x14ac:dyDescent="0.2"/>
    <row r="1766" s="38" customFormat="1" x14ac:dyDescent="0.2"/>
    <row r="1767" s="38" customFormat="1" x14ac:dyDescent="0.2"/>
    <row r="1768" s="38" customFormat="1" x14ac:dyDescent="0.2"/>
    <row r="1769" s="38" customFormat="1" x14ac:dyDescent="0.2"/>
    <row r="1770" s="38" customFormat="1" x14ac:dyDescent="0.2"/>
    <row r="1771" s="38" customFormat="1" x14ac:dyDescent="0.2"/>
    <row r="1772" s="38" customFormat="1" x14ac:dyDescent="0.2"/>
    <row r="1773" s="38" customFormat="1" x14ac:dyDescent="0.2"/>
    <row r="1774" s="38" customFormat="1" x14ac:dyDescent="0.2"/>
    <row r="1775" s="38" customFormat="1" x14ac:dyDescent="0.2"/>
    <row r="1776" s="38" customFormat="1" x14ac:dyDescent="0.2"/>
    <row r="1777" s="38" customFormat="1" x14ac:dyDescent="0.2"/>
    <row r="1778" s="38" customFormat="1" x14ac:dyDescent="0.2"/>
    <row r="1779" s="38" customFormat="1" x14ac:dyDescent="0.2"/>
    <row r="1780" s="38" customFormat="1" x14ac:dyDescent="0.2"/>
    <row r="1781" s="38" customFormat="1" x14ac:dyDescent="0.2"/>
    <row r="1782" s="38" customFormat="1" x14ac:dyDescent="0.2"/>
    <row r="1783" s="38" customFormat="1" x14ac:dyDescent="0.2"/>
    <row r="1784" s="38" customFormat="1" x14ac:dyDescent="0.2"/>
    <row r="1785" s="38" customFormat="1" x14ac:dyDescent="0.2"/>
    <row r="1786" s="38" customFormat="1" x14ac:dyDescent="0.2"/>
    <row r="1787" s="38" customFormat="1" x14ac:dyDescent="0.2"/>
    <row r="1788" s="38" customFormat="1" x14ac:dyDescent="0.2"/>
    <row r="1789" s="38" customFormat="1" x14ac:dyDescent="0.2"/>
    <row r="1790" s="38" customFormat="1" x14ac:dyDescent="0.2"/>
    <row r="1791" s="38" customFormat="1" x14ac:dyDescent="0.2"/>
    <row r="1792" s="38" customFormat="1" x14ac:dyDescent="0.2"/>
    <row r="1793" s="38" customFormat="1" x14ac:dyDescent="0.2"/>
    <row r="1794" s="38" customFormat="1" x14ac:dyDescent="0.2"/>
    <row r="1795" s="38" customFormat="1" x14ac:dyDescent="0.2"/>
    <row r="1796" s="38" customFormat="1" x14ac:dyDescent="0.2"/>
    <row r="1797" s="38" customFormat="1" x14ac:dyDescent="0.2"/>
    <row r="1798" s="38" customFormat="1" x14ac:dyDescent="0.2"/>
    <row r="1799" s="38" customFormat="1" x14ac:dyDescent="0.2"/>
    <row r="1800" s="38" customFormat="1" x14ac:dyDescent="0.2"/>
    <row r="1801" s="38" customFormat="1" x14ac:dyDescent="0.2"/>
    <row r="1802" s="38" customFormat="1" x14ac:dyDescent="0.2"/>
    <row r="1803" s="38" customFormat="1" x14ac:dyDescent="0.2"/>
    <row r="1804" s="38" customFormat="1" x14ac:dyDescent="0.2"/>
    <row r="1805" s="38" customFormat="1" x14ac:dyDescent="0.2"/>
    <row r="1806" s="38" customFormat="1" x14ac:dyDescent="0.2"/>
    <row r="1807" s="38" customFormat="1" x14ac:dyDescent="0.2"/>
    <row r="1808" s="38" customFormat="1" x14ac:dyDescent="0.2"/>
    <row r="1809" s="38" customFormat="1" x14ac:dyDescent="0.2"/>
    <row r="1810" s="38" customFormat="1" x14ac:dyDescent="0.2"/>
    <row r="1811" s="38" customFormat="1" x14ac:dyDescent="0.2"/>
    <row r="1812" s="38" customFormat="1" x14ac:dyDescent="0.2"/>
    <row r="1813" s="38" customFormat="1" x14ac:dyDescent="0.2"/>
    <row r="1814" s="38" customFormat="1" x14ac:dyDescent="0.2"/>
    <row r="1815" s="38" customFormat="1" x14ac:dyDescent="0.2"/>
    <row r="1816" s="38" customFormat="1" x14ac:dyDescent="0.2"/>
    <row r="1817" s="38" customFormat="1" x14ac:dyDescent="0.2"/>
    <row r="1818" s="38" customFormat="1" x14ac:dyDescent="0.2"/>
    <row r="1819" s="38" customFormat="1" x14ac:dyDescent="0.2"/>
    <row r="1820" s="38" customFormat="1" x14ac:dyDescent="0.2"/>
    <row r="1821" s="38" customFormat="1" x14ac:dyDescent="0.2"/>
    <row r="1822" s="38" customFormat="1" x14ac:dyDescent="0.2"/>
    <row r="1823" s="38" customFormat="1" x14ac:dyDescent="0.2"/>
    <row r="1824" s="38" customFormat="1" x14ac:dyDescent="0.2"/>
    <row r="1825" s="38" customFormat="1" x14ac:dyDescent="0.2"/>
    <row r="1826" s="38" customFormat="1" x14ac:dyDescent="0.2"/>
    <row r="1827" s="38" customFormat="1" x14ac:dyDescent="0.2"/>
    <row r="1828" s="38" customFormat="1" x14ac:dyDescent="0.2"/>
    <row r="1829" s="38" customFormat="1" x14ac:dyDescent="0.2"/>
    <row r="1830" s="38" customFormat="1" x14ac:dyDescent="0.2"/>
    <row r="1831" s="38" customFormat="1" x14ac:dyDescent="0.2"/>
    <row r="1832" s="38" customFormat="1" x14ac:dyDescent="0.2"/>
    <row r="1833" s="38" customFormat="1" x14ac:dyDescent="0.2"/>
    <row r="1834" s="38" customFormat="1" x14ac:dyDescent="0.2"/>
    <row r="1835" s="38" customFormat="1" x14ac:dyDescent="0.2"/>
    <row r="1836" s="38" customFormat="1" x14ac:dyDescent="0.2"/>
    <row r="1837" s="38" customFormat="1" x14ac:dyDescent="0.2"/>
    <row r="1838" s="38" customFormat="1" x14ac:dyDescent="0.2"/>
    <row r="1839" s="38" customFormat="1" x14ac:dyDescent="0.2"/>
    <row r="1840" s="38" customFormat="1" x14ac:dyDescent="0.2"/>
    <row r="1841" s="38" customFormat="1" x14ac:dyDescent="0.2"/>
    <row r="1842" s="38" customFormat="1" x14ac:dyDescent="0.2"/>
    <row r="1843" s="38" customFormat="1" x14ac:dyDescent="0.2"/>
    <row r="1844" s="38" customFormat="1" x14ac:dyDescent="0.2"/>
    <row r="1845" s="38" customFormat="1" x14ac:dyDescent="0.2"/>
    <row r="1846" s="38" customFormat="1" x14ac:dyDescent="0.2"/>
    <row r="1847" s="38" customFormat="1" x14ac:dyDescent="0.2"/>
    <row r="1848" s="38" customFormat="1" x14ac:dyDescent="0.2"/>
    <row r="1849" s="38" customFormat="1" x14ac:dyDescent="0.2"/>
    <row r="1850" s="38" customFormat="1" x14ac:dyDescent="0.2"/>
    <row r="1851" s="38" customFormat="1" x14ac:dyDescent="0.2"/>
    <row r="1852" s="38" customFormat="1" x14ac:dyDescent="0.2"/>
    <row r="1853" s="38" customFormat="1" x14ac:dyDescent="0.2"/>
    <row r="1854" s="38" customFormat="1" x14ac:dyDescent="0.2"/>
    <row r="1855" s="38" customFormat="1" x14ac:dyDescent="0.2"/>
    <row r="1856" s="38" customFormat="1" x14ac:dyDescent="0.2"/>
    <row r="1857" s="38" customFormat="1" x14ac:dyDescent="0.2"/>
    <row r="1858" s="38" customFormat="1" x14ac:dyDescent="0.2"/>
    <row r="1859" s="38" customFormat="1" x14ac:dyDescent="0.2"/>
    <row r="1860" s="38" customFormat="1" x14ac:dyDescent="0.2"/>
    <row r="1861" s="38" customFormat="1" x14ac:dyDescent="0.2"/>
    <row r="1862" s="38" customFormat="1" x14ac:dyDescent="0.2"/>
    <row r="1863" s="38" customFormat="1" x14ac:dyDescent="0.2"/>
    <row r="1864" s="38" customFormat="1" x14ac:dyDescent="0.2"/>
    <row r="1865" s="38" customFormat="1" x14ac:dyDescent="0.2"/>
    <row r="1866" s="38" customFormat="1" x14ac:dyDescent="0.2"/>
    <row r="1867" s="38" customFormat="1" x14ac:dyDescent="0.2"/>
    <row r="1868" s="38" customFormat="1" x14ac:dyDescent="0.2"/>
    <row r="1869" s="38" customFormat="1" x14ac:dyDescent="0.2"/>
    <row r="1870" s="38" customFormat="1" x14ac:dyDescent="0.2"/>
    <row r="1871" s="38" customFormat="1" x14ac:dyDescent="0.2"/>
    <row r="1872" s="38" customFormat="1" x14ac:dyDescent="0.2"/>
    <row r="1873" s="38" customFormat="1" x14ac:dyDescent="0.2"/>
    <row r="1874" s="38" customFormat="1" x14ac:dyDescent="0.2"/>
    <row r="1875" s="38" customFormat="1" x14ac:dyDescent="0.2"/>
    <row r="1876" s="38" customFormat="1" x14ac:dyDescent="0.2"/>
    <row r="1877" s="38" customFormat="1" x14ac:dyDescent="0.2"/>
    <row r="1878" s="38" customFormat="1" x14ac:dyDescent="0.2"/>
    <row r="1879" s="38" customFormat="1" x14ac:dyDescent="0.2"/>
    <row r="1880" s="38" customFormat="1" x14ac:dyDescent="0.2"/>
    <row r="1881" s="38" customFormat="1" x14ac:dyDescent="0.2"/>
    <row r="1882" s="38" customFormat="1" x14ac:dyDescent="0.2"/>
    <row r="1883" s="38" customFormat="1" x14ac:dyDescent="0.2"/>
    <row r="1884" s="38" customFormat="1" x14ac:dyDescent="0.2"/>
    <row r="1885" s="38" customFormat="1" x14ac:dyDescent="0.2"/>
    <row r="1886" s="38" customFormat="1" x14ac:dyDescent="0.2"/>
    <row r="1887" s="38" customFormat="1" x14ac:dyDescent="0.2"/>
    <row r="1888" s="38" customFormat="1" x14ac:dyDescent="0.2"/>
    <row r="1889" s="38" customFormat="1" x14ac:dyDescent="0.2"/>
    <row r="1890" s="38" customFormat="1" x14ac:dyDescent="0.2"/>
    <row r="1891" s="38" customFormat="1" x14ac:dyDescent="0.2"/>
    <row r="1892" s="38" customFormat="1" x14ac:dyDescent="0.2"/>
    <row r="1893" s="38" customFormat="1" x14ac:dyDescent="0.2"/>
    <row r="1894" s="38" customFormat="1" x14ac:dyDescent="0.2"/>
    <row r="1895" s="38" customFormat="1" x14ac:dyDescent="0.2"/>
    <row r="1896" s="38" customFormat="1" x14ac:dyDescent="0.2"/>
    <row r="1897" s="38" customFormat="1" x14ac:dyDescent="0.2"/>
    <row r="1898" s="38" customFormat="1" x14ac:dyDescent="0.2"/>
    <row r="1899" s="38" customFormat="1" x14ac:dyDescent="0.2"/>
    <row r="1900" s="38" customFormat="1" x14ac:dyDescent="0.2"/>
    <row r="1901" s="38" customFormat="1" x14ac:dyDescent="0.2"/>
    <row r="1902" s="38" customFormat="1" x14ac:dyDescent="0.2"/>
    <row r="1903" s="38" customFormat="1" x14ac:dyDescent="0.2"/>
    <row r="1904" s="38" customFormat="1" x14ac:dyDescent="0.2"/>
    <row r="1905" s="38" customFormat="1" x14ac:dyDescent="0.2"/>
    <row r="1906" s="38" customFormat="1" x14ac:dyDescent="0.2"/>
    <row r="1907" s="38" customFormat="1" x14ac:dyDescent="0.2"/>
    <row r="1908" s="38" customFormat="1" x14ac:dyDescent="0.2"/>
    <row r="1909" s="38" customFormat="1" x14ac:dyDescent="0.2"/>
    <row r="1910" s="38" customFormat="1" x14ac:dyDescent="0.2"/>
    <row r="1911" s="38" customFormat="1" x14ac:dyDescent="0.2"/>
    <row r="1912" s="38" customFormat="1" x14ac:dyDescent="0.2"/>
    <row r="1913" s="38" customFormat="1" x14ac:dyDescent="0.2"/>
    <row r="1914" s="38" customFormat="1" x14ac:dyDescent="0.2"/>
    <row r="1915" s="38" customFormat="1" x14ac:dyDescent="0.2"/>
    <row r="1916" s="38" customFormat="1" x14ac:dyDescent="0.2"/>
    <row r="1917" s="38" customFormat="1" x14ac:dyDescent="0.2"/>
    <row r="1918" s="38" customFormat="1" x14ac:dyDescent="0.2"/>
    <row r="1919" s="38" customFormat="1" x14ac:dyDescent="0.2"/>
    <row r="1920" s="38" customFormat="1" x14ac:dyDescent="0.2"/>
    <row r="1921" s="38" customFormat="1" x14ac:dyDescent="0.2"/>
    <row r="1922" s="38" customFormat="1" x14ac:dyDescent="0.2"/>
    <row r="1923" s="38" customFormat="1" x14ac:dyDescent="0.2"/>
    <row r="1924" s="38" customFormat="1" x14ac:dyDescent="0.2"/>
    <row r="1925" s="38" customFormat="1" x14ac:dyDescent="0.2"/>
    <row r="1926" s="38" customFormat="1" x14ac:dyDescent="0.2"/>
    <row r="1927" s="38" customFormat="1" x14ac:dyDescent="0.2"/>
    <row r="1928" s="38" customFormat="1" x14ac:dyDescent="0.2"/>
    <row r="1929" s="38" customFormat="1" x14ac:dyDescent="0.2"/>
    <row r="1930" s="38" customFormat="1" x14ac:dyDescent="0.2"/>
    <row r="1931" s="38" customFormat="1" x14ac:dyDescent="0.2"/>
    <row r="1932" s="38" customFormat="1" x14ac:dyDescent="0.2"/>
    <row r="1933" s="38" customFormat="1" x14ac:dyDescent="0.2"/>
    <row r="1934" s="38" customFormat="1" x14ac:dyDescent="0.2"/>
    <row r="1935" s="38" customFormat="1" x14ac:dyDescent="0.2"/>
    <row r="1936" s="38" customFormat="1" x14ac:dyDescent="0.2"/>
    <row r="1937" s="38" customFormat="1" x14ac:dyDescent="0.2"/>
    <row r="1938" s="38" customFormat="1" x14ac:dyDescent="0.2"/>
    <row r="1939" s="38" customFormat="1" x14ac:dyDescent="0.2"/>
    <row r="1940" s="38" customFormat="1" x14ac:dyDescent="0.2"/>
    <row r="1941" s="38" customFormat="1" x14ac:dyDescent="0.2"/>
    <row r="1942" s="38" customFormat="1" x14ac:dyDescent="0.2"/>
    <row r="1943" s="38" customFormat="1" x14ac:dyDescent="0.2"/>
    <row r="1944" s="38" customFormat="1" x14ac:dyDescent="0.2"/>
    <row r="1945" s="38" customFormat="1" x14ac:dyDescent="0.2"/>
    <row r="1946" s="38" customFormat="1" x14ac:dyDescent="0.2"/>
    <row r="1947" s="38" customFormat="1" x14ac:dyDescent="0.2"/>
    <row r="1948" s="38" customFormat="1" x14ac:dyDescent="0.2"/>
    <row r="1949" s="38" customFormat="1" x14ac:dyDescent="0.2"/>
    <row r="1950" s="38" customFormat="1" x14ac:dyDescent="0.2"/>
    <row r="1951" s="38" customFormat="1" x14ac:dyDescent="0.2"/>
    <row r="1952" s="38" customFormat="1" x14ac:dyDescent="0.2"/>
    <row r="1953" s="38" customFormat="1" x14ac:dyDescent="0.2"/>
    <row r="1954" s="38" customFormat="1" x14ac:dyDescent="0.2"/>
    <row r="1955" s="38" customFormat="1" x14ac:dyDescent="0.2"/>
    <row r="1956" s="38" customFormat="1" x14ac:dyDescent="0.2"/>
    <row r="1957" s="38" customFormat="1" x14ac:dyDescent="0.2"/>
    <row r="1958" s="38" customFormat="1" x14ac:dyDescent="0.2"/>
    <row r="1959" s="38" customFormat="1" x14ac:dyDescent="0.2"/>
    <row r="1960" s="38" customFormat="1" x14ac:dyDescent="0.2"/>
    <row r="1961" s="38" customFormat="1" x14ac:dyDescent="0.2"/>
    <row r="1962" s="38" customFormat="1" x14ac:dyDescent="0.2"/>
    <row r="1963" s="38" customFormat="1" x14ac:dyDescent="0.2"/>
    <row r="1964" s="38" customFormat="1" x14ac:dyDescent="0.2"/>
    <row r="1965" s="38" customFormat="1" x14ac:dyDescent="0.2"/>
    <row r="1966" s="38" customFormat="1" x14ac:dyDescent="0.2"/>
    <row r="1967" s="38" customFormat="1" x14ac:dyDescent="0.2"/>
    <row r="1968" s="38" customFormat="1" x14ac:dyDescent="0.2"/>
    <row r="1969" s="38" customFormat="1" x14ac:dyDescent="0.2"/>
    <row r="1970" s="38" customFormat="1" x14ac:dyDescent="0.2"/>
    <row r="1971" s="38" customFormat="1" x14ac:dyDescent="0.2"/>
    <row r="1972" s="38" customFormat="1" x14ac:dyDescent="0.2"/>
    <row r="1973" s="38" customFormat="1" x14ac:dyDescent="0.2"/>
    <row r="1974" s="38" customFormat="1" x14ac:dyDescent="0.2"/>
    <row r="1975" s="38" customFormat="1" x14ac:dyDescent="0.2"/>
    <row r="1976" s="38" customFormat="1" x14ac:dyDescent="0.2"/>
    <row r="1977" s="38" customFormat="1" x14ac:dyDescent="0.2"/>
    <row r="1978" s="38" customFormat="1" x14ac:dyDescent="0.2"/>
    <row r="1979" s="38" customFormat="1" x14ac:dyDescent="0.2"/>
    <row r="1980" s="38" customFormat="1" x14ac:dyDescent="0.2"/>
    <row r="1981" s="38" customFormat="1" x14ac:dyDescent="0.2"/>
    <row r="1982" s="38" customFormat="1" x14ac:dyDescent="0.2"/>
    <row r="1983" s="38" customFormat="1" x14ac:dyDescent="0.2"/>
    <row r="1984" s="38" customFormat="1" x14ac:dyDescent="0.2"/>
    <row r="1985" s="38" customFormat="1" x14ac:dyDescent="0.2"/>
    <row r="1986" s="38" customFormat="1" x14ac:dyDescent="0.2"/>
    <row r="1987" s="38" customFormat="1" x14ac:dyDescent="0.2"/>
    <row r="1988" s="38" customFormat="1" x14ac:dyDescent="0.2"/>
    <row r="1989" s="38" customFormat="1" x14ac:dyDescent="0.2"/>
    <row r="1990" s="38" customFormat="1" x14ac:dyDescent="0.2"/>
    <row r="1991" s="38" customFormat="1" x14ac:dyDescent="0.2"/>
    <row r="1992" s="38" customFormat="1" x14ac:dyDescent="0.2"/>
    <row r="1993" s="38" customFormat="1" x14ac:dyDescent="0.2"/>
    <row r="1994" s="38" customFormat="1" x14ac:dyDescent="0.2"/>
    <row r="1995" s="38" customFormat="1" x14ac:dyDescent="0.2"/>
    <row r="1996" s="38" customFormat="1" x14ac:dyDescent="0.2"/>
    <row r="1997" s="38" customFormat="1" x14ac:dyDescent="0.2"/>
    <row r="1998" s="38" customFormat="1" x14ac:dyDescent="0.2"/>
    <row r="1999" s="38" customFormat="1" x14ac:dyDescent="0.2"/>
    <row r="2000" s="38" customFormat="1" x14ac:dyDescent="0.2"/>
    <row r="2001" s="38" customFormat="1" x14ac:dyDescent="0.2"/>
    <row r="2002" s="38" customFormat="1" x14ac:dyDescent="0.2"/>
    <row r="2003" s="38" customFormat="1" x14ac:dyDescent="0.2"/>
    <row r="2004" s="38" customFormat="1" x14ac:dyDescent="0.2"/>
    <row r="2005" s="38" customFormat="1" x14ac:dyDescent="0.2"/>
    <row r="2006" s="38" customFormat="1" x14ac:dyDescent="0.2"/>
    <row r="2007" s="38" customFormat="1" x14ac:dyDescent="0.2"/>
    <row r="2008" s="38" customFormat="1" x14ac:dyDescent="0.2"/>
    <row r="2009" s="38" customFormat="1" x14ac:dyDescent="0.2"/>
    <row r="2010" s="38" customFormat="1" x14ac:dyDescent="0.2"/>
    <row r="2011" s="38" customFormat="1" x14ac:dyDescent="0.2"/>
    <row r="2012" s="38" customFormat="1" x14ac:dyDescent="0.2"/>
    <row r="2013" s="38" customFormat="1" x14ac:dyDescent="0.2"/>
    <row r="2014" s="38" customFormat="1" x14ac:dyDescent="0.2"/>
    <row r="2015" s="38" customFormat="1" x14ac:dyDescent="0.2"/>
    <row r="2016" s="38" customFormat="1" x14ac:dyDescent="0.2"/>
    <row r="2017" s="38" customFormat="1" x14ac:dyDescent="0.2"/>
    <row r="2018" s="38" customFormat="1" x14ac:dyDescent="0.2"/>
    <row r="2019" s="38" customFormat="1" x14ac:dyDescent="0.2"/>
    <row r="2020" s="38" customFormat="1" x14ac:dyDescent="0.2"/>
    <row r="2021" s="38" customFormat="1" x14ac:dyDescent="0.2"/>
    <row r="2022" s="38" customFormat="1" x14ac:dyDescent="0.2"/>
    <row r="2023" s="38" customFormat="1" x14ac:dyDescent="0.2"/>
    <row r="2024" s="38" customFormat="1" x14ac:dyDescent="0.2"/>
    <row r="2025" s="38" customFormat="1" x14ac:dyDescent="0.2"/>
    <row r="2026" s="38" customFormat="1" x14ac:dyDescent="0.2"/>
    <row r="2027" s="38" customFormat="1" x14ac:dyDescent="0.2"/>
    <row r="2028" s="38" customFormat="1" x14ac:dyDescent="0.2"/>
    <row r="2029" s="38" customFormat="1" x14ac:dyDescent="0.2"/>
    <row r="2030" s="38" customFormat="1" x14ac:dyDescent="0.2"/>
    <row r="2031" s="38" customFormat="1" x14ac:dyDescent="0.2"/>
    <row r="2032" s="38" customFormat="1" x14ac:dyDescent="0.2"/>
    <row r="2033" s="38" customFormat="1" x14ac:dyDescent="0.2"/>
    <row r="2034" s="38" customFormat="1" x14ac:dyDescent="0.2"/>
    <row r="2035" s="38" customFormat="1" x14ac:dyDescent="0.2"/>
    <row r="2036" s="38" customFormat="1" x14ac:dyDescent="0.2"/>
    <row r="2037" s="38" customFormat="1" x14ac:dyDescent="0.2"/>
    <row r="2038" s="38" customFormat="1" x14ac:dyDescent="0.2"/>
    <row r="2039" s="38" customFormat="1" x14ac:dyDescent="0.2"/>
    <row r="2040" s="38" customFormat="1" x14ac:dyDescent="0.2"/>
    <row r="2041" s="38" customFormat="1" x14ac:dyDescent="0.2"/>
    <row r="2042" s="38" customFormat="1" x14ac:dyDescent="0.2"/>
    <row r="2043" s="38" customFormat="1" x14ac:dyDescent="0.2"/>
    <row r="2044" s="38" customFormat="1" x14ac:dyDescent="0.2"/>
    <row r="2045" s="38" customFormat="1" x14ac:dyDescent="0.2"/>
    <row r="2046" s="38" customFormat="1" x14ac:dyDescent="0.2"/>
    <row r="2047" s="38" customFormat="1" x14ac:dyDescent="0.2"/>
    <row r="2048" s="38" customFormat="1" x14ac:dyDescent="0.2"/>
    <row r="2049" s="38" customFormat="1" x14ac:dyDescent="0.2"/>
    <row r="2050" s="38" customFormat="1" x14ac:dyDescent="0.2"/>
    <row r="2051" s="38" customFormat="1" x14ac:dyDescent="0.2"/>
    <row r="2052" s="38" customFormat="1" x14ac:dyDescent="0.2"/>
    <row r="2053" s="38" customFormat="1" x14ac:dyDescent="0.2"/>
    <row r="2054" s="38" customFormat="1" x14ac:dyDescent="0.2"/>
    <row r="2055" s="38" customFormat="1" x14ac:dyDescent="0.2"/>
    <row r="2056" s="38" customFormat="1" x14ac:dyDescent="0.2"/>
    <row r="2057" s="38" customFormat="1" x14ac:dyDescent="0.2"/>
    <row r="2058" s="38" customFormat="1" x14ac:dyDescent="0.2"/>
    <row r="2059" s="38" customFormat="1" x14ac:dyDescent="0.2"/>
    <row r="2060" s="38" customFormat="1" x14ac:dyDescent="0.2"/>
    <row r="2061" s="38" customFormat="1" x14ac:dyDescent="0.2"/>
    <row r="2062" s="38" customFormat="1" x14ac:dyDescent="0.2"/>
    <row r="2063" s="38" customFormat="1" x14ac:dyDescent="0.2"/>
    <row r="2064" s="38" customFormat="1" x14ac:dyDescent="0.2"/>
    <row r="2065" s="38" customFormat="1" x14ac:dyDescent="0.2"/>
    <row r="2066" s="38" customFormat="1" x14ac:dyDescent="0.2"/>
    <row r="2067" s="38" customFormat="1" x14ac:dyDescent="0.2"/>
    <row r="2068" s="38" customFormat="1" x14ac:dyDescent="0.2"/>
    <row r="2069" s="38" customFormat="1" x14ac:dyDescent="0.2"/>
    <row r="2070" s="38" customFormat="1" x14ac:dyDescent="0.2"/>
    <row r="2071" s="38" customFormat="1" x14ac:dyDescent="0.2"/>
    <row r="2072" s="38" customFormat="1" x14ac:dyDescent="0.2"/>
    <row r="2073" s="38" customFormat="1" x14ac:dyDescent="0.2"/>
    <row r="2074" s="38" customFormat="1" x14ac:dyDescent="0.2"/>
    <row r="2075" s="38" customFormat="1" x14ac:dyDescent="0.2"/>
    <row r="2076" s="38" customFormat="1" x14ac:dyDescent="0.2"/>
    <row r="2077" s="38" customFormat="1" x14ac:dyDescent="0.2"/>
    <row r="2078" s="38" customFormat="1" x14ac:dyDescent="0.2"/>
    <row r="2079" s="38" customFormat="1" x14ac:dyDescent="0.2"/>
    <row r="2080" s="38" customFormat="1" x14ac:dyDescent="0.2"/>
    <row r="2081" s="38" customFormat="1" x14ac:dyDescent="0.2"/>
    <row r="2082" s="38" customFormat="1" x14ac:dyDescent="0.2"/>
    <row r="2083" s="38" customFormat="1" x14ac:dyDescent="0.2"/>
    <row r="2084" s="38" customFormat="1" x14ac:dyDescent="0.2"/>
    <row r="2085" s="38" customFormat="1" x14ac:dyDescent="0.2"/>
    <row r="2086" s="38" customFormat="1" x14ac:dyDescent="0.2"/>
    <row r="2087" s="38" customFormat="1" x14ac:dyDescent="0.2"/>
    <row r="2088" s="38" customFormat="1" x14ac:dyDescent="0.2"/>
    <row r="2089" s="38" customFormat="1" x14ac:dyDescent="0.2"/>
    <row r="2090" s="38" customFormat="1" x14ac:dyDescent="0.2"/>
    <row r="2091" s="38" customFormat="1" x14ac:dyDescent="0.2"/>
    <row r="2092" s="38" customFormat="1" x14ac:dyDescent="0.2"/>
    <row r="2093" s="38" customFormat="1" x14ac:dyDescent="0.2"/>
    <row r="2094" s="38" customFormat="1" x14ac:dyDescent="0.2"/>
    <row r="2095" s="38" customFormat="1" x14ac:dyDescent="0.2"/>
    <row r="2096" s="38" customFormat="1" x14ac:dyDescent="0.2"/>
    <row r="2097" s="38" customFormat="1" x14ac:dyDescent="0.2"/>
    <row r="2098" s="38" customFormat="1" x14ac:dyDescent="0.2"/>
    <row r="2099" s="38" customFormat="1" x14ac:dyDescent="0.2"/>
    <row r="2100" s="38" customFormat="1" x14ac:dyDescent="0.2"/>
    <row r="2101" s="38" customFormat="1" x14ac:dyDescent="0.2"/>
    <row r="2102" s="38" customFormat="1" x14ac:dyDescent="0.2"/>
    <row r="2103" s="38" customFormat="1" x14ac:dyDescent="0.2"/>
    <row r="2104" s="38" customFormat="1" x14ac:dyDescent="0.2"/>
    <row r="2105" s="38" customFormat="1" x14ac:dyDescent="0.2"/>
    <row r="2106" s="38" customFormat="1" x14ac:dyDescent="0.2"/>
    <row r="2107" s="38" customFormat="1" x14ac:dyDescent="0.2"/>
    <row r="2108" s="38" customFormat="1" x14ac:dyDescent="0.2"/>
    <row r="2109" s="38" customFormat="1" x14ac:dyDescent="0.2"/>
    <row r="2110" s="38" customFormat="1" x14ac:dyDescent="0.2"/>
    <row r="2111" s="38" customFormat="1" x14ac:dyDescent="0.2"/>
    <row r="2112" s="38" customFormat="1" x14ac:dyDescent="0.2"/>
    <row r="2113" s="38" customFormat="1" x14ac:dyDescent="0.2"/>
    <row r="2114" s="38" customFormat="1" x14ac:dyDescent="0.2"/>
    <row r="2115" s="38" customFormat="1" x14ac:dyDescent="0.2"/>
    <row r="2116" s="38" customFormat="1" x14ac:dyDescent="0.2"/>
    <row r="2117" s="38" customFormat="1" x14ac:dyDescent="0.2"/>
    <row r="2118" s="38" customFormat="1" x14ac:dyDescent="0.2"/>
    <row r="2119" s="38" customFormat="1" x14ac:dyDescent="0.2"/>
    <row r="2120" s="38" customFormat="1" x14ac:dyDescent="0.2"/>
    <row r="2121" s="38" customFormat="1" x14ac:dyDescent="0.2"/>
    <row r="2122" s="38" customFormat="1" x14ac:dyDescent="0.2"/>
    <row r="2123" s="38" customFormat="1" x14ac:dyDescent="0.2"/>
    <row r="2124" s="38" customFormat="1" x14ac:dyDescent="0.2"/>
    <row r="2125" s="38" customFormat="1" x14ac:dyDescent="0.2"/>
    <row r="2126" s="38" customFormat="1" x14ac:dyDescent="0.2"/>
    <row r="2127" s="38" customFormat="1" x14ac:dyDescent="0.2"/>
    <row r="2128" s="38" customFormat="1" x14ac:dyDescent="0.2"/>
    <row r="2129" s="38" customFormat="1" x14ac:dyDescent="0.2"/>
    <row r="2130" s="38" customFormat="1" x14ac:dyDescent="0.2"/>
    <row r="2131" s="38" customFormat="1" x14ac:dyDescent="0.2"/>
    <row r="2132" s="38" customFormat="1" x14ac:dyDescent="0.2"/>
    <row r="2133" s="38" customFormat="1" x14ac:dyDescent="0.2"/>
    <row r="2134" s="38" customFormat="1" x14ac:dyDescent="0.2"/>
    <row r="2135" s="38" customFormat="1" x14ac:dyDescent="0.2"/>
    <row r="2136" s="38" customFormat="1" x14ac:dyDescent="0.2"/>
    <row r="2137" s="38" customFormat="1" x14ac:dyDescent="0.2"/>
    <row r="2138" s="38" customFormat="1" x14ac:dyDescent="0.2"/>
    <row r="2139" s="38" customFormat="1" x14ac:dyDescent="0.2"/>
    <row r="2140" s="38" customFormat="1" x14ac:dyDescent="0.2"/>
    <row r="2141" s="38" customFormat="1" x14ac:dyDescent="0.2"/>
    <row r="2142" s="38" customFormat="1" x14ac:dyDescent="0.2"/>
    <row r="2143" s="38" customFormat="1" x14ac:dyDescent="0.2"/>
    <row r="2144" s="38" customFormat="1" x14ac:dyDescent="0.2"/>
    <row r="2145" s="38" customFormat="1" x14ac:dyDescent="0.2"/>
    <row r="2146" s="38" customFormat="1" x14ac:dyDescent="0.2"/>
    <row r="2147" s="38" customFormat="1" x14ac:dyDescent="0.2"/>
    <row r="2148" s="38" customFormat="1" x14ac:dyDescent="0.2"/>
    <row r="2149" s="38" customFormat="1" x14ac:dyDescent="0.2"/>
    <row r="2150" s="38" customFormat="1" x14ac:dyDescent="0.2"/>
    <row r="2151" s="38" customFormat="1" x14ac:dyDescent="0.2"/>
    <row r="2152" s="38" customFormat="1" x14ac:dyDescent="0.2"/>
    <row r="2153" s="38" customFormat="1" x14ac:dyDescent="0.2"/>
    <row r="2154" s="38" customFormat="1" x14ac:dyDescent="0.2"/>
    <row r="2155" s="38" customFormat="1" x14ac:dyDescent="0.2"/>
    <row r="2156" s="38" customFormat="1" x14ac:dyDescent="0.2"/>
    <row r="2157" s="38" customFormat="1" x14ac:dyDescent="0.2"/>
    <row r="2158" s="38" customFormat="1" x14ac:dyDescent="0.2"/>
    <row r="2159" s="38" customFormat="1" x14ac:dyDescent="0.2"/>
    <row r="2160" s="38" customFormat="1" x14ac:dyDescent="0.2"/>
    <row r="2161" s="38" customFormat="1" x14ac:dyDescent="0.2"/>
    <row r="2162" s="38" customFormat="1" x14ac:dyDescent="0.2"/>
    <row r="2163" s="38" customFormat="1" x14ac:dyDescent="0.2"/>
    <row r="2164" s="38" customFormat="1" x14ac:dyDescent="0.2"/>
    <row r="2165" s="38" customFormat="1" x14ac:dyDescent="0.2"/>
    <row r="2166" s="38" customFormat="1" x14ac:dyDescent="0.2"/>
    <row r="2167" s="38" customFormat="1" x14ac:dyDescent="0.2"/>
    <row r="2168" s="38" customFormat="1" x14ac:dyDescent="0.2"/>
    <row r="2169" s="38" customFormat="1" x14ac:dyDescent="0.2"/>
    <row r="2170" s="38" customFormat="1" x14ac:dyDescent="0.2"/>
    <row r="2171" s="38" customFormat="1" x14ac:dyDescent="0.2"/>
    <row r="2172" s="38" customFormat="1" x14ac:dyDescent="0.2"/>
    <row r="2173" s="38" customFormat="1" x14ac:dyDescent="0.2"/>
    <row r="2174" s="38" customFormat="1" x14ac:dyDescent="0.2"/>
    <row r="2175" s="38" customFormat="1" x14ac:dyDescent="0.2"/>
    <row r="2176" s="38" customFormat="1" x14ac:dyDescent="0.2"/>
    <row r="2177" s="38" customFormat="1" x14ac:dyDescent="0.2"/>
    <row r="2178" s="38" customFormat="1" x14ac:dyDescent="0.2"/>
    <row r="2179" s="38" customFormat="1" x14ac:dyDescent="0.2"/>
    <row r="2180" s="38" customFormat="1" x14ac:dyDescent="0.2"/>
    <row r="2181" s="38" customFormat="1" x14ac:dyDescent="0.2"/>
    <row r="2182" s="38" customFormat="1" x14ac:dyDescent="0.2"/>
    <row r="2183" s="38" customFormat="1" x14ac:dyDescent="0.2"/>
    <row r="2184" s="38" customFormat="1" x14ac:dyDescent="0.2"/>
    <row r="2185" s="38" customFormat="1" x14ac:dyDescent="0.2"/>
    <row r="2186" s="38" customFormat="1" x14ac:dyDescent="0.2"/>
    <row r="2187" s="38" customFormat="1" x14ac:dyDescent="0.2"/>
    <row r="2188" s="38" customFormat="1" x14ac:dyDescent="0.2"/>
    <row r="2189" s="38" customFormat="1" x14ac:dyDescent="0.2"/>
    <row r="2190" s="38" customFormat="1" x14ac:dyDescent="0.2"/>
    <row r="2191" s="38" customFormat="1" x14ac:dyDescent="0.2"/>
    <row r="2192" s="38" customFormat="1" x14ac:dyDescent="0.2"/>
    <row r="2193" s="38" customFormat="1" x14ac:dyDescent="0.2"/>
    <row r="2194" s="38" customFormat="1" x14ac:dyDescent="0.2"/>
    <row r="2195" s="38" customFormat="1" x14ac:dyDescent="0.2"/>
    <row r="2196" s="38" customFormat="1" x14ac:dyDescent="0.2"/>
    <row r="2197" s="38" customFormat="1" x14ac:dyDescent="0.2"/>
    <row r="2198" s="38" customFormat="1" x14ac:dyDescent="0.2"/>
    <row r="2199" s="38" customFormat="1" x14ac:dyDescent="0.2"/>
    <row r="2200" s="38" customFormat="1" x14ac:dyDescent="0.2"/>
    <row r="2201" s="38" customFormat="1" x14ac:dyDescent="0.2"/>
    <row r="2202" s="38" customFormat="1" x14ac:dyDescent="0.2"/>
    <row r="2203" s="38" customFormat="1" x14ac:dyDescent="0.2"/>
    <row r="2204" s="38" customFormat="1" x14ac:dyDescent="0.2"/>
    <row r="2205" s="38" customFormat="1" x14ac:dyDescent="0.2"/>
    <row r="2206" s="38" customFormat="1" x14ac:dyDescent="0.2"/>
    <row r="2207" s="38" customFormat="1" x14ac:dyDescent="0.2"/>
    <row r="2208" s="38" customFormat="1" x14ac:dyDescent="0.2"/>
    <row r="2209" s="38" customFormat="1" x14ac:dyDescent="0.2"/>
    <row r="2210" s="38" customFormat="1" x14ac:dyDescent="0.2"/>
    <row r="2211" s="38" customFormat="1" x14ac:dyDescent="0.2"/>
    <row r="2212" s="38" customFormat="1" x14ac:dyDescent="0.2"/>
    <row r="2213" s="38" customFormat="1" x14ac:dyDescent="0.2"/>
    <row r="2214" s="38" customFormat="1" x14ac:dyDescent="0.2"/>
    <row r="2215" s="38" customFormat="1" x14ac:dyDescent="0.2"/>
    <row r="2216" s="38" customFormat="1" x14ac:dyDescent="0.2"/>
    <row r="2217" s="38" customFormat="1" x14ac:dyDescent="0.2"/>
    <row r="2218" s="38" customFormat="1" x14ac:dyDescent="0.2"/>
    <row r="2219" s="38" customFormat="1" x14ac:dyDescent="0.2"/>
    <row r="2220" s="38" customFormat="1" x14ac:dyDescent="0.2"/>
    <row r="2221" s="38" customFormat="1" x14ac:dyDescent="0.2"/>
    <row r="2222" s="38" customFormat="1" x14ac:dyDescent="0.2"/>
    <row r="2223" s="38" customFormat="1" x14ac:dyDescent="0.2"/>
    <row r="2224" s="38" customFormat="1" x14ac:dyDescent="0.2"/>
    <row r="2225" s="38" customFormat="1" x14ac:dyDescent="0.2"/>
    <row r="2226" s="38" customFormat="1" x14ac:dyDescent="0.2"/>
    <row r="2227" s="38" customFormat="1" x14ac:dyDescent="0.2"/>
    <row r="2228" s="38" customFormat="1" x14ac:dyDescent="0.2"/>
    <row r="2229" s="38" customFormat="1" x14ac:dyDescent="0.2"/>
    <row r="2230" s="38" customFormat="1" x14ac:dyDescent="0.2"/>
    <row r="2231" s="38" customFormat="1" x14ac:dyDescent="0.2"/>
    <row r="2232" s="38" customFormat="1" x14ac:dyDescent="0.2"/>
    <row r="2233" s="38" customFormat="1" x14ac:dyDescent="0.2"/>
    <row r="2234" s="38" customFormat="1" x14ac:dyDescent="0.2"/>
    <row r="2235" s="38" customFormat="1" x14ac:dyDescent="0.2"/>
    <row r="2236" s="38" customFormat="1" x14ac:dyDescent="0.2"/>
    <row r="2237" s="38" customFormat="1" x14ac:dyDescent="0.2"/>
    <row r="2238" s="38" customFormat="1" x14ac:dyDescent="0.2"/>
    <row r="2239" s="38" customFormat="1" x14ac:dyDescent="0.2"/>
    <row r="2240" s="38" customFormat="1" x14ac:dyDescent="0.2"/>
    <row r="2241" s="38" customFormat="1" x14ac:dyDescent="0.2"/>
    <row r="2242" s="38" customFormat="1" x14ac:dyDescent="0.2"/>
    <row r="2243" s="38" customFormat="1" x14ac:dyDescent="0.2"/>
    <row r="2244" s="38" customFormat="1" x14ac:dyDescent="0.2"/>
    <row r="2245" s="38" customFormat="1" x14ac:dyDescent="0.2"/>
    <row r="2246" s="38" customFormat="1" x14ac:dyDescent="0.2"/>
    <row r="2247" s="38" customFormat="1" x14ac:dyDescent="0.2"/>
    <row r="2248" s="38" customFormat="1" x14ac:dyDescent="0.2"/>
    <row r="2249" s="38" customFormat="1" x14ac:dyDescent="0.2"/>
    <row r="2250" s="38" customFormat="1" x14ac:dyDescent="0.2"/>
    <row r="2251" s="38" customFormat="1" x14ac:dyDescent="0.2"/>
    <row r="2252" s="38" customFormat="1" x14ac:dyDescent="0.2"/>
    <row r="2253" s="38" customFormat="1" x14ac:dyDescent="0.2"/>
    <row r="2254" s="38" customFormat="1" x14ac:dyDescent="0.2"/>
    <row r="2255" s="38" customFormat="1" x14ac:dyDescent="0.2"/>
    <row r="2256" s="38" customFormat="1" x14ac:dyDescent="0.2"/>
    <row r="2257" s="38" customFormat="1" x14ac:dyDescent="0.2"/>
    <row r="2258" s="38" customFormat="1" x14ac:dyDescent="0.2"/>
    <row r="2259" s="38" customFormat="1" x14ac:dyDescent="0.2"/>
    <row r="2260" s="38" customFormat="1" x14ac:dyDescent="0.2"/>
    <row r="2261" s="38" customFormat="1" x14ac:dyDescent="0.2"/>
    <row r="2262" s="38" customFormat="1" x14ac:dyDescent="0.2"/>
    <row r="2263" s="38" customFormat="1" x14ac:dyDescent="0.2"/>
    <row r="2264" s="38" customFormat="1" x14ac:dyDescent="0.2"/>
    <row r="2265" s="38" customFormat="1" x14ac:dyDescent="0.2"/>
    <row r="2266" s="38" customFormat="1" x14ac:dyDescent="0.2"/>
    <row r="2267" s="38" customFormat="1" x14ac:dyDescent="0.2"/>
    <row r="2268" s="38" customFormat="1" x14ac:dyDescent="0.2"/>
    <row r="2269" s="38" customFormat="1" x14ac:dyDescent="0.2"/>
    <row r="2270" s="38" customFormat="1" x14ac:dyDescent="0.2"/>
    <row r="2271" s="38" customFormat="1" x14ac:dyDescent="0.2"/>
    <row r="2272" s="38" customFormat="1" x14ac:dyDescent="0.2"/>
    <row r="2273" s="38" customFormat="1" x14ac:dyDescent="0.2"/>
    <row r="2274" s="38" customFormat="1" x14ac:dyDescent="0.2"/>
    <row r="2275" s="38" customFormat="1" x14ac:dyDescent="0.2"/>
    <row r="2276" s="38" customFormat="1" x14ac:dyDescent="0.2"/>
    <row r="2277" s="38" customFormat="1" x14ac:dyDescent="0.2"/>
    <row r="2278" s="38" customFormat="1" x14ac:dyDescent="0.2"/>
    <row r="2279" s="38" customFormat="1" x14ac:dyDescent="0.2"/>
    <row r="2280" s="38" customFormat="1" x14ac:dyDescent="0.2"/>
    <row r="2281" s="38" customFormat="1" x14ac:dyDescent="0.2"/>
    <row r="2282" s="38" customFormat="1" x14ac:dyDescent="0.2"/>
    <row r="2283" s="38" customFormat="1" x14ac:dyDescent="0.2"/>
    <row r="2284" s="38" customFormat="1" x14ac:dyDescent="0.2"/>
    <row r="2285" s="38" customFormat="1" x14ac:dyDescent="0.2"/>
    <row r="2286" s="38" customFormat="1" x14ac:dyDescent="0.2"/>
    <row r="2287" s="38" customFormat="1" x14ac:dyDescent="0.2"/>
    <row r="2288" s="38" customFormat="1" x14ac:dyDescent="0.2"/>
    <row r="2289" s="38" customFormat="1" x14ac:dyDescent="0.2"/>
    <row r="2290" s="38" customFormat="1" x14ac:dyDescent="0.2"/>
    <row r="2291" s="38" customFormat="1" x14ac:dyDescent="0.2"/>
    <row r="2292" s="38" customFormat="1" x14ac:dyDescent="0.2"/>
    <row r="2293" s="38" customFormat="1" x14ac:dyDescent="0.2"/>
    <row r="2294" s="38" customFormat="1" x14ac:dyDescent="0.2"/>
    <row r="2295" s="38" customFormat="1" x14ac:dyDescent="0.2"/>
    <row r="2296" s="38" customFormat="1" x14ac:dyDescent="0.2"/>
    <row r="2297" s="38" customFormat="1" x14ac:dyDescent="0.2"/>
    <row r="2298" s="38" customFormat="1" x14ac:dyDescent="0.2"/>
    <row r="2299" s="38" customFormat="1" x14ac:dyDescent="0.2"/>
    <row r="2300" s="38" customFormat="1" x14ac:dyDescent="0.2"/>
    <row r="2301" s="38" customFormat="1" x14ac:dyDescent="0.2"/>
    <row r="2302" s="38" customFormat="1" x14ac:dyDescent="0.2"/>
    <row r="2303" s="38" customFormat="1" x14ac:dyDescent="0.2"/>
    <row r="2304" s="38" customFormat="1" x14ac:dyDescent="0.2"/>
    <row r="2305" s="38" customFormat="1" x14ac:dyDescent="0.2"/>
    <row r="2306" s="38" customFormat="1" x14ac:dyDescent="0.2"/>
    <row r="2307" s="38" customFormat="1" x14ac:dyDescent="0.2"/>
    <row r="2308" s="38" customFormat="1" x14ac:dyDescent="0.2"/>
    <row r="2309" s="38" customFormat="1" x14ac:dyDescent="0.2"/>
    <row r="2310" s="38" customFormat="1" x14ac:dyDescent="0.2"/>
    <row r="2311" s="38" customFormat="1" x14ac:dyDescent="0.2"/>
    <row r="2312" s="38" customFormat="1" x14ac:dyDescent="0.2"/>
    <row r="2313" s="38" customFormat="1" x14ac:dyDescent="0.2"/>
    <row r="2314" s="38" customFormat="1" x14ac:dyDescent="0.2"/>
    <row r="2315" s="38" customFormat="1" x14ac:dyDescent="0.2"/>
    <row r="2316" s="38" customFormat="1" x14ac:dyDescent="0.2"/>
    <row r="2317" s="38" customFormat="1" x14ac:dyDescent="0.2"/>
    <row r="2318" s="38" customFormat="1" x14ac:dyDescent="0.2"/>
    <row r="2319" s="38" customFormat="1" x14ac:dyDescent="0.2"/>
    <row r="2320" s="38" customFormat="1" x14ac:dyDescent="0.2"/>
    <row r="2321" s="38" customFormat="1" x14ac:dyDescent="0.2"/>
    <row r="2322" s="38" customFormat="1" x14ac:dyDescent="0.2"/>
    <row r="2323" s="38" customFormat="1" x14ac:dyDescent="0.2"/>
    <row r="2324" s="38" customFormat="1" x14ac:dyDescent="0.2"/>
    <row r="2325" s="38" customFormat="1" x14ac:dyDescent="0.2"/>
    <row r="2326" s="38" customFormat="1" x14ac:dyDescent="0.2"/>
    <row r="2327" s="38" customFormat="1" x14ac:dyDescent="0.2"/>
    <row r="2328" s="38" customFormat="1" x14ac:dyDescent="0.2"/>
    <row r="2329" s="38" customFormat="1" x14ac:dyDescent="0.2"/>
    <row r="2330" s="38" customFormat="1" x14ac:dyDescent="0.2"/>
    <row r="2331" s="38" customFormat="1" x14ac:dyDescent="0.2"/>
    <row r="2332" s="38" customFormat="1" x14ac:dyDescent="0.2"/>
    <row r="2333" s="38" customFormat="1" x14ac:dyDescent="0.2"/>
    <row r="2334" s="38" customFormat="1" x14ac:dyDescent="0.2"/>
    <row r="2335" s="38" customFormat="1" x14ac:dyDescent="0.2"/>
    <row r="2336" s="38" customFormat="1" x14ac:dyDescent="0.2"/>
    <row r="2337" s="38" customFormat="1" x14ac:dyDescent="0.2"/>
    <row r="2338" s="38" customFormat="1" x14ac:dyDescent="0.2"/>
    <row r="2339" s="38" customFormat="1" x14ac:dyDescent="0.2"/>
    <row r="2340" s="38" customFormat="1" x14ac:dyDescent="0.2"/>
    <row r="2341" s="38" customFormat="1" x14ac:dyDescent="0.2"/>
    <row r="2342" s="38" customFormat="1" x14ac:dyDescent="0.2"/>
    <row r="2343" s="38" customFormat="1" x14ac:dyDescent="0.2"/>
    <row r="2344" s="38" customFormat="1" x14ac:dyDescent="0.2"/>
    <row r="2345" s="38" customFormat="1" x14ac:dyDescent="0.2"/>
    <row r="2346" s="38" customFormat="1" x14ac:dyDescent="0.2"/>
    <row r="2347" s="38" customFormat="1" x14ac:dyDescent="0.2"/>
    <row r="2348" s="38" customFormat="1" x14ac:dyDescent="0.2"/>
    <row r="2349" s="38" customFormat="1" x14ac:dyDescent="0.2"/>
    <row r="2350" s="38" customFormat="1" x14ac:dyDescent="0.2"/>
    <row r="2351" s="38" customFormat="1" x14ac:dyDescent="0.2"/>
    <row r="2352" s="38" customFormat="1" x14ac:dyDescent="0.2"/>
    <row r="2353" s="38" customFormat="1" x14ac:dyDescent="0.2"/>
    <row r="2354" s="38" customFormat="1" x14ac:dyDescent="0.2"/>
    <row r="2355" s="38" customFormat="1" x14ac:dyDescent="0.2"/>
    <row r="2356" s="38" customFormat="1" x14ac:dyDescent="0.2"/>
    <row r="2357" s="38" customFormat="1" x14ac:dyDescent="0.2"/>
    <row r="2358" s="38" customFormat="1" x14ac:dyDescent="0.2"/>
    <row r="2359" s="38" customFormat="1" x14ac:dyDescent="0.2"/>
    <row r="2360" s="38" customFormat="1" x14ac:dyDescent="0.2"/>
    <row r="2361" s="38" customFormat="1" x14ac:dyDescent="0.2"/>
    <row r="2362" s="38" customFormat="1" x14ac:dyDescent="0.2"/>
    <row r="2363" s="38" customFormat="1" x14ac:dyDescent="0.2"/>
    <row r="2364" s="38" customFormat="1" x14ac:dyDescent="0.2"/>
    <row r="2365" s="38" customFormat="1" x14ac:dyDescent="0.2"/>
    <row r="2366" s="38" customFormat="1" x14ac:dyDescent="0.2"/>
    <row r="2367" s="38" customFormat="1" x14ac:dyDescent="0.2"/>
    <row r="2368" s="38" customFormat="1" x14ac:dyDescent="0.2"/>
    <row r="2369" s="38" customFormat="1" x14ac:dyDescent="0.2"/>
    <row r="2370" s="38" customFormat="1" x14ac:dyDescent="0.2"/>
    <row r="2371" s="38" customFormat="1" x14ac:dyDescent="0.2"/>
    <row r="2372" s="38" customFormat="1" x14ac:dyDescent="0.2"/>
    <row r="2373" s="38" customFormat="1" x14ac:dyDescent="0.2"/>
    <row r="2374" s="38" customFormat="1" x14ac:dyDescent="0.2"/>
    <row r="2375" s="38" customFormat="1" x14ac:dyDescent="0.2"/>
    <row r="2376" s="38" customFormat="1" x14ac:dyDescent="0.2"/>
    <row r="2377" s="38" customFormat="1" x14ac:dyDescent="0.2"/>
    <row r="2378" s="38" customFormat="1" x14ac:dyDescent="0.2"/>
    <row r="2379" s="38" customFormat="1" x14ac:dyDescent="0.2"/>
    <row r="2380" s="38" customFormat="1" x14ac:dyDescent="0.2"/>
    <row r="2381" s="38" customFormat="1" x14ac:dyDescent="0.2"/>
    <row r="2382" s="38" customFormat="1" x14ac:dyDescent="0.2"/>
    <row r="2383" s="38" customFormat="1" x14ac:dyDescent="0.2"/>
    <row r="2384" s="38" customFormat="1" x14ac:dyDescent="0.2"/>
    <row r="2385" s="38" customFormat="1" x14ac:dyDescent="0.2"/>
    <row r="2386" s="38" customFormat="1" x14ac:dyDescent="0.2"/>
    <row r="2387" s="38" customFormat="1" x14ac:dyDescent="0.2"/>
    <row r="2388" s="38" customFormat="1" x14ac:dyDescent="0.2"/>
    <row r="2389" s="38" customFormat="1" x14ac:dyDescent="0.2"/>
    <row r="2390" s="38" customFormat="1" x14ac:dyDescent="0.2"/>
    <row r="2391" s="38" customFormat="1" x14ac:dyDescent="0.2"/>
    <row r="2392" s="38" customFormat="1" x14ac:dyDescent="0.2"/>
    <row r="2393" s="38" customFormat="1" x14ac:dyDescent="0.2"/>
    <row r="2394" s="38" customFormat="1" x14ac:dyDescent="0.2"/>
    <row r="2395" s="38" customFormat="1" x14ac:dyDescent="0.2"/>
    <row r="2396" s="38" customFormat="1" x14ac:dyDescent="0.2"/>
    <row r="2397" s="38" customFormat="1" x14ac:dyDescent="0.2"/>
    <row r="2398" s="38" customFormat="1" x14ac:dyDescent="0.2"/>
    <row r="2399" s="38" customFormat="1" x14ac:dyDescent="0.2"/>
    <row r="2400" s="38" customFormat="1" x14ac:dyDescent="0.2"/>
    <row r="2401" s="38" customFormat="1" x14ac:dyDescent="0.2"/>
    <row r="2402" s="38" customFormat="1" x14ac:dyDescent="0.2"/>
    <row r="2403" s="38" customFormat="1" x14ac:dyDescent="0.2"/>
    <row r="2404" s="38" customFormat="1" x14ac:dyDescent="0.2"/>
    <row r="2405" s="38" customFormat="1" x14ac:dyDescent="0.2"/>
    <row r="2406" s="38" customFormat="1" x14ac:dyDescent="0.2"/>
    <row r="2407" s="38" customFormat="1" x14ac:dyDescent="0.2"/>
    <row r="2408" s="38" customFormat="1" x14ac:dyDescent="0.2"/>
    <row r="2409" s="38" customFormat="1" x14ac:dyDescent="0.2"/>
    <row r="2410" s="38" customFormat="1" x14ac:dyDescent="0.2"/>
    <row r="2411" s="38" customFormat="1" x14ac:dyDescent="0.2"/>
    <row r="2412" s="38" customFormat="1" x14ac:dyDescent="0.2"/>
    <row r="2413" s="38" customFormat="1" x14ac:dyDescent="0.2"/>
    <row r="2414" s="38" customFormat="1" x14ac:dyDescent="0.2"/>
    <row r="2415" s="38" customFormat="1" x14ac:dyDescent="0.2"/>
    <row r="2416" s="38" customFormat="1" x14ac:dyDescent="0.2"/>
    <row r="2417" s="38" customFormat="1" x14ac:dyDescent="0.2"/>
    <row r="2418" s="38" customFormat="1" x14ac:dyDescent="0.2"/>
    <row r="2419" s="38" customFormat="1" x14ac:dyDescent="0.2"/>
    <row r="2420" s="38" customFormat="1" x14ac:dyDescent="0.2"/>
    <row r="2421" s="38" customFormat="1" x14ac:dyDescent="0.2"/>
    <row r="2422" s="38" customFormat="1" x14ac:dyDescent="0.2"/>
    <row r="2423" s="38" customFormat="1" x14ac:dyDescent="0.2"/>
    <row r="2424" s="38" customFormat="1" x14ac:dyDescent="0.2"/>
    <row r="2425" s="38" customFormat="1" x14ac:dyDescent="0.2"/>
    <row r="2426" s="38" customFormat="1" x14ac:dyDescent="0.2"/>
    <row r="2427" s="38" customFormat="1" x14ac:dyDescent="0.2"/>
    <row r="2428" s="38" customFormat="1" x14ac:dyDescent="0.2"/>
    <row r="2429" s="38" customFormat="1" x14ac:dyDescent="0.2"/>
    <row r="2430" s="38" customFormat="1" x14ac:dyDescent="0.2"/>
    <row r="2431" s="38" customFormat="1" x14ac:dyDescent="0.2"/>
    <row r="2432" s="38" customFormat="1" x14ac:dyDescent="0.2"/>
    <row r="2433" s="38" customFormat="1" x14ac:dyDescent="0.2"/>
    <row r="2434" s="38" customFormat="1" x14ac:dyDescent="0.2"/>
    <row r="2435" s="38" customFormat="1" x14ac:dyDescent="0.2"/>
    <row r="2436" s="38" customFormat="1" x14ac:dyDescent="0.2"/>
    <row r="2437" s="38" customFormat="1" x14ac:dyDescent="0.2"/>
    <row r="2438" s="38" customFormat="1" x14ac:dyDescent="0.2"/>
    <row r="2439" s="38" customFormat="1" x14ac:dyDescent="0.2"/>
    <row r="2440" s="38" customFormat="1" x14ac:dyDescent="0.2"/>
    <row r="2441" s="38" customFormat="1" x14ac:dyDescent="0.2"/>
    <row r="2442" s="38" customFormat="1" x14ac:dyDescent="0.2"/>
    <row r="2443" s="38" customFormat="1" x14ac:dyDescent="0.2"/>
    <row r="2444" s="38" customFormat="1" x14ac:dyDescent="0.2"/>
    <row r="2445" s="38" customFormat="1" x14ac:dyDescent="0.2"/>
    <row r="2446" s="38" customFormat="1" x14ac:dyDescent="0.2"/>
    <row r="2447" s="38" customFormat="1" x14ac:dyDescent="0.2"/>
    <row r="2448" s="38" customFormat="1" x14ac:dyDescent="0.2"/>
    <row r="2449" s="38" customFormat="1" x14ac:dyDescent="0.2"/>
    <row r="2450" s="38" customFormat="1" x14ac:dyDescent="0.2"/>
    <row r="2451" s="38" customFormat="1" x14ac:dyDescent="0.2"/>
    <row r="2452" s="38" customFormat="1" x14ac:dyDescent="0.2"/>
    <row r="2453" s="38" customFormat="1" x14ac:dyDescent="0.2"/>
    <row r="2454" s="38" customFormat="1" x14ac:dyDescent="0.2"/>
    <row r="2455" s="38" customFormat="1" x14ac:dyDescent="0.2"/>
    <row r="2456" s="38" customFormat="1" x14ac:dyDescent="0.2"/>
    <row r="2457" s="38" customFormat="1" x14ac:dyDescent="0.2"/>
    <row r="2458" s="38" customFormat="1" x14ac:dyDescent="0.2"/>
    <row r="2459" s="38" customFormat="1" x14ac:dyDescent="0.2"/>
    <row r="2460" s="38" customFormat="1" x14ac:dyDescent="0.2"/>
    <row r="2461" s="38" customFormat="1" x14ac:dyDescent="0.2"/>
    <row r="2462" s="38" customFormat="1" x14ac:dyDescent="0.2"/>
    <row r="2463" s="38" customFormat="1" x14ac:dyDescent="0.2"/>
    <row r="2464" s="38" customFormat="1" x14ac:dyDescent="0.2"/>
    <row r="2465" s="38" customFormat="1" x14ac:dyDescent="0.2"/>
    <row r="2466" s="38" customFormat="1" x14ac:dyDescent="0.2"/>
    <row r="2467" s="38" customFormat="1" x14ac:dyDescent="0.2"/>
    <row r="2468" s="38" customFormat="1" x14ac:dyDescent="0.2"/>
    <row r="2469" s="38" customFormat="1" x14ac:dyDescent="0.2"/>
    <row r="2470" s="38" customFormat="1" x14ac:dyDescent="0.2"/>
    <row r="2471" s="38" customFormat="1" x14ac:dyDescent="0.2"/>
    <row r="2472" s="38" customFormat="1" x14ac:dyDescent="0.2"/>
    <row r="2473" s="38" customFormat="1" x14ac:dyDescent="0.2"/>
    <row r="2474" s="38" customFormat="1" x14ac:dyDescent="0.2"/>
    <row r="2475" s="38" customFormat="1" x14ac:dyDescent="0.2"/>
    <row r="2476" s="38" customFormat="1" x14ac:dyDescent="0.2"/>
    <row r="2477" s="38" customFormat="1" x14ac:dyDescent="0.2"/>
    <row r="2478" s="38" customFormat="1" x14ac:dyDescent="0.2"/>
    <row r="2479" s="38" customFormat="1" x14ac:dyDescent="0.2"/>
    <row r="2480" s="38" customFormat="1" x14ac:dyDescent="0.2"/>
    <row r="2481" s="38" customFormat="1" x14ac:dyDescent="0.2"/>
    <row r="2482" s="38" customFormat="1" x14ac:dyDescent="0.2"/>
    <row r="2483" s="38" customFormat="1" x14ac:dyDescent="0.2"/>
    <row r="2484" s="38" customFormat="1" x14ac:dyDescent="0.2"/>
    <row r="2485" s="38" customFormat="1" x14ac:dyDescent="0.2"/>
    <row r="2486" s="38" customFormat="1" x14ac:dyDescent="0.2"/>
    <row r="2487" s="38" customFormat="1" x14ac:dyDescent="0.2"/>
    <row r="2488" s="38" customFormat="1" x14ac:dyDescent="0.2"/>
    <row r="2489" s="38" customFormat="1" x14ac:dyDescent="0.2"/>
    <row r="2490" s="38" customFormat="1" x14ac:dyDescent="0.2"/>
    <row r="2491" s="38" customFormat="1" x14ac:dyDescent="0.2"/>
    <row r="2492" s="38" customFormat="1" x14ac:dyDescent="0.2"/>
    <row r="2493" s="38" customFormat="1" x14ac:dyDescent="0.2"/>
    <row r="2494" s="38" customFormat="1" x14ac:dyDescent="0.2"/>
    <row r="2495" s="38" customFormat="1" x14ac:dyDescent="0.2"/>
    <row r="2496" s="38" customFormat="1" x14ac:dyDescent="0.2"/>
    <row r="2497" s="38" customFormat="1" x14ac:dyDescent="0.2"/>
    <row r="2498" s="38" customFormat="1" x14ac:dyDescent="0.2"/>
    <row r="2499" s="38" customFormat="1" x14ac:dyDescent="0.2"/>
    <row r="2500" s="38" customFormat="1" x14ac:dyDescent="0.2"/>
    <row r="2501" s="38" customFormat="1" x14ac:dyDescent="0.2"/>
    <row r="2502" s="38" customFormat="1" x14ac:dyDescent="0.2"/>
    <row r="2503" s="38" customFormat="1" x14ac:dyDescent="0.2"/>
    <row r="2504" s="38" customFormat="1" x14ac:dyDescent="0.2"/>
    <row r="2505" s="38" customFormat="1" x14ac:dyDescent="0.2"/>
    <row r="2506" s="38" customFormat="1" x14ac:dyDescent="0.2"/>
    <row r="2507" s="38" customFormat="1" x14ac:dyDescent="0.2"/>
    <row r="2508" s="38" customFormat="1" x14ac:dyDescent="0.2"/>
    <row r="2509" s="38" customFormat="1" x14ac:dyDescent="0.2"/>
    <row r="2510" s="38" customFormat="1" x14ac:dyDescent="0.2"/>
    <row r="2511" s="38" customFormat="1" x14ac:dyDescent="0.2"/>
    <row r="2512" s="38" customFormat="1" x14ac:dyDescent="0.2"/>
    <row r="2513" s="38" customFormat="1" x14ac:dyDescent="0.2"/>
    <row r="2514" s="38" customFormat="1" x14ac:dyDescent="0.2"/>
    <row r="2515" s="38" customFormat="1" x14ac:dyDescent="0.2"/>
    <row r="2516" s="38" customFormat="1" x14ac:dyDescent="0.2"/>
    <row r="2517" s="38" customFormat="1" x14ac:dyDescent="0.2"/>
    <row r="2518" s="38" customFormat="1" x14ac:dyDescent="0.2"/>
    <row r="2519" s="38" customFormat="1" x14ac:dyDescent="0.2"/>
    <row r="2520" s="38" customFormat="1" x14ac:dyDescent="0.2"/>
    <row r="2521" s="38" customFormat="1" x14ac:dyDescent="0.2"/>
    <row r="2522" s="38" customFormat="1" x14ac:dyDescent="0.2"/>
    <row r="2523" s="38" customFormat="1" x14ac:dyDescent="0.2"/>
    <row r="2524" s="38" customFormat="1" x14ac:dyDescent="0.2"/>
    <row r="2525" s="38" customFormat="1" x14ac:dyDescent="0.2"/>
    <row r="2526" s="38" customFormat="1" x14ac:dyDescent="0.2"/>
    <row r="2527" s="38" customFormat="1" x14ac:dyDescent="0.2"/>
    <row r="2528" s="38" customFormat="1" x14ac:dyDescent="0.2"/>
    <row r="2529" s="38" customFormat="1" x14ac:dyDescent="0.2"/>
    <row r="2530" s="38" customFormat="1" x14ac:dyDescent="0.2"/>
    <row r="2531" s="38" customFormat="1" x14ac:dyDescent="0.2"/>
    <row r="2532" s="38" customFormat="1" x14ac:dyDescent="0.2"/>
    <row r="2533" s="38" customFormat="1" x14ac:dyDescent="0.2"/>
    <row r="2534" s="38" customFormat="1" x14ac:dyDescent="0.2"/>
    <row r="2535" s="38" customFormat="1" x14ac:dyDescent="0.2"/>
    <row r="2536" s="38" customFormat="1" x14ac:dyDescent="0.2"/>
    <row r="2537" s="38" customFormat="1" x14ac:dyDescent="0.2"/>
    <row r="2538" s="38" customFormat="1" x14ac:dyDescent="0.2"/>
    <row r="2539" s="38" customFormat="1" x14ac:dyDescent="0.2"/>
    <row r="2540" s="38" customFormat="1" x14ac:dyDescent="0.2"/>
    <row r="2541" s="38" customFormat="1" x14ac:dyDescent="0.2"/>
    <row r="2542" s="38" customFormat="1" x14ac:dyDescent="0.2"/>
    <row r="2543" s="38" customFormat="1" x14ac:dyDescent="0.2"/>
    <row r="2544" s="38" customFormat="1" x14ac:dyDescent="0.2"/>
    <row r="2545" s="38" customFormat="1" x14ac:dyDescent="0.2"/>
    <row r="2546" s="38" customFormat="1" x14ac:dyDescent="0.2"/>
    <row r="2547" s="38" customFormat="1" x14ac:dyDescent="0.2"/>
    <row r="2548" s="38" customFormat="1" x14ac:dyDescent="0.2"/>
    <row r="2549" s="38" customFormat="1" x14ac:dyDescent="0.2"/>
    <row r="2550" s="38" customFormat="1" x14ac:dyDescent="0.2"/>
    <row r="2551" s="38" customFormat="1" x14ac:dyDescent="0.2"/>
    <row r="2552" s="38" customFormat="1" x14ac:dyDescent="0.2"/>
    <row r="2553" s="38" customFormat="1" x14ac:dyDescent="0.2"/>
    <row r="2554" s="38" customFormat="1" x14ac:dyDescent="0.2"/>
    <row r="2555" s="38" customFormat="1" x14ac:dyDescent="0.2"/>
    <row r="2556" s="38" customFormat="1" x14ac:dyDescent="0.2"/>
    <row r="2557" s="38" customFormat="1" x14ac:dyDescent="0.2"/>
    <row r="2558" s="38" customFormat="1" x14ac:dyDescent="0.2"/>
    <row r="2559" s="38" customFormat="1" x14ac:dyDescent="0.2"/>
    <row r="2560" s="38" customFormat="1" x14ac:dyDescent="0.2"/>
    <row r="2561" s="38" customFormat="1" x14ac:dyDescent="0.2"/>
    <row r="2562" s="38" customFormat="1" x14ac:dyDescent="0.2"/>
    <row r="2563" s="38" customFormat="1" x14ac:dyDescent="0.2"/>
    <row r="2564" s="38" customFormat="1" x14ac:dyDescent="0.2"/>
    <row r="2565" s="38" customFormat="1" x14ac:dyDescent="0.2"/>
    <row r="2566" s="38" customFormat="1" x14ac:dyDescent="0.2"/>
    <row r="2567" s="38" customFormat="1" x14ac:dyDescent="0.2"/>
    <row r="2568" s="38" customFormat="1" x14ac:dyDescent="0.2"/>
    <row r="2569" s="38" customFormat="1" x14ac:dyDescent="0.2"/>
    <row r="2570" s="38" customFormat="1" x14ac:dyDescent="0.2"/>
    <row r="2571" s="38" customFormat="1" x14ac:dyDescent="0.2"/>
    <row r="2572" s="38" customFormat="1" x14ac:dyDescent="0.2"/>
    <row r="2573" s="38" customFormat="1" x14ac:dyDescent="0.2"/>
    <row r="2574" s="38" customFormat="1" x14ac:dyDescent="0.2"/>
    <row r="2575" s="38" customFormat="1" x14ac:dyDescent="0.2"/>
    <row r="2576" s="38" customFormat="1" x14ac:dyDescent="0.2"/>
    <row r="2577" s="38" customFormat="1" x14ac:dyDescent="0.2"/>
    <row r="2578" s="38" customFormat="1" x14ac:dyDescent="0.2"/>
    <row r="2579" s="38" customFormat="1" x14ac:dyDescent="0.2"/>
    <row r="2580" s="38" customFormat="1" x14ac:dyDescent="0.2"/>
    <row r="2581" s="38" customFormat="1" x14ac:dyDescent="0.2"/>
    <row r="2582" s="38" customFormat="1" x14ac:dyDescent="0.2"/>
    <row r="2583" s="38" customFormat="1" x14ac:dyDescent="0.2"/>
    <row r="2584" s="38" customFormat="1" x14ac:dyDescent="0.2"/>
    <row r="2585" s="38" customFormat="1" x14ac:dyDescent="0.2"/>
    <row r="2586" s="38" customFormat="1" x14ac:dyDescent="0.2"/>
    <row r="2587" s="38" customFormat="1" x14ac:dyDescent="0.2"/>
    <row r="2588" s="38" customFormat="1" x14ac:dyDescent="0.2"/>
    <row r="2589" s="38" customFormat="1" x14ac:dyDescent="0.2"/>
    <row r="2590" s="38" customFormat="1" x14ac:dyDescent="0.2"/>
    <row r="2591" s="38" customFormat="1" x14ac:dyDescent="0.2"/>
    <row r="2592" s="38" customFormat="1" x14ac:dyDescent="0.2"/>
    <row r="2593" s="38" customFormat="1" x14ac:dyDescent="0.2"/>
    <row r="2594" s="38" customFormat="1" x14ac:dyDescent="0.2"/>
    <row r="2595" s="38" customFormat="1" x14ac:dyDescent="0.2"/>
    <row r="2596" s="38" customFormat="1" x14ac:dyDescent="0.2"/>
    <row r="2597" s="38" customFormat="1" x14ac:dyDescent="0.2"/>
    <row r="2598" s="38" customFormat="1" x14ac:dyDescent="0.2"/>
    <row r="2599" s="38" customFormat="1" x14ac:dyDescent="0.2"/>
    <row r="2600" s="38" customFormat="1" x14ac:dyDescent="0.2"/>
    <row r="2601" s="38" customFormat="1" x14ac:dyDescent="0.2"/>
    <row r="2602" s="38" customFormat="1" x14ac:dyDescent="0.2"/>
    <row r="2603" s="38" customFormat="1" x14ac:dyDescent="0.2"/>
    <row r="2604" s="38" customFormat="1" x14ac:dyDescent="0.2"/>
    <row r="2605" s="38" customFormat="1" x14ac:dyDescent="0.2"/>
    <row r="2606" s="38" customFormat="1" x14ac:dyDescent="0.2"/>
    <row r="2607" s="38" customFormat="1" x14ac:dyDescent="0.2"/>
    <row r="2608" s="38" customFormat="1" x14ac:dyDescent="0.2"/>
    <row r="2609" s="38" customFormat="1" x14ac:dyDescent="0.2"/>
    <row r="2610" s="38" customFormat="1" x14ac:dyDescent="0.2"/>
    <row r="2611" s="38" customFormat="1" x14ac:dyDescent="0.2"/>
    <row r="2612" s="38" customFormat="1" x14ac:dyDescent="0.2"/>
    <row r="2613" s="38" customFormat="1" x14ac:dyDescent="0.2"/>
    <row r="2614" s="38" customFormat="1" x14ac:dyDescent="0.2"/>
    <row r="2615" s="38" customFormat="1" x14ac:dyDescent="0.2"/>
    <row r="2616" s="38" customFormat="1" x14ac:dyDescent="0.2"/>
    <row r="2617" s="38" customFormat="1" x14ac:dyDescent="0.2"/>
    <row r="2618" s="38" customFormat="1" x14ac:dyDescent="0.2"/>
    <row r="2619" s="38" customFormat="1" x14ac:dyDescent="0.2"/>
    <row r="2620" s="38" customFormat="1" x14ac:dyDescent="0.2"/>
    <row r="2621" s="38" customFormat="1" x14ac:dyDescent="0.2"/>
    <row r="2622" s="38" customFormat="1" x14ac:dyDescent="0.2"/>
    <row r="2623" s="38" customFormat="1" x14ac:dyDescent="0.2"/>
    <row r="2624" s="38" customFormat="1" x14ac:dyDescent="0.2"/>
    <row r="2625" s="38" customFormat="1" x14ac:dyDescent="0.2"/>
    <row r="2626" s="38" customFormat="1" x14ac:dyDescent="0.2"/>
    <row r="2627" s="38" customFormat="1" x14ac:dyDescent="0.2"/>
    <row r="2628" s="38" customFormat="1" x14ac:dyDescent="0.2"/>
    <row r="2629" s="38" customFormat="1" x14ac:dyDescent="0.2"/>
    <row r="2630" s="38" customFormat="1" x14ac:dyDescent="0.2"/>
    <row r="2631" s="38" customFormat="1" x14ac:dyDescent="0.2"/>
    <row r="2632" s="38" customFormat="1" x14ac:dyDescent="0.2"/>
    <row r="2633" s="38" customFormat="1" x14ac:dyDescent="0.2"/>
    <row r="2634" s="38" customFormat="1" x14ac:dyDescent="0.2"/>
    <row r="2635" s="38" customFormat="1" x14ac:dyDescent="0.2"/>
    <row r="2636" s="38" customFormat="1" x14ac:dyDescent="0.2"/>
    <row r="2637" s="38" customFormat="1" x14ac:dyDescent="0.2"/>
    <row r="2638" s="38" customFormat="1" x14ac:dyDescent="0.2"/>
    <row r="2639" s="38" customFormat="1" x14ac:dyDescent="0.2"/>
    <row r="2640" s="38" customFormat="1" x14ac:dyDescent="0.2"/>
    <row r="2641" s="38" customFormat="1" x14ac:dyDescent="0.2"/>
    <row r="2642" s="38" customFormat="1" x14ac:dyDescent="0.2"/>
    <row r="2643" s="38" customFormat="1" x14ac:dyDescent="0.2"/>
    <row r="2644" s="38" customFormat="1" x14ac:dyDescent="0.2"/>
    <row r="2645" s="38" customFormat="1" x14ac:dyDescent="0.2"/>
    <row r="2646" s="38" customFormat="1" x14ac:dyDescent="0.2"/>
    <row r="2647" s="38" customFormat="1" x14ac:dyDescent="0.2"/>
    <row r="2648" s="38" customFormat="1" x14ac:dyDescent="0.2"/>
    <row r="2649" s="38" customFormat="1" x14ac:dyDescent="0.2"/>
    <row r="2650" s="38" customFormat="1" x14ac:dyDescent="0.2"/>
    <row r="2651" s="38" customFormat="1" x14ac:dyDescent="0.2"/>
    <row r="2652" s="38" customFormat="1" x14ac:dyDescent="0.2"/>
    <row r="2653" s="38" customFormat="1" x14ac:dyDescent="0.2"/>
    <row r="2654" s="38" customFormat="1" x14ac:dyDescent="0.2"/>
    <row r="2655" s="38" customFormat="1" x14ac:dyDescent="0.2"/>
    <row r="2656" s="38" customFormat="1" x14ac:dyDescent="0.2"/>
    <row r="2657" s="38" customFormat="1" x14ac:dyDescent="0.2"/>
    <row r="2658" s="38" customFormat="1" x14ac:dyDescent="0.2"/>
    <row r="2659" s="38" customFormat="1" x14ac:dyDescent="0.2"/>
    <row r="2660" s="38" customFormat="1" x14ac:dyDescent="0.2"/>
    <row r="2661" s="38" customFormat="1" x14ac:dyDescent="0.2"/>
    <row r="2662" s="38" customFormat="1" x14ac:dyDescent="0.2"/>
    <row r="2663" s="38" customFormat="1" x14ac:dyDescent="0.2"/>
    <row r="2664" s="38" customFormat="1" x14ac:dyDescent="0.2"/>
    <row r="2665" s="38" customFormat="1" x14ac:dyDescent="0.2"/>
    <row r="2666" s="38" customFormat="1" x14ac:dyDescent="0.2"/>
    <row r="2667" s="38" customFormat="1" x14ac:dyDescent="0.2"/>
    <row r="2668" s="38" customFormat="1" x14ac:dyDescent="0.2"/>
    <row r="2669" s="38" customFormat="1" x14ac:dyDescent="0.2"/>
    <row r="2670" s="38" customFormat="1" x14ac:dyDescent="0.2"/>
    <row r="2671" s="38" customFormat="1" x14ac:dyDescent="0.2"/>
    <row r="2672" s="38" customFormat="1" x14ac:dyDescent="0.2"/>
    <row r="2673" s="38" customFormat="1" x14ac:dyDescent="0.2"/>
    <row r="2674" s="38" customFormat="1" x14ac:dyDescent="0.2"/>
    <row r="2675" s="38" customFormat="1" x14ac:dyDescent="0.2"/>
    <row r="2676" s="38" customFormat="1" x14ac:dyDescent="0.2"/>
    <row r="2677" s="38" customFormat="1" x14ac:dyDescent="0.2"/>
    <row r="2678" s="38" customFormat="1" x14ac:dyDescent="0.2"/>
    <row r="2679" s="38" customFormat="1" x14ac:dyDescent="0.2"/>
    <row r="2680" s="38" customFormat="1" x14ac:dyDescent="0.2"/>
    <row r="2681" s="38" customFormat="1" x14ac:dyDescent="0.2"/>
    <row r="2682" s="38" customFormat="1" x14ac:dyDescent="0.2"/>
    <row r="2683" s="38" customFormat="1" x14ac:dyDescent="0.2"/>
    <row r="2684" s="38" customFormat="1" x14ac:dyDescent="0.2"/>
    <row r="2685" s="38" customFormat="1" x14ac:dyDescent="0.2"/>
    <row r="2686" s="38" customFormat="1" x14ac:dyDescent="0.2"/>
    <row r="2687" s="38" customFormat="1" x14ac:dyDescent="0.2"/>
    <row r="2688" s="38" customFormat="1" x14ac:dyDescent="0.2"/>
    <row r="2689" s="38" customFormat="1" x14ac:dyDescent="0.2"/>
    <row r="2690" s="38" customFormat="1" x14ac:dyDescent="0.2"/>
    <row r="2691" s="38" customFormat="1" x14ac:dyDescent="0.2"/>
    <row r="2692" s="38" customFormat="1" x14ac:dyDescent="0.2"/>
    <row r="2693" s="38" customFormat="1" x14ac:dyDescent="0.2"/>
    <row r="2694" s="38" customFormat="1" x14ac:dyDescent="0.2"/>
    <row r="2695" s="38" customFormat="1" x14ac:dyDescent="0.2"/>
    <row r="2696" s="38" customFormat="1" x14ac:dyDescent="0.2"/>
    <row r="2697" s="38" customFormat="1" x14ac:dyDescent="0.2"/>
    <row r="2698" s="38" customFormat="1" x14ac:dyDescent="0.2"/>
    <row r="2699" s="38" customFormat="1" x14ac:dyDescent="0.2"/>
    <row r="2700" s="38" customFormat="1" x14ac:dyDescent="0.2"/>
    <row r="2701" s="38" customFormat="1" x14ac:dyDescent="0.2"/>
    <row r="2702" s="38" customFormat="1" x14ac:dyDescent="0.2"/>
    <row r="2703" s="38" customFormat="1" x14ac:dyDescent="0.2"/>
    <row r="2704" s="38" customFormat="1" x14ac:dyDescent="0.2"/>
    <row r="2705" s="38" customFormat="1" x14ac:dyDescent="0.2"/>
    <row r="2706" s="38" customFormat="1" x14ac:dyDescent="0.2"/>
    <row r="2707" s="38" customFormat="1" x14ac:dyDescent="0.2"/>
    <row r="2708" s="38" customFormat="1" x14ac:dyDescent="0.2"/>
    <row r="2709" s="38" customFormat="1" x14ac:dyDescent="0.2"/>
    <row r="2710" s="38" customFormat="1" x14ac:dyDescent="0.2"/>
    <row r="2711" s="38" customFormat="1" x14ac:dyDescent="0.2"/>
    <row r="2712" s="38" customFormat="1" x14ac:dyDescent="0.2"/>
    <row r="2713" s="38" customFormat="1" x14ac:dyDescent="0.2"/>
    <row r="2714" s="38" customFormat="1" x14ac:dyDescent="0.2"/>
    <row r="2715" s="38" customFormat="1" x14ac:dyDescent="0.2"/>
    <row r="2716" s="38" customFormat="1" x14ac:dyDescent="0.2"/>
    <row r="2717" s="38" customFormat="1" x14ac:dyDescent="0.2"/>
    <row r="2718" s="38" customFormat="1" x14ac:dyDescent="0.2"/>
    <row r="2719" s="38" customFormat="1" x14ac:dyDescent="0.2"/>
    <row r="2720" s="38" customFormat="1" x14ac:dyDescent="0.2"/>
    <row r="2721" s="38" customFormat="1" x14ac:dyDescent="0.2"/>
    <row r="2722" s="38" customFormat="1" x14ac:dyDescent="0.2"/>
    <row r="2723" s="38" customFormat="1" x14ac:dyDescent="0.2"/>
    <row r="2724" s="38" customFormat="1" x14ac:dyDescent="0.2"/>
    <row r="2725" s="38" customFormat="1" x14ac:dyDescent="0.2"/>
    <row r="2726" s="38" customFormat="1" x14ac:dyDescent="0.2"/>
    <row r="2727" s="38" customFormat="1" x14ac:dyDescent="0.2"/>
    <row r="2728" s="38" customFormat="1" x14ac:dyDescent="0.2"/>
    <row r="2729" s="38" customFormat="1" x14ac:dyDescent="0.2"/>
    <row r="2730" s="38" customFormat="1" x14ac:dyDescent="0.2"/>
    <row r="2731" s="38" customFormat="1" x14ac:dyDescent="0.2"/>
    <row r="2732" s="38" customFormat="1" x14ac:dyDescent="0.2"/>
    <row r="2733" s="38" customFormat="1" x14ac:dyDescent="0.2"/>
    <row r="2734" s="38" customFormat="1" x14ac:dyDescent="0.2"/>
    <row r="2735" s="38" customFormat="1" x14ac:dyDescent="0.2"/>
    <row r="2736" s="38" customFormat="1" x14ac:dyDescent="0.2"/>
    <row r="2737" s="38" customFormat="1" x14ac:dyDescent="0.2"/>
    <row r="2738" s="38" customFormat="1" x14ac:dyDescent="0.2"/>
    <row r="2739" s="38" customFormat="1" x14ac:dyDescent="0.2"/>
    <row r="2740" s="38" customFormat="1" x14ac:dyDescent="0.2"/>
    <row r="2741" s="38" customFormat="1" x14ac:dyDescent="0.2"/>
    <row r="2742" s="38" customFormat="1" x14ac:dyDescent="0.2"/>
    <row r="2743" s="38" customFormat="1" x14ac:dyDescent="0.2"/>
    <row r="2744" s="38" customFormat="1" x14ac:dyDescent="0.2"/>
    <row r="2745" s="38" customFormat="1" x14ac:dyDescent="0.2"/>
    <row r="2746" s="38" customFormat="1" x14ac:dyDescent="0.2"/>
    <row r="2747" s="38" customFormat="1" x14ac:dyDescent="0.2"/>
    <row r="2748" s="38" customFormat="1" x14ac:dyDescent="0.2"/>
    <row r="2749" s="38" customFormat="1" x14ac:dyDescent="0.2"/>
    <row r="2750" s="38" customFormat="1" x14ac:dyDescent="0.2"/>
    <row r="2751" s="38" customFormat="1" x14ac:dyDescent="0.2"/>
    <row r="2752" s="38" customFormat="1" x14ac:dyDescent="0.2"/>
    <row r="2753" s="38" customFormat="1" x14ac:dyDescent="0.2"/>
    <row r="2754" s="38" customFormat="1" x14ac:dyDescent="0.2"/>
    <row r="2755" s="38" customFormat="1" x14ac:dyDescent="0.2"/>
    <row r="2756" s="38" customFormat="1" x14ac:dyDescent="0.2"/>
    <row r="2757" s="38" customFormat="1" x14ac:dyDescent="0.2"/>
    <row r="2758" s="38" customFormat="1" x14ac:dyDescent="0.2"/>
    <row r="2759" s="38" customFormat="1" x14ac:dyDescent="0.2"/>
    <row r="2760" s="38" customFormat="1" x14ac:dyDescent="0.2"/>
    <row r="2761" s="38" customFormat="1" x14ac:dyDescent="0.2"/>
    <row r="2762" s="38" customFormat="1" x14ac:dyDescent="0.2"/>
    <row r="2763" s="38" customFormat="1" x14ac:dyDescent="0.2"/>
    <row r="2764" s="38" customFormat="1" x14ac:dyDescent="0.2"/>
    <row r="2765" s="38" customFormat="1" x14ac:dyDescent="0.2"/>
    <row r="2766" s="38" customFormat="1" x14ac:dyDescent="0.2"/>
    <row r="2767" s="38" customFormat="1" x14ac:dyDescent="0.2"/>
    <row r="2768" s="38" customFormat="1" x14ac:dyDescent="0.2"/>
    <row r="2769" s="38" customFormat="1" x14ac:dyDescent="0.2"/>
    <row r="2770" s="38" customFormat="1" x14ac:dyDescent="0.2"/>
    <row r="2771" s="38" customFormat="1" x14ac:dyDescent="0.2"/>
    <row r="2772" s="38" customFormat="1" x14ac:dyDescent="0.2"/>
    <row r="2773" s="38" customFormat="1" x14ac:dyDescent="0.2"/>
    <row r="2774" s="38" customFormat="1" x14ac:dyDescent="0.2"/>
    <row r="2775" s="38" customFormat="1" x14ac:dyDescent="0.2"/>
    <row r="2776" s="38" customFormat="1" x14ac:dyDescent="0.2"/>
    <row r="2777" s="38" customFormat="1" x14ac:dyDescent="0.2"/>
    <row r="2778" s="38" customFormat="1" x14ac:dyDescent="0.2"/>
    <row r="2779" s="38" customFormat="1" x14ac:dyDescent="0.2"/>
    <row r="2780" s="38" customFormat="1" x14ac:dyDescent="0.2"/>
    <row r="2781" s="38" customFormat="1" x14ac:dyDescent="0.2"/>
    <row r="2782" s="38" customFormat="1" x14ac:dyDescent="0.2"/>
    <row r="2783" s="38" customFormat="1" x14ac:dyDescent="0.2"/>
    <row r="2784" s="38" customFormat="1" x14ac:dyDescent="0.2"/>
    <row r="2785" s="38" customFormat="1" x14ac:dyDescent="0.2"/>
    <row r="2786" s="38" customFormat="1" x14ac:dyDescent="0.2"/>
    <row r="2787" s="38" customFormat="1" x14ac:dyDescent="0.2"/>
    <row r="2788" s="38" customFormat="1" x14ac:dyDescent="0.2"/>
    <row r="2789" s="38" customFormat="1" x14ac:dyDescent="0.2"/>
    <row r="2790" s="38" customFormat="1" x14ac:dyDescent="0.2"/>
    <row r="2791" s="38" customFormat="1" x14ac:dyDescent="0.2"/>
    <row r="2792" s="38" customFormat="1" x14ac:dyDescent="0.2"/>
    <row r="2793" s="38" customFormat="1" x14ac:dyDescent="0.2"/>
    <row r="2794" s="38" customFormat="1" x14ac:dyDescent="0.2"/>
    <row r="2795" s="38" customFormat="1" x14ac:dyDescent="0.2"/>
    <row r="2796" s="38" customFormat="1" x14ac:dyDescent="0.2"/>
    <row r="2797" s="38" customFormat="1" x14ac:dyDescent="0.2"/>
    <row r="2798" s="38" customFormat="1" x14ac:dyDescent="0.2"/>
    <row r="2799" s="38" customFormat="1" x14ac:dyDescent="0.2"/>
    <row r="2800" s="38" customFormat="1" x14ac:dyDescent="0.2"/>
    <row r="2801" s="38" customFormat="1" x14ac:dyDescent="0.2"/>
    <row r="2802" s="38" customFormat="1" x14ac:dyDescent="0.2"/>
    <row r="2803" s="38" customFormat="1" x14ac:dyDescent="0.2"/>
    <row r="2804" s="38" customFormat="1" x14ac:dyDescent="0.2"/>
    <row r="2805" s="38" customFormat="1" x14ac:dyDescent="0.2"/>
    <row r="2806" s="38" customFormat="1" x14ac:dyDescent="0.2"/>
    <row r="2807" s="38" customFormat="1" x14ac:dyDescent="0.2"/>
    <row r="2808" s="38" customFormat="1" x14ac:dyDescent="0.2"/>
    <row r="2809" s="38" customFormat="1" x14ac:dyDescent="0.2"/>
    <row r="2810" s="38" customFormat="1" x14ac:dyDescent="0.2"/>
    <row r="2811" s="38" customFormat="1" x14ac:dyDescent="0.2"/>
    <row r="2812" s="38" customFormat="1" x14ac:dyDescent="0.2"/>
    <row r="2813" s="38" customFormat="1" x14ac:dyDescent="0.2"/>
    <row r="2814" s="38" customFormat="1" x14ac:dyDescent="0.2"/>
    <row r="2815" s="38" customFormat="1" x14ac:dyDescent="0.2"/>
    <row r="2816" s="38" customFormat="1" x14ac:dyDescent="0.2"/>
    <row r="2817" s="38" customFormat="1" x14ac:dyDescent="0.2"/>
    <row r="2818" s="38" customFormat="1" x14ac:dyDescent="0.2"/>
    <row r="2819" s="38" customFormat="1" x14ac:dyDescent="0.2"/>
    <row r="2820" s="38" customFormat="1" x14ac:dyDescent="0.2"/>
    <row r="2821" s="38" customFormat="1" x14ac:dyDescent="0.2"/>
    <row r="2822" s="38" customFormat="1" x14ac:dyDescent="0.2"/>
    <row r="2823" s="38" customFormat="1" x14ac:dyDescent="0.2"/>
    <row r="2824" s="38" customFormat="1" x14ac:dyDescent="0.2"/>
    <row r="2825" s="38" customFormat="1" x14ac:dyDescent="0.2"/>
    <row r="2826" s="38" customFormat="1" x14ac:dyDescent="0.2"/>
    <row r="2827" s="38" customFormat="1" x14ac:dyDescent="0.2"/>
    <row r="2828" s="38" customFormat="1" x14ac:dyDescent="0.2"/>
    <row r="2829" s="38" customFormat="1" x14ac:dyDescent="0.2"/>
    <row r="2830" s="38" customFormat="1" x14ac:dyDescent="0.2"/>
    <row r="2831" s="38" customFormat="1" x14ac:dyDescent="0.2"/>
    <row r="2832" s="38" customFormat="1" x14ac:dyDescent="0.2"/>
    <row r="2833" s="38" customFormat="1" x14ac:dyDescent="0.2"/>
    <row r="2834" s="38" customFormat="1" x14ac:dyDescent="0.2"/>
    <row r="2835" s="38" customFormat="1" x14ac:dyDescent="0.2"/>
    <row r="2836" s="38" customFormat="1" x14ac:dyDescent="0.2"/>
    <row r="2837" s="38" customFormat="1" x14ac:dyDescent="0.2"/>
    <row r="2838" s="38" customFormat="1" x14ac:dyDescent="0.2"/>
    <row r="2839" s="38" customFormat="1" x14ac:dyDescent="0.2"/>
    <row r="2840" s="38" customFormat="1" x14ac:dyDescent="0.2"/>
    <row r="2841" s="38" customFormat="1" x14ac:dyDescent="0.2"/>
    <row r="2842" s="38" customFormat="1" x14ac:dyDescent="0.2"/>
    <row r="2843" s="38" customFormat="1" x14ac:dyDescent="0.2"/>
    <row r="2844" s="38" customFormat="1" x14ac:dyDescent="0.2"/>
    <row r="2845" s="38" customFormat="1" x14ac:dyDescent="0.2"/>
    <row r="2846" s="38" customFormat="1" x14ac:dyDescent="0.2"/>
    <row r="2847" s="38" customFormat="1" x14ac:dyDescent="0.2"/>
    <row r="2848" s="38" customFormat="1" x14ac:dyDescent="0.2"/>
    <row r="2849" s="38" customFormat="1" x14ac:dyDescent="0.2"/>
    <row r="2850" s="38" customFormat="1" x14ac:dyDescent="0.2"/>
    <row r="2851" s="38" customFormat="1" x14ac:dyDescent="0.2"/>
    <row r="2852" s="38" customFormat="1" x14ac:dyDescent="0.2"/>
    <row r="2853" s="38" customFormat="1" x14ac:dyDescent="0.2"/>
    <row r="2854" s="38" customFormat="1" x14ac:dyDescent="0.2"/>
    <row r="2855" s="38" customFormat="1" x14ac:dyDescent="0.2"/>
    <row r="2856" s="38" customFormat="1" x14ac:dyDescent="0.2"/>
    <row r="2857" s="38" customFormat="1" x14ac:dyDescent="0.2"/>
    <row r="2858" s="38" customFormat="1" x14ac:dyDescent="0.2"/>
    <row r="2859" s="38" customFormat="1" x14ac:dyDescent="0.2"/>
    <row r="2860" s="38" customFormat="1" x14ac:dyDescent="0.2"/>
    <row r="2861" s="38" customFormat="1" x14ac:dyDescent="0.2"/>
    <row r="2862" s="38" customFormat="1" x14ac:dyDescent="0.2"/>
    <row r="2863" s="38" customFormat="1" x14ac:dyDescent="0.2"/>
    <row r="2864" s="38" customFormat="1" x14ac:dyDescent="0.2"/>
    <row r="2865" s="38" customFormat="1" x14ac:dyDescent="0.2"/>
    <row r="2866" s="38" customFormat="1" x14ac:dyDescent="0.2"/>
    <row r="2867" s="38" customFormat="1" x14ac:dyDescent="0.2"/>
    <row r="2868" s="38" customFormat="1" x14ac:dyDescent="0.2"/>
    <row r="2869" s="38" customFormat="1" x14ac:dyDescent="0.2"/>
    <row r="2870" s="38" customFormat="1" x14ac:dyDescent="0.2"/>
    <row r="2871" s="38" customFormat="1" x14ac:dyDescent="0.2"/>
    <row r="2872" s="38" customFormat="1" x14ac:dyDescent="0.2"/>
    <row r="2873" s="38" customFormat="1" x14ac:dyDescent="0.2"/>
    <row r="2874" s="38" customFormat="1" x14ac:dyDescent="0.2"/>
    <row r="2875" s="38" customFormat="1" x14ac:dyDescent="0.2"/>
    <row r="2876" s="38" customFormat="1" x14ac:dyDescent="0.2"/>
    <row r="2877" s="38" customFormat="1" x14ac:dyDescent="0.2"/>
    <row r="2878" s="38" customFormat="1" x14ac:dyDescent="0.2"/>
    <row r="2879" s="38" customFormat="1" x14ac:dyDescent="0.2"/>
    <row r="2880" s="38" customFormat="1" x14ac:dyDescent="0.2"/>
    <row r="2881" s="38" customFormat="1" x14ac:dyDescent="0.2"/>
    <row r="2882" s="38" customFormat="1" x14ac:dyDescent="0.2"/>
    <row r="2883" s="38" customFormat="1" x14ac:dyDescent="0.2"/>
    <row r="2884" s="38" customFormat="1" x14ac:dyDescent="0.2"/>
    <row r="2885" s="38" customFormat="1" x14ac:dyDescent="0.2"/>
    <row r="2886" s="38" customFormat="1" x14ac:dyDescent="0.2"/>
    <row r="2887" s="38" customFormat="1" x14ac:dyDescent="0.2"/>
    <row r="2888" s="38" customFormat="1" x14ac:dyDescent="0.2"/>
    <row r="2889" s="38" customFormat="1" x14ac:dyDescent="0.2"/>
    <row r="2890" s="38" customFormat="1" x14ac:dyDescent="0.2"/>
    <row r="2891" s="38" customFormat="1" x14ac:dyDescent="0.2"/>
    <row r="2892" s="38" customFormat="1" x14ac:dyDescent="0.2"/>
    <row r="2893" s="38" customFormat="1" x14ac:dyDescent="0.2"/>
    <row r="2894" s="38" customFormat="1" x14ac:dyDescent="0.2"/>
    <row r="2895" s="38" customFormat="1" x14ac:dyDescent="0.2"/>
    <row r="2896" s="38" customFormat="1" x14ac:dyDescent="0.2"/>
    <row r="2897" s="38" customFormat="1" x14ac:dyDescent="0.2"/>
    <row r="2898" s="38" customFormat="1" x14ac:dyDescent="0.2"/>
    <row r="2899" s="38" customFormat="1" x14ac:dyDescent="0.2"/>
    <row r="2900" s="38" customFormat="1" x14ac:dyDescent="0.2"/>
    <row r="2901" s="38" customFormat="1" x14ac:dyDescent="0.2"/>
    <row r="2902" s="38" customFormat="1" x14ac:dyDescent="0.2"/>
    <row r="2903" s="38" customFormat="1" x14ac:dyDescent="0.2"/>
    <row r="2904" s="38" customFormat="1" x14ac:dyDescent="0.2"/>
    <row r="2905" s="38" customFormat="1" x14ac:dyDescent="0.2"/>
    <row r="2906" s="38" customFormat="1" x14ac:dyDescent="0.2"/>
    <row r="2907" s="38" customFormat="1" x14ac:dyDescent="0.2"/>
    <row r="2908" s="38" customFormat="1" x14ac:dyDescent="0.2"/>
    <row r="2909" s="38" customFormat="1" x14ac:dyDescent="0.2"/>
    <row r="2910" s="38" customFormat="1" x14ac:dyDescent="0.2"/>
    <row r="2911" s="38" customFormat="1" x14ac:dyDescent="0.2"/>
    <row r="2912" s="38" customFormat="1" x14ac:dyDescent="0.2"/>
    <row r="2913" s="38" customFormat="1" x14ac:dyDescent="0.2"/>
    <row r="2914" s="38" customFormat="1" x14ac:dyDescent="0.2"/>
    <row r="2915" s="38" customFormat="1" x14ac:dyDescent="0.2"/>
    <row r="2916" s="38" customFormat="1" x14ac:dyDescent="0.2"/>
    <row r="2917" s="38" customFormat="1" x14ac:dyDescent="0.2"/>
    <row r="2918" s="38" customFormat="1" x14ac:dyDescent="0.2"/>
    <row r="2919" s="38" customFormat="1" x14ac:dyDescent="0.2"/>
    <row r="2920" s="38" customFormat="1" x14ac:dyDescent="0.2"/>
    <row r="2921" s="38" customFormat="1" x14ac:dyDescent="0.2"/>
    <row r="2922" s="38" customFormat="1" x14ac:dyDescent="0.2"/>
    <row r="2923" s="38" customFormat="1" x14ac:dyDescent="0.2"/>
    <row r="2924" s="38" customFormat="1" x14ac:dyDescent="0.2"/>
    <row r="2925" s="38" customFormat="1" x14ac:dyDescent="0.2"/>
    <row r="2926" s="38" customFormat="1" x14ac:dyDescent="0.2"/>
    <row r="2927" s="38" customFormat="1" x14ac:dyDescent="0.2"/>
    <row r="2928" s="38" customFormat="1" x14ac:dyDescent="0.2"/>
    <row r="2929" s="38" customFormat="1" x14ac:dyDescent="0.2"/>
    <row r="2930" s="38" customFormat="1" x14ac:dyDescent="0.2"/>
    <row r="2931" s="38" customFormat="1" x14ac:dyDescent="0.2"/>
    <row r="2932" s="38" customFormat="1" x14ac:dyDescent="0.2"/>
    <row r="2933" s="38" customFormat="1" x14ac:dyDescent="0.2"/>
    <row r="2934" s="38" customFormat="1" x14ac:dyDescent="0.2"/>
    <row r="2935" s="38" customFormat="1" x14ac:dyDescent="0.2"/>
    <row r="2936" s="38" customFormat="1" x14ac:dyDescent="0.2"/>
    <row r="2937" s="38" customFormat="1" x14ac:dyDescent="0.2"/>
    <row r="2938" s="38" customFormat="1" x14ac:dyDescent="0.2"/>
    <row r="2939" s="38" customFormat="1" x14ac:dyDescent="0.2"/>
    <row r="2940" s="38" customFormat="1" x14ac:dyDescent="0.2"/>
    <row r="2941" s="38" customFormat="1" x14ac:dyDescent="0.2"/>
    <row r="2942" s="38" customFormat="1" x14ac:dyDescent="0.2"/>
    <row r="2943" s="38" customFormat="1" x14ac:dyDescent="0.2"/>
    <row r="2944" s="38" customFormat="1" x14ac:dyDescent="0.2"/>
    <row r="2945" s="38" customFormat="1" x14ac:dyDescent="0.2"/>
    <row r="2946" s="38" customFormat="1" x14ac:dyDescent="0.2"/>
    <row r="2947" s="38" customFormat="1" x14ac:dyDescent="0.2"/>
    <row r="2948" s="38" customFormat="1" x14ac:dyDescent="0.2"/>
    <row r="2949" s="38" customFormat="1" x14ac:dyDescent="0.2"/>
    <row r="2950" s="38" customFormat="1" x14ac:dyDescent="0.2"/>
    <row r="2951" s="38" customFormat="1" x14ac:dyDescent="0.2"/>
    <row r="2952" s="38" customFormat="1" x14ac:dyDescent="0.2"/>
    <row r="2953" s="38" customFormat="1" x14ac:dyDescent="0.2"/>
    <row r="2954" s="38" customFormat="1" x14ac:dyDescent="0.2"/>
    <row r="2955" s="38" customFormat="1" x14ac:dyDescent="0.2"/>
    <row r="2956" s="38" customFormat="1" x14ac:dyDescent="0.2"/>
    <row r="2957" s="38" customFormat="1" x14ac:dyDescent="0.2"/>
    <row r="2958" s="38" customFormat="1" x14ac:dyDescent="0.2"/>
    <row r="2959" s="38" customFormat="1" x14ac:dyDescent="0.2"/>
    <row r="2960" s="38" customFormat="1" x14ac:dyDescent="0.2"/>
    <row r="2961" s="38" customFormat="1" x14ac:dyDescent="0.2"/>
    <row r="2962" s="38" customFormat="1" x14ac:dyDescent="0.2"/>
    <row r="2963" s="38" customFormat="1" x14ac:dyDescent="0.2"/>
    <row r="2964" s="38" customFormat="1" x14ac:dyDescent="0.2"/>
    <row r="2965" s="38" customFormat="1" x14ac:dyDescent="0.2"/>
    <row r="2966" s="38" customFormat="1" x14ac:dyDescent="0.2"/>
    <row r="2967" s="38" customFormat="1" x14ac:dyDescent="0.2"/>
    <row r="2968" s="38" customFormat="1" x14ac:dyDescent="0.2"/>
    <row r="2969" s="38" customFormat="1" x14ac:dyDescent="0.2"/>
    <row r="2970" s="38" customFormat="1" x14ac:dyDescent="0.2"/>
    <row r="2971" s="38" customFormat="1" x14ac:dyDescent="0.2"/>
    <row r="2972" s="38" customFormat="1" x14ac:dyDescent="0.2"/>
    <row r="2973" s="38" customFormat="1" x14ac:dyDescent="0.2"/>
    <row r="2974" s="38" customFormat="1" x14ac:dyDescent="0.2"/>
    <row r="2975" s="38" customFormat="1" x14ac:dyDescent="0.2"/>
    <row r="2976" s="38" customFormat="1" x14ac:dyDescent="0.2"/>
    <row r="2977" s="38" customFormat="1" x14ac:dyDescent="0.2"/>
    <row r="2978" s="38" customFormat="1" x14ac:dyDescent="0.2"/>
    <row r="2979" s="38" customFormat="1" x14ac:dyDescent="0.2"/>
    <row r="2980" s="38" customFormat="1" x14ac:dyDescent="0.2"/>
    <row r="2981" s="38" customFormat="1" x14ac:dyDescent="0.2"/>
    <row r="2982" s="38" customFormat="1" x14ac:dyDescent="0.2"/>
    <row r="2983" s="38" customFormat="1" x14ac:dyDescent="0.2"/>
    <row r="2984" s="38" customFormat="1" x14ac:dyDescent="0.2"/>
    <row r="2985" s="38" customFormat="1" x14ac:dyDescent="0.2"/>
    <row r="2986" s="38" customFormat="1" x14ac:dyDescent="0.2"/>
    <row r="2987" s="38" customFormat="1" x14ac:dyDescent="0.2"/>
    <row r="2988" s="38" customFormat="1" x14ac:dyDescent="0.2"/>
    <row r="2989" s="38" customFormat="1" x14ac:dyDescent="0.2"/>
    <row r="2990" s="38" customFormat="1" x14ac:dyDescent="0.2"/>
    <row r="2991" s="38" customFormat="1" x14ac:dyDescent="0.2"/>
    <row r="2992" s="38" customFormat="1" x14ac:dyDescent="0.2"/>
    <row r="2993" s="38" customFormat="1" x14ac:dyDescent="0.2"/>
    <row r="2994" s="38" customFormat="1" x14ac:dyDescent="0.2"/>
    <row r="2995" s="38" customFormat="1" x14ac:dyDescent="0.2"/>
    <row r="2996" s="38" customFormat="1" x14ac:dyDescent="0.2"/>
    <row r="2997" s="38" customFormat="1" x14ac:dyDescent="0.2"/>
    <row r="2998" s="38" customFormat="1" x14ac:dyDescent="0.2"/>
    <row r="2999" s="38" customFormat="1" x14ac:dyDescent="0.2"/>
    <row r="3000" s="38" customFormat="1" x14ac:dyDescent="0.2"/>
    <row r="3001" s="38" customFormat="1" x14ac:dyDescent="0.2"/>
    <row r="3002" s="38" customFormat="1" x14ac:dyDescent="0.2"/>
    <row r="3003" s="38" customFormat="1" x14ac:dyDescent="0.2"/>
    <row r="3004" s="38" customFormat="1" x14ac:dyDescent="0.2"/>
    <row r="3005" s="38" customFormat="1" x14ac:dyDescent="0.2"/>
    <row r="3006" s="38" customFormat="1" x14ac:dyDescent="0.2"/>
    <row r="3007" s="38" customFormat="1" x14ac:dyDescent="0.2"/>
    <row r="3008" s="38" customFormat="1" x14ac:dyDescent="0.2"/>
    <row r="3009" s="38" customFormat="1" x14ac:dyDescent="0.2"/>
    <row r="3010" s="38" customFormat="1" x14ac:dyDescent="0.2"/>
    <row r="3011" s="38" customFormat="1" x14ac:dyDescent="0.2"/>
    <row r="3012" s="38" customFormat="1" x14ac:dyDescent="0.2"/>
    <row r="3013" s="38" customFormat="1" x14ac:dyDescent="0.2"/>
    <row r="3014" s="38" customFormat="1" x14ac:dyDescent="0.2"/>
    <row r="3015" s="38" customFormat="1" x14ac:dyDescent="0.2"/>
    <row r="3016" s="38" customFormat="1" x14ac:dyDescent="0.2"/>
    <row r="3017" s="38" customFormat="1" x14ac:dyDescent="0.2"/>
    <row r="3018" s="38" customFormat="1" x14ac:dyDescent="0.2"/>
    <row r="3019" s="38" customFormat="1" x14ac:dyDescent="0.2"/>
    <row r="3020" s="38" customFormat="1" x14ac:dyDescent="0.2"/>
    <row r="3021" s="38" customFormat="1" x14ac:dyDescent="0.2"/>
    <row r="3022" s="38" customFormat="1" x14ac:dyDescent="0.2"/>
    <row r="3023" s="38" customFormat="1" x14ac:dyDescent="0.2"/>
    <row r="3024" s="38" customFormat="1" x14ac:dyDescent="0.2"/>
    <row r="3025" s="38" customFormat="1" x14ac:dyDescent="0.2"/>
    <row r="3026" s="38" customFormat="1" x14ac:dyDescent="0.2"/>
    <row r="3027" s="38" customFormat="1" x14ac:dyDescent="0.2"/>
    <row r="3028" s="38" customFormat="1" x14ac:dyDescent="0.2"/>
    <row r="3029" s="38" customFormat="1" x14ac:dyDescent="0.2"/>
    <row r="3030" s="38" customFormat="1" x14ac:dyDescent="0.2"/>
    <row r="3031" s="38" customFormat="1" x14ac:dyDescent="0.2"/>
    <row r="3032" s="38" customFormat="1" x14ac:dyDescent="0.2"/>
    <row r="3033" s="38" customFormat="1" x14ac:dyDescent="0.2"/>
    <row r="3034" s="38" customFormat="1" x14ac:dyDescent="0.2"/>
    <row r="3035" s="38" customFormat="1" x14ac:dyDescent="0.2"/>
    <row r="3036" s="38" customFormat="1" x14ac:dyDescent="0.2"/>
    <row r="3037" s="38" customFormat="1" x14ac:dyDescent="0.2"/>
    <row r="3038" s="38" customFormat="1" x14ac:dyDescent="0.2"/>
    <row r="3039" s="38" customFormat="1" x14ac:dyDescent="0.2"/>
    <row r="3040" s="38" customFormat="1" x14ac:dyDescent="0.2"/>
    <row r="3041" s="38" customFormat="1" x14ac:dyDescent="0.2"/>
    <row r="3042" s="38" customFormat="1" x14ac:dyDescent="0.2"/>
    <row r="3043" s="38" customFormat="1" x14ac:dyDescent="0.2"/>
    <row r="3044" s="38" customFormat="1" x14ac:dyDescent="0.2"/>
    <row r="3045" s="38" customFormat="1" x14ac:dyDescent="0.2"/>
    <row r="3046" s="38" customFormat="1" x14ac:dyDescent="0.2"/>
    <row r="3047" s="38" customFormat="1" x14ac:dyDescent="0.2"/>
    <row r="3048" s="38" customFormat="1" x14ac:dyDescent="0.2"/>
    <row r="3049" s="38" customFormat="1" x14ac:dyDescent="0.2"/>
    <row r="3050" s="38" customFormat="1" x14ac:dyDescent="0.2"/>
    <row r="3051" s="38" customFormat="1" x14ac:dyDescent="0.2"/>
    <row r="3052" s="38" customFormat="1" x14ac:dyDescent="0.2"/>
    <row r="3053" s="38" customFormat="1" x14ac:dyDescent="0.2"/>
    <row r="3054" s="38" customFormat="1" x14ac:dyDescent="0.2"/>
    <row r="3055" s="38" customFormat="1" x14ac:dyDescent="0.2"/>
    <row r="3056" s="38" customFormat="1" x14ac:dyDescent="0.2"/>
    <row r="3057" s="38" customFormat="1" x14ac:dyDescent="0.2"/>
    <row r="3058" s="38" customFormat="1" x14ac:dyDescent="0.2"/>
    <row r="3059" s="38" customFormat="1" x14ac:dyDescent="0.2"/>
    <row r="3060" s="38" customFormat="1" x14ac:dyDescent="0.2"/>
    <row r="3061" s="38" customFormat="1" x14ac:dyDescent="0.2"/>
    <row r="3062" s="38" customFormat="1" x14ac:dyDescent="0.2"/>
    <row r="3063" s="38" customFormat="1" x14ac:dyDescent="0.2"/>
    <row r="3064" s="38" customFormat="1" x14ac:dyDescent="0.2"/>
    <row r="3065" s="38" customFormat="1" x14ac:dyDescent="0.2"/>
    <row r="3066" s="38" customFormat="1" x14ac:dyDescent="0.2"/>
    <row r="3067" s="38" customFormat="1" x14ac:dyDescent="0.2"/>
    <row r="3068" s="38" customFormat="1" x14ac:dyDescent="0.2"/>
    <row r="3069" s="38" customFormat="1" x14ac:dyDescent="0.2"/>
    <row r="3070" s="38" customFormat="1" x14ac:dyDescent="0.2"/>
    <row r="3071" s="38" customFormat="1" x14ac:dyDescent="0.2"/>
    <row r="3072" s="38" customFormat="1" x14ac:dyDescent="0.2"/>
    <row r="3073" s="38" customFormat="1" x14ac:dyDescent="0.2"/>
    <row r="3074" s="38" customFormat="1" x14ac:dyDescent="0.2"/>
    <row r="3075" s="38" customFormat="1" x14ac:dyDescent="0.2"/>
    <row r="3076" s="38" customFormat="1" x14ac:dyDescent="0.2"/>
    <row r="3077" s="38" customFormat="1" x14ac:dyDescent="0.2"/>
    <row r="3078" s="38" customFormat="1" x14ac:dyDescent="0.2"/>
    <row r="3079" s="38" customFormat="1" x14ac:dyDescent="0.2"/>
    <row r="3080" s="38" customFormat="1" x14ac:dyDescent="0.2"/>
    <row r="3081" s="38" customFormat="1" x14ac:dyDescent="0.2"/>
    <row r="3082" s="38" customFormat="1" x14ac:dyDescent="0.2"/>
    <row r="3083" s="38" customFormat="1" x14ac:dyDescent="0.2"/>
    <row r="3084" s="38" customFormat="1" x14ac:dyDescent="0.2"/>
    <row r="3085" s="38" customFormat="1" x14ac:dyDescent="0.2"/>
    <row r="3086" s="38" customFormat="1" x14ac:dyDescent="0.2"/>
    <row r="3087" s="38" customFormat="1" x14ac:dyDescent="0.2"/>
    <row r="3088" s="38" customFormat="1" x14ac:dyDescent="0.2"/>
    <row r="3089" s="38" customFormat="1" x14ac:dyDescent="0.2"/>
    <row r="3090" s="38" customFormat="1" x14ac:dyDescent="0.2"/>
    <row r="3091" s="38" customFormat="1" x14ac:dyDescent="0.2"/>
    <row r="3092" s="38" customFormat="1" x14ac:dyDescent="0.2"/>
    <row r="3093" s="38" customFormat="1" x14ac:dyDescent="0.2"/>
    <row r="3094" s="38" customFormat="1" x14ac:dyDescent="0.2"/>
    <row r="3095" s="38" customFormat="1" x14ac:dyDescent="0.2"/>
    <row r="3096" s="38" customFormat="1" x14ac:dyDescent="0.2"/>
    <row r="3097" s="38" customFormat="1" x14ac:dyDescent="0.2"/>
    <row r="3098" s="38" customFormat="1" x14ac:dyDescent="0.2"/>
    <row r="3099" s="38" customFormat="1" x14ac:dyDescent="0.2"/>
    <row r="3100" s="38" customFormat="1" x14ac:dyDescent="0.2"/>
    <row r="3101" s="38" customFormat="1" x14ac:dyDescent="0.2"/>
    <row r="3102" s="38" customFormat="1" x14ac:dyDescent="0.2"/>
    <row r="3103" s="38" customFormat="1" x14ac:dyDescent="0.2"/>
    <row r="3104" s="38" customFormat="1" x14ac:dyDescent="0.2"/>
    <row r="3105" s="38" customFormat="1" x14ac:dyDescent="0.2"/>
    <row r="3106" s="38" customFormat="1" x14ac:dyDescent="0.2"/>
    <row r="3107" s="38" customFormat="1" x14ac:dyDescent="0.2"/>
    <row r="3108" s="38" customFormat="1" x14ac:dyDescent="0.2"/>
    <row r="3109" s="38" customFormat="1" x14ac:dyDescent="0.2"/>
    <row r="3110" s="38" customFormat="1" x14ac:dyDescent="0.2"/>
    <row r="3111" s="38" customFormat="1" x14ac:dyDescent="0.2"/>
    <row r="3112" s="38" customFormat="1" x14ac:dyDescent="0.2"/>
    <row r="3113" s="38" customFormat="1" x14ac:dyDescent="0.2"/>
    <row r="3114" s="38" customFormat="1" x14ac:dyDescent="0.2"/>
    <row r="3115" s="38" customFormat="1" x14ac:dyDescent="0.2"/>
    <row r="3116" s="38" customFormat="1" x14ac:dyDescent="0.2"/>
    <row r="3117" s="38" customFormat="1" x14ac:dyDescent="0.2"/>
    <row r="3118" s="38" customFormat="1" x14ac:dyDescent="0.2"/>
    <row r="3119" s="38" customFormat="1" x14ac:dyDescent="0.2"/>
    <row r="3120" s="38" customFormat="1" x14ac:dyDescent="0.2"/>
    <row r="3121" s="38" customFormat="1" x14ac:dyDescent="0.2"/>
    <row r="3122" s="38" customFormat="1" x14ac:dyDescent="0.2"/>
    <row r="3123" s="38" customFormat="1" x14ac:dyDescent="0.2"/>
    <row r="3124" s="38" customFormat="1" x14ac:dyDescent="0.2"/>
    <row r="3125" s="38" customFormat="1" x14ac:dyDescent="0.2"/>
    <row r="3126" s="38" customFormat="1" x14ac:dyDescent="0.2"/>
    <row r="3127" s="38" customFormat="1" x14ac:dyDescent="0.2"/>
    <row r="3128" s="38" customFormat="1" x14ac:dyDescent="0.2"/>
    <row r="3129" s="38" customFormat="1" x14ac:dyDescent="0.2"/>
    <row r="3130" s="38" customFormat="1" x14ac:dyDescent="0.2"/>
    <row r="3131" s="38" customFormat="1" x14ac:dyDescent="0.2"/>
    <row r="3132" s="38" customFormat="1" x14ac:dyDescent="0.2"/>
    <row r="3133" s="38" customFormat="1" x14ac:dyDescent="0.2"/>
    <row r="3134" s="38" customFormat="1" x14ac:dyDescent="0.2"/>
    <row r="3135" s="38" customFormat="1" x14ac:dyDescent="0.2"/>
    <row r="3136" s="38" customFormat="1" x14ac:dyDescent="0.2"/>
    <row r="3137" s="38" customFormat="1" x14ac:dyDescent="0.2"/>
    <row r="3138" s="38" customFormat="1" x14ac:dyDescent="0.2"/>
    <row r="3139" s="38" customFormat="1" x14ac:dyDescent="0.2"/>
    <row r="3140" s="38" customFormat="1" x14ac:dyDescent="0.2"/>
    <row r="3141" s="38" customFormat="1" x14ac:dyDescent="0.2"/>
    <row r="3142" s="38" customFormat="1" x14ac:dyDescent="0.2"/>
    <row r="3143" s="38" customFormat="1" x14ac:dyDescent="0.2"/>
    <row r="3144" s="38" customFormat="1" x14ac:dyDescent="0.2"/>
    <row r="3145" s="38" customFormat="1" x14ac:dyDescent="0.2"/>
    <row r="3146" s="38" customFormat="1" x14ac:dyDescent="0.2"/>
    <row r="3147" s="38" customFormat="1" x14ac:dyDescent="0.2"/>
    <row r="3148" s="38" customFormat="1" x14ac:dyDescent="0.2"/>
    <row r="3149" s="38" customFormat="1" x14ac:dyDescent="0.2"/>
    <row r="3150" s="38" customFormat="1" x14ac:dyDescent="0.2"/>
    <row r="3151" s="38" customFormat="1" x14ac:dyDescent="0.2"/>
    <row r="3152" s="38" customFormat="1" x14ac:dyDescent="0.2"/>
    <row r="3153" s="38" customFormat="1" x14ac:dyDescent="0.2"/>
    <row r="3154" s="38" customFormat="1" x14ac:dyDescent="0.2"/>
    <row r="3155" s="38" customFormat="1" x14ac:dyDescent="0.2"/>
    <row r="3156" s="38" customFormat="1" x14ac:dyDescent="0.2"/>
    <row r="3157" s="38" customFormat="1" x14ac:dyDescent="0.2"/>
    <row r="3158" s="38" customFormat="1" x14ac:dyDescent="0.2"/>
    <row r="3159" s="38" customFormat="1" x14ac:dyDescent="0.2"/>
    <row r="3160" s="38" customFormat="1" x14ac:dyDescent="0.2"/>
    <row r="3161" s="38" customFormat="1" x14ac:dyDescent="0.2"/>
    <row r="3162" s="38" customFormat="1" x14ac:dyDescent="0.2"/>
    <row r="3163" s="38" customFormat="1" x14ac:dyDescent="0.2"/>
    <row r="3164" s="38" customFormat="1" x14ac:dyDescent="0.2"/>
    <row r="3165" s="38" customFormat="1" x14ac:dyDescent="0.2"/>
    <row r="3166" s="38" customFormat="1" x14ac:dyDescent="0.2"/>
    <row r="3167" s="38" customFormat="1" x14ac:dyDescent="0.2"/>
    <row r="3168" s="38" customFormat="1" x14ac:dyDescent="0.2"/>
    <row r="3169" s="38" customFormat="1" x14ac:dyDescent="0.2"/>
    <row r="3170" s="38" customFormat="1" x14ac:dyDescent="0.2"/>
    <row r="3171" s="38" customFormat="1" x14ac:dyDescent="0.2"/>
    <row r="3172" s="38" customFormat="1" x14ac:dyDescent="0.2"/>
    <row r="3173" s="38" customFormat="1" x14ac:dyDescent="0.2"/>
    <row r="3174" s="38" customFormat="1" x14ac:dyDescent="0.2"/>
    <row r="3175" s="38" customFormat="1" x14ac:dyDescent="0.2"/>
    <row r="3176" s="38" customFormat="1" x14ac:dyDescent="0.2"/>
    <row r="3177" s="38" customFormat="1" x14ac:dyDescent="0.2"/>
    <row r="3178" s="38" customFormat="1" x14ac:dyDescent="0.2"/>
    <row r="3179" s="38" customFormat="1" x14ac:dyDescent="0.2"/>
    <row r="3180" s="38" customFormat="1" x14ac:dyDescent="0.2"/>
    <row r="3181" s="38" customFormat="1" x14ac:dyDescent="0.2"/>
    <row r="3182" s="38" customFormat="1" x14ac:dyDescent="0.2"/>
    <row r="3183" s="38" customFormat="1" x14ac:dyDescent="0.2"/>
    <row r="3184" s="38" customFormat="1" x14ac:dyDescent="0.2"/>
    <row r="3185" s="38" customFormat="1" x14ac:dyDescent="0.2"/>
    <row r="3186" s="38" customFormat="1" x14ac:dyDescent="0.2"/>
    <row r="3187" s="38" customFormat="1" x14ac:dyDescent="0.2"/>
    <row r="3188" s="38" customFormat="1" x14ac:dyDescent="0.2"/>
    <row r="3189" s="38" customFormat="1" x14ac:dyDescent="0.2"/>
    <row r="3190" s="38" customFormat="1" x14ac:dyDescent="0.2"/>
    <row r="3191" s="38" customFormat="1" x14ac:dyDescent="0.2"/>
    <row r="3192" s="38" customFormat="1" x14ac:dyDescent="0.2"/>
    <row r="3193" s="38" customFormat="1" x14ac:dyDescent="0.2"/>
    <row r="3194" s="38" customFormat="1" x14ac:dyDescent="0.2"/>
    <row r="3195" s="38" customFormat="1" x14ac:dyDescent="0.2"/>
    <row r="3196" s="38" customFormat="1" x14ac:dyDescent="0.2"/>
    <row r="3197" s="38" customFormat="1" x14ac:dyDescent="0.2"/>
    <row r="3198" s="38" customFormat="1" x14ac:dyDescent="0.2"/>
    <row r="3199" s="38" customFormat="1" x14ac:dyDescent="0.2"/>
    <row r="3200" s="38" customFormat="1" x14ac:dyDescent="0.2"/>
    <row r="3201" s="38" customFormat="1" x14ac:dyDescent="0.2"/>
    <row r="3202" s="38" customFormat="1" x14ac:dyDescent="0.2"/>
    <row r="3203" s="38" customFormat="1" x14ac:dyDescent="0.2"/>
    <row r="3204" s="38" customFormat="1" x14ac:dyDescent="0.2"/>
    <row r="3205" s="38" customFormat="1" x14ac:dyDescent="0.2"/>
    <row r="3206" s="38" customFormat="1" x14ac:dyDescent="0.2"/>
    <row r="3207" s="38" customFormat="1" x14ac:dyDescent="0.2"/>
    <row r="3208" s="38" customFormat="1" x14ac:dyDescent="0.2"/>
    <row r="3209" s="38" customFormat="1" x14ac:dyDescent="0.2"/>
    <row r="3210" s="38" customFormat="1" x14ac:dyDescent="0.2"/>
    <row r="3211" s="38" customFormat="1" x14ac:dyDescent="0.2"/>
    <row r="3212" s="38" customFormat="1" x14ac:dyDescent="0.2"/>
    <row r="3213" s="38" customFormat="1" x14ac:dyDescent="0.2"/>
    <row r="3214" s="38" customFormat="1" x14ac:dyDescent="0.2"/>
    <row r="3215" s="38" customFormat="1" x14ac:dyDescent="0.2"/>
    <row r="3216" s="38" customFormat="1" x14ac:dyDescent="0.2"/>
    <row r="3217" s="38" customFormat="1" x14ac:dyDescent="0.2"/>
    <row r="3218" s="38" customFormat="1" x14ac:dyDescent="0.2"/>
    <row r="3219" s="38" customFormat="1" x14ac:dyDescent="0.2"/>
    <row r="3220" s="38" customFormat="1" x14ac:dyDescent="0.2"/>
    <row r="3221" s="38" customFormat="1" x14ac:dyDescent="0.2"/>
    <row r="3222" s="38" customFormat="1" x14ac:dyDescent="0.2"/>
    <row r="3223" s="38" customFormat="1" x14ac:dyDescent="0.2"/>
    <row r="3224" s="38" customFormat="1" x14ac:dyDescent="0.2"/>
    <row r="3225" s="38" customFormat="1" x14ac:dyDescent="0.2"/>
    <row r="3226" s="38" customFormat="1" x14ac:dyDescent="0.2"/>
    <row r="3227" s="38" customFormat="1" x14ac:dyDescent="0.2"/>
    <row r="3228" s="38" customFormat="1" x14ac:dyDescent="0.2"/>
    <row r="3229" s="38" customFormat="1" x14ac:dyDescent="0.2"/>
    <row r="3230" s="38" customFormat="1" x14ac:dyDescent="0.2"/>
    <row r="3231" s="38" customFormat="1" x14ac:dyDescent="0.2"/>
    <row r="3232" s="38" customFormat="1" x14ac:dyDescent="0.2"/>
    <row r="3233" s="38" customFormat="1" x14ac:dyDescent="0.2"/>
    <row r="3234" s="38" customFormat="1" x14ac:dyDescent="0.2"/>
    <row r="3235" s="38" customFormat="1" x14ac:dyDescent="0.2"/>
    <row r="3236" s="38" customFormat="1" x14ac:dyDescent="0.2"/>
    <row r="3237" s="38" customFormat="1" x14ac:dyDescent="0.2"/>
    <row r="3238" s="38" customFormat="1" x14ac:dyDescent="0.2"/>
    <row r="3239" s="38" customFormat="1" x14ac:dyDescent="0.2"/>
    <row r="3240" s="38" customFormat="1" x14ac:dyDescent="0.2"/>
    <row r="3241" s="38" customFormat="1" x14ac:dyDescent="0.2"/>
    <row r="3242" s="38" customFormat="1" x14ac:dyDescent="0.2"/>
    <row r="3243" s="38" customFormat="1" x14ac:dyDescent="0.2"/>
    <row r="3244" s="38" customFormat="1" x14ac:dyDescent="0.2"/>
    <row r="3245" s="38" customFormat="1" x14ac:dyDescent="0.2"/>
    <row r="3246" s="38" customFormat="1" x14ac:dyDescent="0.2"/>
    <row r="3247" s="38" customFormat="1" x14ac:dyDescent="0.2"/>
    <row r="3248" s="38" customFormat="1" x14ac:dyDescent="0.2"/>
    <row r="3249" s="38" customFormat="1" x14ac:dyDescent="0.2"/>
    <row r="3250" s="38" customFormat="1" x14ac:dyDescent="0.2"/>
    <row r="3251" s="38" customFormat="1" x14ac:dyDescent="0.2"/>
    <row r="3252" s="38" customFormat="1" x14ac:dyDescent="0.2"/>
    <row r="3253" s="38" customFormat="1" x14ac:dyDescent="0.2"/>
    <row r="3254" s="38" customFormat="1" x14ac:dyDescent="0.2"/>
    <row r="3255" s="38" customFormat="1" x14ac:dyDescent="0.2"/>
    <row r="3256" s="38" customFormat="1" x14ac:dyDescent="0.2"/>
    <row r="3257" s="38" customFormat="1" x14ac:dyDescent="0.2"/>
    <row r="3258" s="38" customFormat="1" x14ac:dyDescent="0.2"/>
    <row r="3259" s="38" customFormat="1" x14ac:dyDescent="0.2"/>
    <row r="3260" s="38" customFormat="1" x14ac:dyDescent="0.2"/>
    <row r="3261" s="38" customFormat="1" x14ac:dyDescent="0.2"/>
    <row r="3262" s="38" customFormat="1" x14ac:dyDescent="0.2"/>
    <row r="3263" s="38" customFormat="1" x14ac:dyDescent="0.2"/>
    <row r="3264" s="38" customFormat="1" x14ac:dyDescent="0.2"/>
    <row r="3265" s="38" customFormat="1" x14ac:dyDescent="0.2"/>
    <row r="3266" s="38" customFormat="1" x14ac:dyDescent="0.2"/>
    <row r="3267" s="38" customFormat="1" x14ac:dyDescent="0.2"/>
    <row r="3268" s="38" customFormat="1" x14ac:dyDescent="0.2"/>
    <row r="3269" s="38" customFormat="1" x14ac:dyDescent="0.2"/>
    <row r="3270" s="38" customFormat="1" x14ac:dyDescent="0.2"/>
    <row r="3271" s="38" customFormat="1" x14ac:dyDescent="0.2"/>
    <row r="3272" s="38" customFormat="1" x14ac:dyDescent="0.2"/>
    <row r="3273" s="38" customFormat="1" x14ac:dyDescent="0.2"/>
    <row r="3274" s="38" customFormat="1" x14ac:dyDescent="0.2"/>
    <row r="3275" s="38" customFormat="1" x14ac:dyDescent="0.2"/>
    <row r="3276" s="38" customFormat="1" x14ac:dyDescent="0.2"/>
    <row r="3277" s="38" customFormat="1" x14ac:dyDescent="0.2"/>
    <row r="3278" s="38" customFormat="1" x14ac:dyDescent="0.2"/>
    <row r="3279" s="38" customFormat="1" x14ac:dyDescent="0.2"/>
    <row r="3280" s="38" customFormat="1" x14ac:dyDescent="0.2"/>
    <row r="3281" s="38" customFormat="1" x14ac:dyDescent="0.2"/>
    <row r="3282" s="38" customFormat="1" x14ac:dyDescent="0.2"/>
    <row r="3283" s="38" customFormat="1" x14ac:dyDescent="0.2"/>
    <row r="3284" s="38" customFormat="1" x14ac:dyDescent="0.2"/>
    <row r="3285" s="38" customFormat="1" x14ac:dyDescent="0.2"/>
    <row r="3286" s="38" customFormat="1" x14ac:dyDescent="0.2"/>
    <row r="3287" s="38" customFormat="1" x14ac:dyDescent="0.2"/>
    <row r="3288" s="38" customFormat="1" x14ac:dyDescent="0.2"/>
    <row r="3289" s="38" customFormat="1" x14ac:dyDescent="0.2"/>
    <row r="3290" s="38" customFormat="1" x14ac:dyDescent="0.2"/>
    <row r="3291" s="38" customFormat="1" x14ac:dyDescent="0.2"/>
    <row r="3292" s="38" customFormat="1" x14ac:dyDescent="0.2"/>
    <row r="3293" s="38" customFormat="1" x14ac:dyDescent="0.2"/>
    <row r="3294" s="38" customFormat="1" x14ac:dyDescent="0.2"/>
    <row r="3295" s="38" customFormat="1" x14ac:dyDescent="0.2"/>
    <row r="3296" s="38" customFormat="1" x14ac:dyDescent="0.2"/>
    <row r="3297" s="38" customFormat="1" x14ac:dyDescent="0.2"/>
    <row r="3298" s="38" customFormat="1" x14ac:dyDescent="0.2"/>
    <row r="3299" s="38" customFormat="1" x14ac:dyDescent="0.2"/>
    <row r="3300" s="38" customFormat="1" x14ac:dyDescent="0.2"/>
    <row r="3301" s="38" customFormat="1" x14ac:dyDescent="0.2"/>
    <row r="3302" s="38" customFormat="1" x14ac:dyDescent="0.2"/>
    <row r="3303" s="38" customFormat="1" x14ac:dyDescent="0.2"/>
    <row r="3304" s="38" customFormat="1" x14ac:dyDescent="0.2"/>
    <row r="3305" s="38" customFormat="1" x14ac:dyDescent="0.2"/>
    <row r="3306" s="38" customFormat="1" x14ac:dyDescent="0.2"/>
    <row r="3307" s="38" customFormat="1" x14ac:dyDescent="0.2"/>
    <row r="3308" s="38" customFormat="1" x14ac:dyDescent="0.2"/>
    <row r="3309" s="38" customFormat="1" x14ac:dyDescent="0.2"/>
    <row r="3310" s="38" customFormat="1" x14ac:dyDescent="0.2"/>
    <row r="3311" s="38" customFormat="1" x14ac:dyDescent="0.2"/>
    <row r="3312" s="38" customFormat="1" x14ac:dyDescent="0.2"/>
    <row r="3313" s="38" customFormat="1" x14ac:dyDescent="0.2"/>
    <row r="3314" s="38" customFormat="1" x14ac:dyDescent="0.2"/>
    <row r="3315" s="38" customFormat="1" x14ac:dyDescent="0.2"/>
    <row r="3316" s="38" customFormat="1" x14ac:dyDescent="0.2"/>
    <row r="3317" s="38" customFormat="1" x14ac:dyDescent="0.2"/>
    <row r="3318" s="38" customFormat="1" x14ac:dyDescent="0.2"/>
    <row r="3319" s="38" customFormat="1" x14ac:dyDescent="0.2"/>
    <row r="3320" s="38" customFormat="1" x14ac:dyDescent="0.2"/>
    <row r="3321" s="38" customFormat="1" x14ac:dyDescent="0.2"/>
    <row r="3322" s="38" customFormat="1" x14ac:dyDescent="0.2"/>
    <row r="3323" s="38" customFormat="1" x14ac:dyDescent="0.2"/>
    <row r="3324" s="38" customFormat="1" x14ac:dyDescent="0.2"/>
    <row r="3325" s="38" customFormat="1" x14ac:dyDescent="0.2"/>
    <row r="3326" s="38" customFormat="1" x14ac:dyDescent="0.2"/>
    <row r="3327" s="38" customFormat="1" x14ac:dyDescent="0.2"/>
    <row r="3328" s="38" customFormat="1" x14ac:dyDescent="0.2"/>
    <row r="3329" s="38" customFormat="1" x14ac:dyDescent="0.2"/>
    <row r="3330" s="38" customFormat="1" x14ac:dyDescent="0.2"/>
    <row r="3331" s="38" customFormat="1" x14ac:dyDescent="0.2"/>
    <row r="3332" s="38" customFormat="1" x14ac:dyDescent="0.2"/>
    <row r="3333" s="38" customFormat="1" x14ac:dyDescent="0.2"/>
    <row r="3334" s="38" customFormat="1" x14ac:dyDescent="0.2"/>
    <row r="3335" s="38" customFormat="1" x14ac:dyDescent="0.2"/>
    <row r="3336" s="38" customFormat="1" x14ac:dyDescent="0.2"/>
    <row r="3337" s="38" customFormat="1" x14ac:dyDescent="0.2"/>
    <row r="3338" s="38" customFormat="1" x14ac:dyDescent="0.2"/>
    <row r="3339" s="38" customFormat="1" x14ac:dyDescent="0.2"/>
    <row r="3340" s="38" customFormat="1" x14ac:dyDescent="0.2"/>
    <row r="3341" s="38" customFormat="1" x14ac:dyDescent="0.2"/>
    <row r="3342" s="38" customFormat="1" x14ac:dyDescent="0.2"/>
    <row r="3343" s="38" customFormat="1" x14ac:dyDescent="0.2"/>
    <row r="3344" s="38" customFormat="1" x14ac:dyDescent="0.2"/>
    <row r="3345" s="38" customFormat="1" x14ac:dyDescent="0.2"/>
    <row r="3346" s="38" customFormat="1" x14ac:dyDescent="0.2"/>
    <row r="3347" s="38" customFormat="1" x14ac:dyDescent="0.2"/>
    <row r="3348" s="38" customFormat="1" x14ac:dyDescent="0.2"/>
    <row r="3349" s="38" customFormat="1" x14ac:dyDescent="0.2"/>
    <row r="3350" s="38" customFormat="1" x14ac:dyDescent="0.2"/>
    <row r="3351" s="38" customFormat="1" x14ac:dyDescent="0.2"/>
    <row r="3352" s="38" customFormat="1" x14ac:dyDescent="0.2"/>
    <row r="3353" s="38" customFormat="1" x14ac:dyDescent="0.2"/>
    <row r="3354" s="38" customFormat="1" x14ac:dyDescent="0.2"/>
    <row r="3355" s="38" customFormat="1" x14ac:dyDescent="0.2"/>
    <row r="3356" s="38" customFormat="1" x14ac:dyDescent="0.2"/>
    <row r="3357" s="38" customFormat="1" x14ac:dyDescent="0.2"/>
    <row r="3358" s="38" customFormat="1" x14ac:dyDescent="0.2"/>
    <row r="3359" s="38" customFormat="1" x14ac:dyDescent="0.2"/>
    <row r="3360" s="38" customFormat="1" x14ac:dyDescent="0.2"/>
    <row r="3361" s="38" customFormat="1" x14ac:dyDescent="0.2"/>
    <row r="3362" s="38" customFormat="1" x14ac:dyDescent="0.2"/>
    <row r="3363" s="38" customFormat="1" x14ac:dyDescent="0.2"/>
    <row r="3364" s="38" customFormat="1" x14ac:dyDescent="0.2"/>
    <row r="3365" s="38" customFormat="1" x14ac:dyDescent="0.2"/>
    <row r="3366" s="38" customFormat="1" x14ac:dyDescent="0.2"/>
    <row r="3367" s="38" customFormat="1" x14ac:dyDescent="0.2"/>
    <row r="3368" s="38" customFormat="1" x14ac:dyDescent="0.2"/>
    <row r="3369" s="38" customFormat="1" x14ac:dyDescent="0.2"/>
    <row r="3370" s="38" customFormat="1" x14ac:dyDescent="0.2"/>
    <row r="3371" s="38" customFormat="1" x14ac:dyDescent="0.2"/>
    <row r="3372" s="38" customFormat="1" x14ac:dyDescent="0.2"/>
    <row r="3373" s="38" customFormat="1" x14ac:dyDescent="0.2"/>
    <row r="3374" s="38" customFormat="1" x14ac:dyDescent="0.2"/>
    <row r="3375" s="38" customFormat="1" x14ac:dyDescent="0.2"/>
    <row r="3376" s="38" customFormat="1" x14ac:dyDescent="0.2"/>
    <row r="3377" s="38" customFormat="1" x14ac:dyDescent="0.2"/>
    <row r="3378" s="38" customFormat="1" x14ac:dyDescent="0.2"/>
    <row r="3379" s="38" customFormat="1" x14ac:dyDescent="0.2"/>
    <row r="3380" s="38" customFormat="1" x14ac:dyDescent="0.2"/>
    <row r="3381" s="38" customFormat="1" x14ac:dyDescent="0.2"/>
    <row r="3382" s="38" customFormat="1" x14ac:dyDescent="0.2"/>
    <row r="3383" s="38" customFormat="1" x14ac:dyDescent="0.2"/>
    <row r="3384" s="38" customFormat="1" x14ac:dyDescent="0.2"/>
    <row r="3385" s="38" customFormat="1" x14ac:dyDescent="0.2"/>
    <row r="3386" s="38" customFormat="1" x14ac:dyDescent="0.2"/>
    <row r="3387" s="38" customFormat="1" x14ac:dyDescent="0.2"/>
    <row r="3388" s="38" customFormat="1" x14ac:dyDescent="0.2"/>
    <row r="3389" s="38" customFormat="1" x14ac:dyDescent="0.2"/>
    <row r="3390" s="38" customFormat="1" x14ac:dyDescent="0.2"/>
    <row r="3391" s="38" customFormat="1" x14ac:dyDescent="0.2"/>
    <row r="3392" s="38" customFormat="1" x14ac:dyDescent="0.2"/>
    <row r="3393" s="38" customFormat="1" x14ac:dyDescent="0.2"/>
    <row r="3394" s="38" customFormat="1" x14ac:dyDescent="0.2"/>
    <row r="3395" s="38" customFormat="1" x14ac:dyDescent="0.2"/>
    <row r="3396" s="38" customFormat="1" x14ac:dyDescent="0.2"/>
    <row r="3397" s="38" customFormat="1" x14ac:dyDescent="0.2"/>
    <row r="3398" s="38" customFormat="1" x14ac:dyDescent="0.2"/>
    <row r="3399" s="38" customFormat="1" x14ac:dyDescent="0.2"/>
    <row r="3400" s="38" customFormat="1" x14ac:dyDescent="0.2"/>
    <row r="3401" s="38" customFormat="1" x14ac:dyDescent="0.2"/>
    <row r="3402" s="38" customFormat="1" x14ac:dyDescent="0.2"/>
    <row r="3403" s="38" customFormat="1" x14ac:dyDescent="0.2"/>
    <row r="3404" s="38" customFormat="1" x14ac:dyDescent="0.2"/>
    <row r="3405" s="38" customFormat="1" x14ac:dyDescent="0.2"/>
    <row r="3406" s="38" customFormat="1" x14ac:dyDescent="0.2"/>
    <row r="3407" s="38" customFormat="1" x14ac:dyDescent="0.2"/>
    <row r="3408" s="38" customFormat="1" x14ac:dyDescent="0.2"/>
    <row r="3409" s="38" customFormat="1" x14ac:dyDescent="0.2"/>
    <row r="3410" s="38" customFormat="1" x14ac:dyDescent="0.2"/>
    <row r="3411" s="38" customFormat="1" x14ac:dyDescent="0.2"/>
    <row r="3412" s="38" customFormat="1" x14ac:dyDescent="0.2"/>
    <row r="3413" s="38" customFormat="1" x14ac:dyDescent="0.2"/>
    <row r="3414" s="38" customFormat="1" x14ac:dyDescent="0.2"/>
    <row r="3415" s="38" customFormat="1" x14ac:dyDescent="0.2"/>
    <row r="3416" s="38" customFormat="1" x14ac:dyDescent="0.2"/>
    <row r="3417" s="38" customFormat="1" x14ac:dyDescent="0.2"/>
    <row r="3418" s="38" customFormat="1" x14ac:dyDescent="0.2"/>
    <row r="3419" s="38" customFormat="1" x14ac:dyDescent="0.2"/>
    <row r="3420" s="38" customFormat="1" x14ac:dyDescent="0.2"/>
    <row r="3421" s="38" customFormat="1" x14ac:dyDescent="0.2"/>
    <row r="3422" s="38" customFormat="1" x14ac:dyDescent="0.2"/>
    <row r="3423" s="38" customFormat="1" x14ac:dyDescent="0.2"/>
    <row r="3424" s="38" customFormat="1" x14ac:dyDescent="0.2"/>
    <row r="3425" s="38" customFormat="1" x14ac:dyDescent="0.2"/>
    <row r="3426" s="38" customFormat="1" x14ac:dyDescent="0.2"/>
    <row r="3427" s="38" customFormat="1" x14ac:dyDescent="0.2"/>
    <row r="3428" s="38" customFormat="1" x14ac:dyDescent="0.2"/>
    <row r="3429" s="38" customFormat="1" x14ac:dyDescent="0.2"/>
    <row r="3430" s="38" customFormat="1" x14ac:dyDescent="0.2"/>
    <row r="3431" s="38" customFormat="1" x14ac:dyDescent="0.2"/>
    <row r="3432" s="38" customFormat="1" x14ac:dyDescent="0.2"/>
    <row r="3433" s="38" customFormat="1" x14ac:dyDescent="0.2"/>
    <row r="3434" s="38" customFormat="1" x14ac:dyDescent="0.2"/>
    <row r="3435" s="38" customFormat="1" x14ac:dyDescent="0.2"/>
    <row r="3436" s="38" customFormat="1" x14ac:dyDescent="0.2"/>
    <row r="3437" s="38" customFormat="1" x14ac:dyDescent="0.2"/>
    <row r="3438" s="38" customFormat="1" x14ac:dyDescent="0.2"/>
    <row r="3439" s="38" customFormat="1" x14ac:dyDescent="0.2"/>
    <row r="3440" s="38" customFormat="1" x14ac:dyDescent="0.2"/>
    <row r="3441" s="38" customFormat="1" x14ac:dyDescent="0.2"/>
    <row r="3442" s="38" customFormat="1" x14ac:dyDescent="0.2"/>
    <row r="3443" s="38" customFormat="1" x14ac:dyDescent="0.2"/>
    <row r="3444" s="38" customFormat="1" x14ac:dyDescent="0.2"/>
    <row r="3445" s="38" customFormat="1" x14ac:dyDescent="0.2"/>
    <row r="3446" s="38" customFormat="1" x14ac:dyDescent="0.2"/>
    <row r="3447" s="38" customFormat="1" x14ac:dyDescent="0.2"/>
    <row r="3448" s="38" customFormat="1" x14ac:dyDescent="0.2"/>
    <row r="3449" s="38" customFormat="1" x14ac:dyDescent="0.2"/>
    <row r="3450" s="38" customFormat="1" x14ac:dyDescent="0.2"/>
    <row r="3451" s="38" customFormat="1" x14ac:dyDescent="0.2"/>
    <row r="3452" s="38" customFormat="1" x14ac:dyDescent="0.2"/>
    <row r="3453" s="38" customFormat="1" x14ac:dyDescent="0.2"/>
    <row r="3454" s="38" customFormat="1" x14ac:dyDescent="0.2"/>
    <row r="3455" s="38" customFormat="1" x14ac:dyDescent="0.2"/>
    <row r="3456" s="38" customFormat="1" x14ac:dyDescent="0.2"/>
    <row r="3457" s="38" customFormat="1" x14ac:dyDescent="0.2"/>
    <row r="3458" s="38" customFormat="1" x14ac:dyDescent="0.2"/>
    <row r="3459" s="38" customFormat="1" x14ac:dyDescent="0.2"/>
    <row r="3460" s="38" customFormat="1" x14ac:dyDescent="0.2"/>
    <row r="3461" s="38" customFormat="1" x14ac:dyDescent="0.2"/>
    <row r="3462" s="38" customFormat="1" x14ac:dyDescent="0.2"/>
    <row r="3463" s="38" customFormat="1" x14ac:dyDescent="0.2"/>
    <row r="3464" s="38" customFormat="1" x14ac:dyDescent="0.2"/>
    <row r="3465" s="38" customFormat="1" x14ac:dyDescent="0.2"/>
    <row r="3466" s="38" customFormat="1" x14ac:dyDescent="0.2"/>
    <row r="3467" s="38" customFormat="1" x14ac:dyDescent="0.2"/>
    <row r="3468" s="38" customFormat="1" x14ac:dyDescent="0.2"/>
    <row r="3469" s="38" customFormat="1" x14ac:dyDescent="0.2"/>
    <row r="3470" s="38" customFormat="1" x14ac:dyDescent="0.2"/>
    <row r="3471" s="38" customFormat="1" x14ac:dyDescent="0.2"/>
    <row r="3472" s="38" customFormat="1" x14ac:dyDescent="0.2"/>
    <row r="3473" s="38" customFormat="1" x14ac:dyDescent="0.2"/>
    <row r="3474" s="38" customFormat="1" x14ac:dyDescent="0.2"/>
    <row r="3475" s="38" customFormat="1" x14ac:dyDescent="0.2"/>
    <row r="3476" s="38" customFormat="1" x14ac:dyDescent="0.2"/>
    <row r="3477" s="38" customFormat="1" x14ac:dyDescent="0.2"/>
    <row r="3478" s="38" customFormat="1" x14ac:dyDescent="0.2"/>
    <row r="3479" s="38" customFormat="1" x14ac:dyDescent="0.2"/>
    <row r="3480" s="38" customFormat="1" x14ac:dyDescent="0.2"/>
    <row r="3481" s="38" customFormat="1" x14ac:dyDescent="0.2"/>
    <row r="3482" s="38" customFormat="1" x14ac:dyDescent="0.2"/>
    <row r="3483" s="38" customFormat="1" x14ac:dyDescent="0.2"/>
    <row r="3484" s="38" customFormat="1" x14ac:dyDescent="0.2"/>
    <row r="3485" s="38" customFormat="1" x14ac:dyDescent="0.2"/>
    <row r="3486" s="38" customFormat="1" x14ac:dyDescent="0.2"/>
    <row r="3487" s="38" customFormat="1" x14ac:dyDescent="0.2"/>
    <row r="3488" s="38" customFormat="1" x14ac:dyDescent="0.2"/>
    <row r="3489" s="38" customFormat="1" x14ac:dyDescent="0.2"/>
    <row r="3490" s="38" customFormat="1" x14ac:dyDescent="0.2"/>
    <row r="3491" s="38" customFormat="1" x14ac:dyDescent="0.2"/>
    <row r="3492" s="38" customFormat="1" x14ac:dyDescent="0.2"/>
    <row r="3493" s="38" customFormat="1" x14ac:dyDescent="0.2"/>
    <row r="3494" s="38" customFormat="1" x14ac:dyDescent="0.2"/>
    <row r="3495" s="38" customFormat="1" x14ac:dyDescent="0.2"/>
    <row r="3496" s="38" customFormat="1" x14ac:dyDescent="0.2"/>
    <row r="3497" s="38" customFormat="1" x14ac:dyDescent="0.2"/>
    <row r="3498" s="38" customFormat="1" x14ac:dyDescent="0.2"/>
    <row r="3499" s="38" customFormat="1" x14ac:dyDescent="0.2"/>
    <row r="3500" s="38" customFormat="1" x14ac:dyDescent="0.2"/>
    <row r="3501" s="38" customFormat="1" x14ac:dyDescent="0.2"/>
    <row r="3502" s="38" customFormat="1" x14ac:dyDescent="0.2"/>
    <row r="3503" s="38" customFormat="1" x14ac:dyDescent="0.2"/>
    <row r="3504" s="38" customFormat="1" x14ac:dyDescent="0.2"/>
    <row r="3505" s="38" customFormat="1" x14ac:dyDescent="0.2"/>
    <row r="3506" s="38" customFormat="1" x14ac:dyDescent="0.2"/>
    <row r="3507" s="38" customFormat="1" x14ac:dyDescent="0.2"/>
    <row r="3508" s="38" customFormat="1" x14ac:dyDescent="0.2"/>
    <row r="3509" s="38" customFormat="1" x14ac:dyDescent="0.2"/>
    <row r="3510" s="38" customFormat="1" x14ac:dyDescent="0.2"/>
    <row r="3511" s="38" customFormat="1" x14ac:dyDescent="0.2"/>
    <row r="3512" s="38" customFormat="1" x14ac:dyDescent="0.2"/>
    <row r="3513" s="38" customFormat="1" x14ac:dyDescent="0.2"/>
    <row r="3514" s="38" customFormat="1" x14ac:dyDescent="0.2"/>
    <row r="3515" s="38" customFormat="1" x14ac:dyDescent="0.2"/>
    <row r="3516" s="38" customFormat="1" x14ac:dyDescent="0.2"/>
    <row r="3517" s="38" customFormat="1" x14ac:dyDescent="0.2"/>
    <row r="3518" s="38" customFormat="1" x14ac:dyDescent="0.2"/>
    <row r="3519" s="38" customFormat="1" x14ac:dyDescent="0.2"/>
    <row r="3520" s="38" customFormat="1" x14ac:dyDescent="0.2"/>
    <row r="3521" s="38" customFormat="1" x14ac:dyDescent="0.2"/>
    <row r="3522" s="38" customFormat="1" x14ac:dyDescent="0.2"/>
    <row r="3523" s="38" customFormat="1" x14ac:dyDescent="0.2"/>
    <row r="3524" s="38" customFormat="1" x14ac:dyDescent="0.2"/>
    <row r="3525" s="38" customFormat="1" x14ac:dyDescent="0.2"/>
    <row r="3526" s="38" customFormat="1" x14ac:dyDescent="0.2"/>
    <row r="3527" s="38" customFormat="1" x14ac:dyDescent="0.2"/>
    <row r="3528" s="38" customFormat="1" x14ac:dyDescent="0.2"/>
    <row r="3529" s="38" customFormat="1" x14ac:dyDescent="0.2"/>
    <row r="3530" s="38" customFormat="1" x14ac:dyDescent="0.2"/>
    <row r="3531" s="38" customFormat="1" x14ac:dyDescent="0.2"/>
    <row r="3532" s="38" customFormat="1" x14ac:dyDescent="0.2"/>
    <row r="3533" s="38" customFormat="1" x14ac:dyDescent="0.2"/>
    <row r="3534" s="38" customFormat="1" x14ac:dyDescent="0.2"/>
    <row r="3535" s="38" customFormat="1" x14ac:dyDescent="0.2"/>
    <row r="3536" s="38" customFormat="1" x14ac:dyDescent="0.2"/>
    <row r="3537" s="38" customFormat="1" x14ac:dyDescent="0.2"/>
    <row r="3538" s="38" customFormat="1" x14ac:dyDescent="0.2"/>
    <row r="3539" s="38" customFormat="1" x14ac:dyDescent="0.2"/>
    <row r="3540" s="38" customFormat="1" x14ac:dyDescent="0.2"/>
    <row r="3541" s="38" customFormat="1" x14ac:dyDescent="0.2"/>
    <row r="3542" s="38" customFormat="1" x14ac:dyDescent="0.2"/>
    <row r="3543" s="38" customFormat="1" x14ac:dyDescent="0.2"/>
    <row r="3544" s="38" customFormat="1" x14ac:dyDescent="0.2"/>
    <row r="3545" s="38" customFormat="1" x14ac:dyDescent="0.2"/>
    <row r="3546" s="38" customFormat="1" x14ac:dyDescent="0.2"/>
    <row r="3547" s="38" customFormat="1" x14ac:dyDescent="0.2"/>
    <row r="3548" s="38" customFormat="1" x14ac:dyDescent="0.2"/>
    <row r="3549" s="38" customFormat="1" x14ac:dyDescent="0.2"/>
    <row r="3550" s="38" customFormat="1" x14ac:dyDescent="0.2"/>
    <row r="3551" s="38" customFormat="1" x14ac:dyDescent="0.2"/>
    <row r="3552" s="38" customFormat="1" x14ac:dyDescent="0.2"/>
    <row r="3553" s="38" customFormat="1" x14ac:dyDescent="0.2"/>
    <row r="3554" s="38" customFormat="1" x14ac:dyDescent="0.2"/>
    <row r="3555" s="38" customFormat="1" x14ac:dyDescent="0.2"/>
    <row r="3556" s="38" customFormat="1" x14ac:dyDescent="0.2"/>
    <row r="3557" s="38" customFormat="1" x14ac:dyDescent="0.2"/>
    <row r="3558" s="38" customFormat="1" x14ac:dyDescent="0.2"/>
    <row r="3559" s="38" customFormat="1" x14ac:dyDescent="0.2"/>
    <row r="3560" s="38" customFormat="1" x14ac:dyDescent="0.2"/>
    <row r="3561" s="38" customFormat="1" x14ac:dyDescent="0.2"/>
    <row r="3562" s="38" customFormat="1" x14ac:dyDescent="0.2"/>
    <row r="3563" s="38" customFormat="1" x14ac:dyDescent="0.2"/>
    <row r="3564" s="38" customFormat="1" x14ac:dyDescent="0.2"/>
    <row r="3565" s="38" customFormat="1" x14ac:dyDescent="0.2"/>
    <row r="3566" s="38" customFormat="1" x14ac:dyDescent="0.2"/>
    <row r="3567" s="38" customFormat="1" x14ac:dyDescent="0.2"/>
    <row r="3568" s="38" customFormat="1" x14ac:dyDescent="0.2"/>
    <row r="3569" s="38" customFormat="1" x14ac:dyDescent="0.2"/>
    <row r="3570" s="38" customFormat="1" x14ac:dyDescent="0.2"/>
    <row r="3571" s="38" customFormat="1" x14ac:dyDescent="0.2"/>
    <row r="3572" s="38" customFormat="1" x14ac:dyDescent="0.2"/>
    <row r="3573" s="38" customFormat="1" x14ac:dyDescent="0.2"/>
    <row r="3574" s="38" customFormat="1" x14ac:dyDescent="0.2"/>
    <row r="3575" s="38" customFormat="1" x14ac:dyDescent="0.2"/>
    <row r="3576" s="38" customFormat="1" x14ac:dyDescent="0.2"/>
    <row r="3577" s="38" customFormat="1" x14ac:dyDescent="0.2"/>
    <row r="3578" s="38" customFormat="1" x14ac:dyDescent="0.2"/>
    <row r="3579" s="38" customFormat="1" x14ac:dyDescent="0.2"/>
    <row r="3580" s="38" customFormat="1" x14ac:dyDescent="0.2"/>
    <row r="3581" s="38" customFormat="1" x14ac:dyDescent="0.2"/>
    <row r="3582" s="38" customFormat="1" x14ac:dyDescent="0.2"/>
    <row r="3583" s="38" customFormat="1" x14ac:dyDescent="0.2"/>
    <row r="3584" s="38" customFormat="1" x14ac:dyDescent="0.2"/>
    <row r="3585" s="38" customFormat="1" x14ac:dyDescent="0.2"/>
    <row r="3586" s="38" customFormat="1" x14ac:dyDescent="0.2"/>
    <row r="3587" s="38" customFormat="1" x14ac:dyDescent="0.2"/>
    <row r="3588" s="38" customFormat="1" x14ac:dyDescent="0.2"/>
    <row r="3589" s="38" customFormat="1" x14ac:dyDescent="0.2"/>
    <row r="3590" s="38" customFormat="1" x14ac:dyDescent="0.2"/>
    <row r="3591" s="38" customFormat="1" x14ac:dyDescent="0.2"/>
    <row r="3592" s="38" customFormat="1" x14ac:dyDescent="0.2"/>
    <row r="3593" s="38" customFormat="1" x14ac:dyDescent="0.2"/>
    <row r="3594" s="38" customFormat="1" x14ac:dyDescent="0.2"/>
    <row r="3595" s="38" customFormat="1" x14ac:dyDescent="0.2"/>
    <row r="3596" s="38" customFormat="1" x14ac:dyDescent="0.2"/>
    <row r="3597" s="38" customFormat="1" x14ac:dyDescent="0.2"/>
    <row r="3598" s="38" customFormat="1" x14ac:dyDescent="0.2"/>
    <row r="3599" s="38" customFormat="1" x14ac:dyDescent="0.2"/>
    <row r="3600" s="38" customFormat="1" x14ac:dyDescent="0.2"/>
    <row r="3601" s="38" customFormat="1" x14ac:dyDescent="0.2"/>
    <row r="3602" s="38" customFormat="1" x14ac:dyDescent="0.2"/>
    <row r="3603" s="38" customFormat="1" x14ac:dyDescent="0.2"/>
    <row r="3604" s="38" customFormat="1" x14ac:dyDescent="0.2"/>
    <row r="3605" s="38" customFormat="1" x14ac:dyDescent="0.2"/>
    <row r="3606" s="38" customFormat="1" x14ac:dyDescent="0.2"/>
    <row r="3607" s="38" customFormat="1" x14ac:dyDescent="0.2"/>
    <row r="3608" s="38" customFormat="1" x14ac:dyDescent="0.2"/>
    <row r="3609" s="38" customFormat="1" x14ac:dyDescent="0.2"/>
    <row r="3610" s="38" customFormat="1" x14ac:dyDescent="0.2"/>
    <row r="3611" s="38" customFormat="1" x14ac:dyDescent="0.2"/>
    <row r="3612" s="38" customFormat="1" x14ac:dyDescent="0.2"/>
    <row r="3613" s="38" customFormat="1" x14ac:dyDescent="0.2"/>
    <row r="3614" s="38" customFormat="1" x14ac:dyDescent="0.2"/>
    <row r="3615" s="38" customFormat="1" x14ac:dyDescent="0.2"/>
    <row r="3616" s="38" customFormat="1" x14ac:dyDescent="0.2"/>
    <row r="3617" s="38" customFormat="1" x14ac:dyDescent="0.2"/>
    <row r="3618" s="38" customFormat="1" x14ac:dyDescent="0.2"/>
    <row r="3619" s="38" customFormat="1" x14ac:dyDescent="0.2"/>
    <row r="3620" s="38" customFormat="1" x14ac:dyDescent="0.2"/>
    <row r="3621" s="38" customFormat="1" x14ac:dyDescent="0.2"/>
    <row r="3622" s="38" customFormat="1" x14ac:dyDescent="0.2"/>
    <row r="3623" s="38" customFormat="1" x14ac:dyDescent="0.2"/>
    <row r="3624" s="38" customFormat="1" x14ac:dyDescent="0.2"/>
    <row r="3625" s="38" customFormat="1" x14ac:dyDescent="0.2"/>
    <row r="3626" s="38" customFormat="1" x14ac:dyDescent="0.2"/>
    <row r="3627" s="38" customFormat="1" x14ac:dyDescent="0.2"/>
    <row r="3628" s="38" customFormat="1" x14ac:dyDescent="0.2"/>
    <row r="3629" s="38" customFormat="1" x14ac:dyDescent="0.2"/>
    <row r="3630" s="38" customFormat="1" x14ac:dyDescent="0.2"/>
    <row r="3631" s="38" customFormat="1" x14ac:dyDescent="0.2"/>
    <row r="3632" s="38" customFormat="1" x14ac:dyDescent="0.2"/>
    <row r="3633" s="38" customFormat="1" x14ac:dyDescent="0.2"/>
    <row r="3634" s="38" customFormat="1" x14ac:dyDescent="0.2"/>
    <row r="3635" s="38" customFormat="1" x14ac:dyDescent="0.2"/>
    <row r="3636" s="38" customFormat="1" x14ac:dyDescent="0.2"/>
    <row r="3637" s="38" customFormat="1" x14ac:dyDescent="0.2"/>
    <row r="3638" s="38" customFormat="1" x14ac:dyDescent="0.2"/>
    <row r="3639" s="38" customFormat="1" x14ac:dyDescent="0.2"/>
    <row r="3640" s="38" customFormat="1" x14ac:dyDescent="0.2"/>
    <row r="3641" s="38" customFormat="1" x14ac:dyDescent="0.2"/>
    <row r="3642" s="38" customFormat="1" x14ac:dyDescent="0.2"/>
    <row r="3643" s="38" customFormat="1" x14ac:dyDescent="0.2"/>
    <row r="3644" s="38" customFormat="1" x14ac:dyDescent="0.2"/>
    <row r="3645" s="38" customFormat="1" x14ac:dyDescent="0.2"/>
    <row r="3646" s="38" customFormat="1" x14ac:dyDescent="0.2"/>
    <row r="3647" s="38" customFormat="1" x14ac:dyDescent="0.2"/>
    <row r="3648" s="38" customFormat="1" x14ac:dyDescent="0.2"/>
    <row r="3649" s="38" customFormat="1" x14ac:dyDescent="0.2"/>
    <row r="3650" s="38" customFormat="1" x14ac:dyDescent="0.2"/>
    <row r="3651" s="38" customFormat="1" x14ac:dyDescent="0.2"/>
    <row r="3652" s="38" customFormat="1" x14ac:dyDescent="0.2"/>
    <row r="3653" s="38" customFormat="1" x14ac:dyDescent="0.2"/>
    <row r="3654" s="38" customFormat="1" x14ac:dyDescent="0.2"/>
    <row r="3655" s="38" customFormat="1" x14ac:dyDescent="0.2"/>
    <row r="3656" s="38" customFormat="1" x14ac:dyDescent="0.2"/>
    <row r="3657" s="38" customFormat="1" x14ac:dyDescent="0.2"/>
    <row r="3658" s="38" customFormat="1" x14ac:dyDescent="0.2"/>
    <row r="3659" s="38" customFormat="1" x14ac:dyDescent="0.2"/>
    <row r="3660" s="38" customFormat="1" x14ac:dyDescent="0.2"/>
    <row r="3661" s="38" customFormat="1" x14ac:dyDescent="0.2"/>
    <row r="3662" s="38" customFormat="1" x14ac:dyDescent="0.2"/>
    <row r="3663" s="38" customFormat="1" x14ac:dyDescent="0.2"/>
    <row r="3664" s="38" customFormat="1" x14ac:dyDescent="0.2"/>
    <row r="3665" s="38" customFormat="1" x14ac:dyDescent="0.2"/>
    <row r="3666" s="38" customFormat="1" x14ac:dyDescent="0.2"/>
    <row r="3667" s="38" customFormat="1" x14ac:dyDescent="0.2"/>
    <row r="3668" s="38" customFormat="1" x14ac:dyDescent="0.2"/>
    <row r="3669" s="38" customFormat="1" x14ac:dyDescent="0.2"/>
    <row r="3670" s="38" customFormat="1" x14ac:dyDescent="0.2"/>
    <row r="3671" s="38" customFormat="1" x14ac:dyDescent="0.2"/>
    <row r="3672" s="38" customFormat="1" x14ac:dyDescent="0.2"/>
    <row r="3673" s="38" customFormat="1" x14ac:dyDescent="0.2"/>
    <row r="3674" s="38" customFormat="1" x14ac:dyDescent="0.2"/>
    <row r="3675" s="38" customFormat="1" x14ac:dyDescent="0.2"/>
    <row r="3676" s="38" customFormat="1" x14ac:dyDescent="0.2"/>
    <row r="3677" s="38" customFormat="1" x14ac:dyDescent="0.2"/>
    <row r="3678" s="38" customFormat="1" x14ac:dyDescent="0.2"/>
    <row r="3679" s="38" customFormat="1" x14ac:dyDescent="0.2"/>
    <row r="3680" s="38" customFormat="1" x14ac:dyDescent="0.2"/>
    <row r="3681" s="38" customFormat="1" x14ac:dyDescent="0.2"/>
    <row r="3682" s="38" customFormat="1" x14ac:dyDescent="0.2"/>
    <row r="3683" s="38" customFormat="1" x14ac:dyDescent="0.2"/>
    <row r="3684" s="38" customFormat="1" x14ac:dyDescent="0.2"/>
    <row r="3685" s="38" customFormat="1" x14ac:dyDescent="0.2"/>
    <row r="3686" s="38" customFormat="1" x14ac:dyDescent="0.2"/>
    <row r="3687" s="38" customFormat="1" x14ac:dyDescent="0.2"/>
    <row r="3688" s="38" customFormat="1" x14ac:dyDescent="0.2"/>
    <row r="3689" s="38" customFormat="1" x14ac:dyDescent="0.2"/>
    <row r="3690" s="38" customFormat="1" x14ac:dyDescent="0.2"/>
    <row r="3691" s="38" customFormat="1" x14ac:dyDescent="0.2"/>
    <row r="3692" s="38" customFormat="1" x14ac:dyDescent="0.2"/>
    <row r="3693" s="38" customFormat="1" x14ac:dyDescent="0.2"/>
    <row r="3694" s="38" customFormat="1" x14ac:dyDescent="0.2"/>
    <row r="3695" s="38" customFormat="1" x14ac:dyDescent="0.2"/>
    <row r="3696" s="38" customFormat="1" x14ac:dyDescent="0.2"/>
    <row r="3697" s="38" customFormat="1" x14ac:dyDescent="0.2"/>
    <row r="3698" s="38" customFormat="1" x14ac:dyDescent="0.2"/>
    <row r="3699" s="38" customFormat="1" x14ac:dyDescent="0.2"/>
    <row r="3700" s="38" customFormat="1" x14ac:dyDescent="0.2"/>
    <row r="3701" s="38" customFormat="1" x14ac:dyDescent="0.2"/>
    <row r="3702" s="38" customFormat="1" x14ac:dyDescent="0.2"/>
    <row r="3703" s="38" customFormat="1" x14ac:dyDescent="0.2"/>
    <row r="3704" s="38" customFormat="1" x14ac:dyDescent="0.2"/>
    <row r="3705" s="38" customFormat="1" x14ac:dyDescent="0.2"/>
    <row r="3706" s="38" customFormat="1" x14ac:dyDescent="0.2"/>
    <row r="3707" s="38" customFormat="1" x14ac:dyDescent="0.2"/>
    <row r="3708" s="38" customFormat="1" x14ac:dyDescent="0.2"/>
    <row r="3709" s="38" customFormat="1" x14ac:dyDescent="0.2"/>
    <row r="3710" s="38" customFormat="1" x14ac:dyDescent="0.2"/>
    <row r="3711" s="38" customFormat="1" x14ac:dyDescent="0.2"/>
    <row r="3712" s="38" customFormat="1" x14ac:dyDescent="0.2"/>
    <row r="3713" s="38" customFormat="1" x14ac:dyDescent="0.2"/>
    <row r="3714" s="38" customFormat="1" x14ac:dyDescent="0.2"/>
    <row r="3715" s="38" customFormat="1" x14ac:dyDescent="0.2"/>
    <row r="3716" s="38" customFormat="1" x14ac:dyDescent="0.2"/>
    <row r="3717" s="38" customFormat="1" x14ac:dyDescent="0.2"/>
    <row r="3718" s="38" customFormat="1" x14ac:dyDescent="0.2"/>
    <row r="3719" s="38" customFormat="1" x14ac:dyDescent="0.2"/>
    <row r="3720" s="38" customFormat="1" x14ac:dyDescent="0.2"/>
    <row r="3721" s="38" customFormat="1" x14ac:dyDescent="0.2"/>
    <row r="3722" s="38" customFormat="1" x14ac:dyDescent="0.2"/>
    <row r="3723" s="38" customFormat="1" x14ac:dyDescent="0.2"/>
    <row r="3724" s="38" customFormat="1" x14ac:dyDescent="0.2"/>
    <row r="3725" s="38" customFormat="1" x14ac:dyDescent="0.2"/>
    <row r="3726" s="38" customFormat="1" x14ac:dyDescent="0.2"/>
    <row r="3727" s="38" customFormat="1" x14ac:dyDescent="0.2"/>
    <row r="3728" s="38" customFormat="1" x14ac:dyDescent="0.2"/>
    <row r="3729" s="38" customFormat="1" x14ac:dyDescent="0.2"/>
    <row r="3730" s="38" customFormat="1" x14ac:dyDescent="0.2"/>
    <row r="3731" s="38" customFormat="1" x14ac:dyDescent="0.2"/>
    <row r="3732" s="38" customFormat="1" x14ac:dyDescent="0.2"/>
    <row r="3733" s="38" customFormat="1" x14ac:dyDescent="0.2"/>
    <row r="3734" s="38" customFormat="1" x14ac:dyDescent="0.2"/>
    <row r="3735" s="38" customFormat="1" x14ac:dyDescent="0.2"/>
    <row r="3736" s="38" customFormat="1" x14ac:dyDescent="0.2"/>
    <row r="3737" s="38" customFormat="1" x14ac:dyDescent="0.2"/>
    <row r="3738" s="38" customFormat="1" x14ac:dyDescent="0.2"/>
    <row r="3739" s="38" customFormat="1" x14ac:dyDescent="0.2"/>
    <row r="3740" s="38" customFormat="1" x14ac:dyDescent="0.2"/>
    <row r="3741" s="38" customFormat="1" x14ac:dyDescent="0.2"/>
    <row r="3742" s="38" customFormat="1" x14ac:dyDescent="0.2"/>
    <row r="3743" s="38" customFormat="1" x14ac:dyDescent="0.2"/>
    <row r="3744" s="38" customFormat="1" x14ac:dyDescent="0.2"/>
    <row r="3745" s="38" customFormat="1" x14ac:dyDescent="0.2"/>
    <row r="3746" s="38" customFormat="1" x14ac:dyDescent="0.2"/>
    <row r="3747" s="38" customFormat="1" x14ac:dyDescent="0.2"/>
    <row r="3748" s="38" customFormat="1" x14ac:dyDescent="0.2"/>
    <row r="3749" s="38" customFormat="1" x14ac:dyDescent="0.2"/>
    <row r="3750" s="38" customFormat="1" x14ac:dyDescent="0.2"/>
    <row r="3751" s="38" customFormat="1" x14ac:dyDescent="0.2"/>
    <row r="3752" s="38" customFormat="1" x14ac:dyDescent="0.2"/>
    <row r="3753" s="38" customFormat="1" x14ac:dyDescent="0.2"/>
    <row r="3754" s="38" customFormat="1" x14ac:dyDescent="0.2"/>
    <row r="3755" s="38" customFormat="1" x14ac:dyDescent="0.2"/>
    <row r="3756" s="38" customFormat="1" x14ac:dyDescent="0.2"/>
    <row r="3757" s="38" customFormat="1" x14ac:dyDescent="0.2"/>
    <row r="3758" s="38" customFormat="1" x14ac:dyDescent="0.2"/>
    <row r="3759" s="38" customFormat="1" x14ac:dyDescent="0.2"/>
    <row r="3760" s="38" customFormat="1" x14ac:dyDescent="0.2"/>
    <row r="3761" s="38" customFormat="1" x14ac:dyDescent="0.2"/>
    <row r="3762" s="38" customFormat="1" x14ac:dyDescent="0.2"/>
    <row r="3763" s="38" customFormat="1" x14ac:dyDescent="0.2"/>
    <row r="3764" s="38" customFormat="1" x14ac:dyDescent="0.2"/>
    <row r="3765" s="38" customFormat="1" x14ac:dyDescent="0.2"/>
    <row r="3766" s="38" customFormat="1" x14ac:dyDescent="0.2"/>
    <row r="3767" s="38" customFormat="1" x14ac:dyDescent="0.2"/>
    <row r="3768" s="38" customFormat="1" x14ac:dyDescent="0.2"/>
    <row r="3769" s="38" customFormat="1" x14ac:dyDescent="0.2"/>
    <row r="3770" s="38" customFormat="1" x14ac:dyDescent="0.2"/>
    <row r="3771" s="38" customFormat="1" x14ac:dyDescent="0.2"/>
    <row r="3772" s="38" customFormat="1" x14ac:dyDescent="0.2"/>
    <row r="3773" s="38" customFormat="1" x14ac:dyDescent="0.2"/>
    <row r="3774" s="38" customFormat="1" x14ac:dyDescent="0.2"/>
    <row r="3775" s="38" customFormat="1" x14ac:dyDescent="0.2"/>
    <row r="3776" s="38" customFormat="1" x14ac:dyDescent="0.2"/>
    <row r="3777" s="38" customFormat="1" x14ac:dyDescent="0.2"/>
    <row r="3778" s="38" customFormat="1" x14ac:dyDescent="0.2"/>
    <row r="3779" s="38" customFormat="1" x14ac:dyDescent="0.2"/>
    <row r="3780" s="38" customFormat="1" x14ac:dyDescent="0.2"/>
    <row r="3781" s="38" customFormat="1" x14ac:dyDescent="0.2"/>
    <row r="3782" s="38" customFormat="1" x14ac:dyDescent="0.2"/>
    <row r="3783" s="38" customFormat="1" x14ac:dyDescent="0.2"/>
    <row r="3784" s="38" customFormat="1" x14ac:dyDescent="0.2"/>
    <row r="3785" s="38" customFormat="1" x14ac:dyDescent="0.2"/>
    <row r="3786" s="38" customFormat="1" x14ac:dyDescent="0.2"/>
    <row r="3787" s="38" customFormat="1" x14ac:dyDescent="0.2"/>
    <row r="3788" s="38" customFormat="1" x14ac:dyDescent="0.2"/>
    <row r="3789" s="38" customFormat="1" x14ac:dyDescent="0.2"/>
    <row r="3790" s="38" customFormat="1" x14ac:dyDescent="0.2"/>
    <row r="3791" s="38" customFormat="1" x14ac:dyDescent="0.2"/>
    <row r="3792" s="38" customFormat="1" x14ac:dyDescent="0.2"/>
    <row r="3793" s="38" customFormat="1" x14ac:dyDescent="0.2"/>
    <row r="3794" s="38" customFormat="1" x14ac:dyDescent="0.2"/>
    <row r="3795" s="38" customFormat="1" x14ac:dyDescent="0.2"/>
    <row r="3796" s="38" customFormat="1" x14ac:dyDescent="0.2"/>
    <row r="3797" s="38" customFormat="1" x14ac:dyDescent="0.2"/>
    <row r="3798" s="38" customFormat="1" x14ac:dyDescent="0.2"/>
    <row r="3799" s="38" customFormat="1" x14ac:dyDescent="0.2"/>
    <row r="3800" s="38" customFormat="1" x14ac:dyDescent="0.2"/>
    <row r="3801" s="38" customFormat="1" x14ac:dyDescent="0.2"/>
    <row r="3802" s="38" customFormat="1" x14ac:dyDescent="0.2"/>
    <row r="3803" s="38" customFormat="1" x14ac:dyDescent="0.2"/>
    <row r="3804" s="38" customFormat="1" x14ac:dyDescent="0.2"/>
    <row r="3805" s="38" customFormat="1" x14ac:dyDescent="0.2"/>
    <row r="3806" s="38" customFormat="1" x14ac:dyDescent="0.2"/>
    <row r="3807" s="38" customFormat="1" x14ac:dyDescent="0.2"/>
    <row r="3808" s="38" customFormat="1" x14ac:dyDescent="0.2"/>
    <row r="3809" s="38" customFormat="1" x14ac:dyDescent="0.2"/>
    <row r="3810" s="38" customFormat="1" x14ac:dyDescent="0.2"/>
    <row r="3811" s="38" customFormat="1" x14ac:dyDescent="0.2"/>
    <row r="3812" s="38" customFormat="1" x14ac:dyDescent="0.2"/>
    <row r="3813" s="38" customFormat="1" x14ac:dyDescent="0.2"/>
    <row r="3814" s="38" customFormat="1" x14ac:dyDescent="0.2"/>
    <row r="3815" s="38" customFormat="1" x14ac:dyDescent="0.2"/>
    <row r="3816" s="38" customFormat="1" x14ac:dyDescent="0.2"/>
    <row r="3817" s="38" customFormat="1" x14ac:dyDescent="0.2"/>
    <row r="3818" s="38" customFormat="1" x14ac:dyDescent="0.2"/>
    <row r="3819" s="38" customFormat="1" x14ac:dyDescent="0.2"/>
    <row r="3820" s="38" customFormat="1" x14ac:dyDescent="0.2"/>
    <row r="3821" s="38" customFormat="1" x14ac:dyDescent="0.2"/>
    <row r="3822" s="38" customFormat="1" x14ac:dyDescent="0.2"/>
    <row r="3823" s="38" customFormat="1" x14ac:dyDescent="0.2"/>
    <row r="3824" s="38" customFormat="1" x14ac:dyDescent="0.2"/>
    <row r="3825" s="38" customFormat="1" x14ac:dyDescent="0.2"/>
    <row r="3826" s="38" customFormat="1" x14ac:dyDescent="0.2"/>
    <row r="3827" s="38" customFormat="1" x14ac:dyDescent="0.2"/>
    <row r="3828" s="38" customFormat="1" x14ac:dyDescent="0.2"/>
    <row r="3829" s="38" customFormat="1" x14ac:dyDescent="0.2"/>
    <row r="3830" s="38" customFormat="1" x14ac:dyDescent="0.2"/>
    <row r="3831" s="38" customFormat="1" x14ac:dyDescent="0.2"/>
    <row r="3832" s="38" customFormat="1" x14ac:dyDescent="0.2"/>
    <row r="3833" s="38" customFormat="1" x14ac:dyDescent="0.2"/>
    <row r="3834" s="38" customFormat="1" x14ac:dyDescent="0.2"/>
    <row r="3835" s="38" customFormat="1" x14ac:dyDescent="0.2"/>
    <row r="3836" s="38" customFormat="1" x14ac:dyDescent="0.2"/>
    <row r="3837" s="38" customFormat="1" x14ac:dyDescent="0.2"/>
    <row r="3838" s="38" customFormat="1" x14ac:dyDescent="0.2"/>
    <row r="3839" s="38" customFormat="1" x14ac:dyDescent="0.2"/>
    <row r="3840" s="38" customFormat="1" x14ac:dyDescent="0.2"/>
    <row r="3841" s="38" customFormat="1" x14ac:dyDescent="0.2"/>
    <row r="3842" s="38" customFormat="1" x14ac:dyDescent="0.2"/>
    <row r="3843" s="38" customFormat="1" x14ac:dyDescent="0.2"/>
    <row r="3844" s="38" customFormat="1" x14ac:dyDescent="0.2"/>
    <row r="3845" s="38" customFormat="1" x14ac:dyDescent="0.2"/>
    <row r="3846" s="38" customFormat="1" x14ac:dyDescent="0.2"/>
    <row r="3847" s="38" customFormat="1" x14ac:dyDescent="0.2"/>
    <row r="3848" s="38" customFormat="1" x14ac:dyDescent="0.2"/>
    <row r="3849" s="38" customFormat="1" x14ac:dyDescent="0.2"/>
    <row r="3850" s="38" customFormat="1" x14ac:dyDescent="0.2"/>
    <row r="3851" s="38" customFormat="1" x14ac:dyDescent="0.2"/>
    <row r="3852" s="38" customFormat="1" x14ac:dyDescent="0.2"/>
    <row r="3853" s="38" customFormat="1" x14ac:dyDescent="0.2"/>
    <row r="3854" s="38" customFormat="1" x14ac:dyDescent="0.2"/>
    <row r="3855" s="38" customFormat="1" x14ac:dyDescent="0.2"/>
    <row r="3856" s="38" customFormat="1" x14ac:dyDescent="0.2"/>
    <row r="3857" s="38" customFormat="1" x14ac:dyDescent="0.2"/>
    <row r="3858" s="38" customFormat="1" x14ac:dyDescent="0.2"/>
    <row r="3859" s="38" customFormat="1" x14ac:dyDescent="0.2"/>
    <row r="3860" s="38" customFormat="1" x14ac:dyDescent="0.2"/>
    <row r="3861" s="38" customFormat="1" x14ac:dyDescent="0.2"/>
    <row r="3862" s="38" customFormat="1" x14ac:dyDescent="0.2"/>
    <row r="3863" s="38" customFormat="1" x14ac:dyDescent="0.2"/>
    <row r="3864" s="38" customFormat="1" x14ac:dyDescent="0.2"/>
    <row r="3865" s="38" customFormat="1" x14ac:dyDescent="0.2"/>
    <row r="3866" s="38" customFormat="1" x14ac:dyDescent="0.2"/>
    <row r="3867" s="38" customFormat="1" x14ac:dyDescent="0.2"/>
    <row r="3868" s="38" customFormat="1" x14ac:dyDescent="0.2"/>
    <row r="3869" s="38" customFormat="1" x14ac:dyDescent="0.2"/>
    <row r="3870" s="38" customFormat="1" x14ac:dyDescent="0.2"/>
    <row r="3871" s="38" customFormat="1" x14ac:dyDescent="0.2"/>
    <row r="3872" s="38" customFormat="1" x14ac:dyDescent="0.2"/>
    <row r="3873" s="38" customFormat="1" x14ac:dyDescent="0.2"/>
    <row r="3874" s="38" customFormat="1" x14ac:dyDescent="0.2"/>
    <row r="3875" s="38" customFormat="1" x14ac:dyDescent="0.2"/>
    <row r="3876" s="38" customFormat="1" x14ac:dyDescent="0.2"/>
    <row r="3877" s="38" customFormat="1" x14ac:dyDescent="0.2"/>
    <row r="3878" s="38" customFormat="1" x14ac:dyDescent="0.2"/>
    <row r="3879" s="38" customFormat="1" x14ac:dyDescent="0.2"/>
    <row r="3880" s="38" customFormat="1" x14ac:dyDescent="0.2"/>
    <row r="3881" s="38" customFormat="1" x14ac:dyDescent="0.2"/>
    <row r="3882" s="38" customFormat="1" x14ac:dyDescent="0.2"/>
    <row r="3883" s="38" customFormat="1" x14ac:dyDescent="0.2"/>
    <row r="3884" s="38" customFormat="1" x14ac:dyDescent="0.2"/>
    <row r="3885" s="38" customFormat="1" x14ac:dyDescent="0.2"/>
    <row r="3886" s="38" customFormat="1" x14ac:dyDescent="0.2"/>
    <row r="3887" s="38" customFormat="1" x14ac:dyDescent="0.2"/>
    <row r="3888" s="38" customFormat="1" x14ac:dyDescent="0.2"/>
    <row r="3889" s="38" customFormat="1" x14ac:dyDescent="0.2"/>
    <row r="3890" s="38" customFormat="1" x14ac:dyDescent="0.2"/>
    <row r="3891" s="38" customFormat="1" x14ac:dyDescent="0.2"/>
    <row r="3892" s="38" customFormat="1" x14ac:dyDescent="0.2"/>
    <row r="3893" s="38" customFormat="1" x14ac:dyDescent="0.2"/>
    <row r="3894" s="38" customFormat="1" x14ac:dyDescent="0.2"/>
    <row r="3895" s="38" customFormat="1" x14ac:dyDescent="0.2"/>
    <row r="3896" s="38" customFormat="1" x14ac:dyDescent="0.2"/>
    <row r="3897" s="38" customFormat="1" x14ac:dyDescent="0.2"/>
    <row r="3898" s="38" customFormat="1" x14ac:dyDescent="0.2"/>
    <row r="3899" s="38" customFormat="1" x14ac:dyDescent="0.2"/>
    <row r="3900" s="38" customFormat="1" x14ac:dyDescent="0.2"/>
    <row r="3901" s="38" customFormat="1" x14ac:dyDescent="0.2"/>
    <row r="3902" s="38" customFormat="1" x14ac:dyDescent="0.2"/>
    <row r="3903" s="38" customFormat="1" x14ac:dyDescent="0.2"/>
    <row r="3904" s="38" customFormat="1" x14ac:dyDescent="0.2"/>
    <row r="3905" s="38" customFormat="1" x14ac:dyDescent="0.2"/>
    <row r="3906" s="38" customFormat="1" x14ac:dyDescent="0.2"/>
    <row r="3907" s="38" customFormat="1" x14ac:dyDescent="0.2"/>
    <row r="3908" s="38" customFormat="1" x14ac:dyDescent="0.2"/>
    <row r="3909" s="38" customFormat="1" x14ac:dyDescent="0.2"/>
    <row r="3910" s="38" customFormat="1" x14ac:dyDescent="0.2"/>
    <row r="3911" s="38" customFormat="1" x14ac:dyDescent="0.2"/>
    <row r="3912" s="38" customFormat="1" x14ac:dyDescent="0.2"/>
    <row r="3913" s="38" customFormat="1" x14ac:dyDescent="0.2"/>
    <row r="3914" s="38" customFormat="1" x14ac:dyDescent="0.2"/>
    <row r="3915" s="38" customFormat="1" x14ac:dyDescent="0.2"/>
    <row r="3916" s="38" customFormat="1" x14ac:dyDescent="0.2"/>
    <row r="3917" s="38" customFormat="1" x14ac:dyDescent="0.2"/>
    <row r="3918" s="38" customFormat="1" x14ac:dyDescent="0.2"/>
    <row r="3919" s="38" customFormat="1" x14ac:dyDescent="0.2"/>
    <row r="3920" s="38" customFormat="1" x14ac:dyDescent="0.2"/>
    <row r="3921" s="38" customFormat="1" x14ac:dyDescent="0.2"/>
    <row r="3922" s="38" customFormat="1" x14ac:dyDescent="0.2"/>
    <row r="3923" s="38" customFormat="1" x14ac:dyDescent="0.2"/>
    <row r="3924" s="38" customFormat="1" x14ac:dyDescent="0.2"/>
    <row r="3925" s="38" customFormat="1" x14ac:dyDescent="0.2"/>
    <row r="3926" s="38" customFormat="1" x14ac:dyDescent="0.2"/>
    <row r="3927" s="38" customFormat="1" x14ac:dyDescent="0.2"/>
    <row r="3928" s="38" customFormat="1" x14ac:dyDescent="0.2"/>
    <row r="3929" s="38" customFormat="1" x14ac:dyDescent="0.2"/>
    <row r="3930" s="38" customFormat="1" x14ac:dyDescent="0.2"/>
    <row r="3931" s="38" customFormat="1" x14ac:dyDescent="0.2"/>
    <row r="3932" s="38" customFormat="1" x14ac:dyDescent="0.2"/>
    <row r="3933" s="38" customFormat="1" x14ac:dyDescent="0.2"/>
    <row r="3934" s="38" customFormat="1" x14ac:dyDescent="0.2"/>
    <row r="3935" s="38" customFormat="1" x14ac:dyDescent="0.2"/>
    <row r="3936" s="38" customFormat="1" x14ac:dyDescent="0.2"/>
    <row r="3937" s="38" customFormat="1" x14ac:dyDescent="0.2"/>
    <row r="3938" s="38" customFormat="1" x14ac:dyDescent="0.2"/>
    <row r="3939" s="38" customFormat="1" x14ac:dyDescent="0.2"/>
    <row r="3940" s="38" customFormat="1" x14ac:dyDescent="0.2"/>
    <row r="3941" s="38" customFormat="1" x14ac:dyDescent="0.2"/>
    <row r="3942" s="38" customFormat="1" x14ac:dyDescent="0.2"/>
    <row r="3943" s="38" customFormat="1" x14ac:dyDescent="0.2"/>
    <row r="3944" s="38" customFormat="1" x14ac:dyDescent="0.2"/>
    <row r="3945" s="38" customFormat="1" x14ac:dyDescent="0.2"/>
    <row r="3946" s="38" customFormat="1" x14ac:dyDescent="0.2"/>
    <row r="3947" s="38" customFormat="1" x14ac:dyDescent="0.2"/>
    <row r="3948" s="38" customFormat="1" x14ac:dyDescent="0.2"/>
    <row r="3949" s="38" customFormat="1" x14ac:dyDescent="0.2"/>
    <row r="3950" s="38" customFormat="1" x14ac:dyDescent="0.2"/>
    <row r="3951" s="38" customFormat="1" x14ac:dyDescent="0.2"/>
    <row r="3952" s="38" customFormat="1" x14ac:dyDescent="0.2"/>
    <row r="3953" s="38" customFormat="1" x14ac:dyDescent="0.2"/>
    <row r="3954" s="38" customFormat="1" x14ac:dyDescent="0.2"/>
    <row r="3955" s="38" customFormat="1" x14ac:dyDescent="0.2"/>
    <row r="3956" s="38" customFormat="1" x14ac:dyDescent="0.2"/>
    <row r="3957" s="38" customFormat="1" x14ac:dyDescent="0.2"/>
    <row r="3958" s="38" customFormat="1" x14ac:dyDescent="0.2"/>
    <row r="3959" s="38" customFormat="1" x14ac:dyDescent="0.2"/>
    <row r="3960" s="38" customFormat="1" x14ac:dyDescent="0.2"/>
    <row r="3961" s="38" customFormat="1" x14ac:dyDescent="0.2"/>
    <row r="3962" s="38" customFormat="1" x14ac:dyDescent="0.2"/>
    <row r="3963" s="38" customFormat="1" x14ac:dyDescent="0.2"/>
    <row r="3964" s="38" customFormat="1" x14ac:dyDescent="0.2"/>
    <row r="3965" s="38" customFormat="1" x14ac:dyDescent="0.2"/>
    <row r="3966" s="38" customFormat="1" x14ac:dyDescent="0.2"/>
    <row r="3967" s="38" customFormat="1" x14ac:dyDescent="0.2"/>
    <row r="3968" s="38" customFormat="1" x14ac:dyDescent="0.2"/>
    <row r="3969" s="38" customFormat="1" x14ac:dyDescent="0.2"/>
    <row r="3970" s="38" customFormat="1" x14ac:dyDescent="0.2"/>
    <row r="3971" s="38" customFormat="1" x14ac:dyDescent="0.2"/>
    <row r="3972" s="38" customFormat="1" x14ac:dyDescent="0.2"/>
    <row r="3973" s="38" customFormat="1" x14ac:dyDescent="0.2"/>
    <row r="3974" s="38" customFormat="1" x14ac:dyDescent="0.2"/>
    <row r="3975" s="38" customFormat="1" x14ac:dyDescent="0.2"/>
    <row r="3976" s="38" customFormat="1" x14ac:dyDescent="0.2"/>
    <row r="3977" s="38" customFormat="1" x14ac:dyDescent="0.2"/>
    <row r="3978" s="38" customFormat="1" x14ac:dyDescent="0.2"/>
    <row r="3979" s="38" customFormat="1" x14ac:dyDescent="0.2"/>
    <row r="3980" s="38" customFormat="1" x14ac:dyDescent="0.2"/>
    <row r="3981" s="38" customFormat="1" x14ac:dyDescent="0.2"/>
    <row r="3982" s="38" customFormat="1" x14ac:dyDescent="0.2"/>
    <row r="3983" s="38" customFormat="1" x14ac:dyDescent="0.2"/>
    <row r="3984" s="38" customFormat="1" x14ac:dyDescent="0.2"/>
    <row r="3985" s="38" customFormat="1" x14ac:dyDescent="0.2"/>
    <row r="3986" s="38" customFormat="1" x14ac:dyDescent="0.2"/>
    <row r="3987" s="38" customFormat="1" x14ac:dyDescent="0.2"/>
    <row r="3988" s="38" customFormat="1" x14ac:dyDescent="0.2"/>
    <row r="3989" s="38" customFormat="1" x14ac:dyDescent="0.2"/>
    <row r="3990" s="38" customFormat="1" x14ac:dyDescent="0.2"/>
    <row r="3991" s="38" customFormat="1" x14ac:dyDescent="0.2"/>
    <row r="3992" s="38" customFormat="1" x14ac:dyDescent="0.2"/>
    <row r="3993" s="38" customFormat="1" x14ac:dyDescent="0.2"/>
    <row r="3994" s="38" customFormat="1" x14ac:dyDescent="0.2"/>
    <row r="3995" s="38" customFormat="1" x14ac:dyDescent="0.2"/>
    <row r="3996" s="38" customFormat="1" x14ac:dyDescent="0.2"/>
    <row r="3997" s="38" customFormat="1" x14ac:dyDescent="0.2"/>
    <row r="3998" s="38" customFormat="1" x14ac:dyDescent="0.2"/>
    <row r="3999" s="38" customFormat="1" x14ac:dyDescent="0.2"/>
    <row r="4000" s="38" customFormat="1" x14ac:dyDescent="0.2"/>
    <row r="4001" s="38" customFormat="1" x14ac:dyDescent="0.2"/>
    <row r="4002" s="38" customFormat="1" x14ac:dyDescent="0.2"/>
    <row r="4003" s="38" customFormat="1" x14ac:dyDescent="0.2"/>
    <row r="4004" s="38" customFormat="1" x14ac:dyDescent="0.2"/>
    <row r="4005" s="38" customFormat="1" x14ac:dyDescent="0.2"/>
    <row r="4006" s="38" customFormat="1" x14ac:dyDescent="0.2"/>
    <row r="4007" s="38" customFormat="1" x14ac:dyDescent="0.2"/>
    <row r="4008" s="38" customFormat="1" x14ac:dyDescent="0.2"/>
    <row r="4009" s="38" customFormat="1" x14ac:dyDescent="0.2"/>
    <row r="4010" s="38" customFormat="1" x14ac:dyDescent="0.2"/>
    <row r="4011" s="38" customFormat="1" x14ac:dyDescent="0.2"/>
    <row r="4012" s="38" customFormat="1" x14ac:dyDescent="0.2"/>
    <row r="4013" s="38" customFormat="1" x14ac:dyDescent="0.2"/>
    <row r="4014" s="38" customFormat="1" x14ac:dyDescent="0.2"/>
    <row r="4015" s="38" customFormat="1" x14ac:dyDescent="0.2"/>
    <row r="4016" s="38" customFormat="1" x14ac:dyDescent="0.2"/>
    <row r="4017" s="38" customFormat="1" x14ac:dyDescent="0.2"/>
    <row r="4018" s="38" customFormat="1" x14ac:dyDescent="0.2"/>
    <row r="4019" s="38" customFormat="1" x14ac:dyDescent="0.2"/>
    <row r="4020" s="38" customFormat="1" x14ac:dyDescent="0.2"/>
    <row r="4021" s="38" customFormat="1" x14ac:dyDescent="0.2"/>
    <row r="4022" s="38" customFormat="1" x14ac:dyDescent="0.2"/>
    <row r="4023" s="38" customFormat="1" x14ac:dyDescent="0.2"/>
    <row r="4024" s="38" customFormat="1" x14ac:dyDescent="0.2"/>
    <row r="4025" s="38" customFormat="1" x14ac:dyDescent="0.2"/>
    <row r="4026" s="38" customFormat="1" x14ac:dyDescent="0.2"/>
    <row r="4027" s="38" customFormat="1" x14ac:dyDescent="0.2"/>
    <row r="4028" s="38" customFormat="1" x14ac:dyDescent="0.2"/>
    <row r="4029" s="38" customFormat="1" x14ac:dyDescent="0.2"/>
    <row r="4030" s="38" customFormat="1" x14ac:dyDescent="0.2"/>
    <row r="4031" s="38" customFormat="1" x14ac:dyDescent="0.2"/>
    <row r="4032" s="38" customFormat="1" x14ac:dyDescent="0.2"/>
    <row r="4033" s="38" customFormat="1" x14ac:dyDescent="0.2"/>
    <row r="4034" s="38" customFormat="1" x14ac:dyDescent="0.2"/>
    <row r="4035" s="38" customFormat="1" x14ac:dyDescent="0.2"/>
    <row r="4036" s="38" customFormat="1" x14ac:dyDescent="0.2"/>
    <row r="4037" s="38" customFormat="1" x14ac:dyDescent="0.2"/>
    <row r="4038" s="38" customFormat="1" x14ac:dyDescent="0.2"/>
    <row r="4039" s="38" customFormat="1" x14ac:dyDescent="0.2"/>
    <row r="4040" s="38" customFormat="1" x14ac:dyDescent="0.2"/>
    <row r="4041" s="38" customFormat="1" x14ac:dyDescent="0.2"/>
    <row r="4042" s="38" customFormat="1" x14ac:dyDescent="0.2"/>
    <row r="4043" s="38" customFormat="1" x14ac:dyDescent="0.2"/>
    <row r="4044" s="38" customFormat="1" x14ac:dyDescent="0.2"/>
    <row r="4045" s="38" customFormat="1" x14ac:dyDescent="0.2"/>
    <row r="4046" s="38" customFormat="1" x14ac:dyDescent="0.2"/>
    <row r="4047" s="38" customFormat="1" x14ac:dyDescent="0.2"/>
    <row r="4048" s="38" customFormat="1" x14ac:dyDescent="0.2"/>
    <row r="4049" s="38" customFormat="1" x14ac:dyDescent="0.2"/>
    <row r="4050" s="38" customFormat="1" x14ac:dyDescent="0.2"/>
    <row r="4051" s="38" customFormat="1" x14ac:dyDescent="0.2"/>
    <row r="4052" s="38" customFormat="1" x14ac:dyDescent="0.2"/>
    <row r="4053" s="38" customFormat="1" x14ac:dyDescent="0.2"/>
    <row r="4054" s="38" customFormat="1" x14ac:dyDescent="0.2"/>
    <row r="4055" s="38" customFormat="1" x14ac:dyDescent="0.2"/>
    <row r="4056" s="38" customFormat="1" x14ac:dyDescent="0.2"/>
    <row r="4057" s="38" customFormat="1" x14ac:dyDescent="0.2"/>
    <row r="4058" s="38" customFormat="1" x14ac:dyDescent="0.2"/>
    <row r="4059" s="38" customFormat="1" x14ac:dyDescent="0.2"/>
    <row r="4060" s="38" customFormat="1" x14ac:dyDescent="0.2"/>
    <row r="4061" s="38" customFormat="1" x14ac:dyDescent="0.2"/>
    <row r="4062" s="38" customFormat="1" x14ac:dyDescent="0.2"/>
    <row r="4063" s="38" customFormat="1" x14ac:dyDescent="0.2"/>
    <row r="4064" s="38" customFormat="1" x14ac:dyDescent="0.2"/>
    <row r="4065" s="38" customFormat="1" x14ac:dyDescent="0.2"/>
    <row r="4066" s="38" customFormat="1" x14ac:dyDescent="0.2"/>
    <row r="4067" s="38" customFormat="1" x14ac:dyDescent="0.2"/>
    <row r="4068" s="38" customFormat="1" x14ac:dyDescent="0.2"/>
    <row r="4069" s="38" customFormat="1" x14ac:dyDescent="0.2"/>
    <row r="4070" s="38" customFormat="1" x14ac:dyDescent="0.2"/>
    <row r="4071" s="38" customFormat="1" x14ac:dyDescent="0.2"/>
    <row r="4072" s="38" customFormat="1" x14ac:dyDescent="0.2"/>
    <row r="4073" s="38" customFormat="1" x14ac:dyDescent="0.2"/>
    <row r="4074" s="38" customFormat="1" x14ac:dyDescent="0.2"/>
    <row r="4075" s="38" customFormat="1" x14ac:dyDescent="0.2"/>
    <row r="4076" s="38" customFormat="1" x14ac:dyDescent="0.2"/>
    <row r="4077" s="38" customFormat="1" x14ac:dyDescent="0.2"/>
    <row r="4078" s="38" customFormat="1" x14ac:dyDescent="0.2"/>
    <row r="4079" s="38" customFormat="1" x14ac:dyDescent="0.2"/>
    <row r="4080" s="38" customFormat="1" x14ac:dyDescent="0.2"/>
    <row r="4081" s="38" customFormat="1" x14ac:dyDescent="0.2"/>
    <row r="4082" s="38" customFormat="1" x14ac:dyDescent="0.2"/>
    <row r="4083" s="38" customFormat="1" x14ac:dyDescent="0.2"/>
    <row r="4084" s="38" customFormat="1" x14ac:dyDescent="0.2"/>
    <row r="4085" s="38" customFormat="1" x14ac:dyDescent="0.2"/>
    <row r="4086" s="38" customFormat="1" x14ac:dyDescent="0.2"/>
    <row r="4087" s="38" customFormat="1" x14ac:dyDescent="0.2"/>
    <row r="4088" s="38" customFormat="1" x14ac:dyDescent="0.2"/>
    <row r="4089" s="38" customFormat="1" x14ac:dyDescent="0.2"/>
    <row r="4090" s="38" customFormat="1" x14ac:dyDescent="0.2"/>
    <row r="4091" s="38" customFormat="1" x14ac:dyDescent="0.2"/>
    <row r="4092" s="38" customFormat="1" x14ac:dyDescent="0.2"/>
    <row r="4093" s="38" customFormat="1" x14ac:dyDescent="0.2"/>
    <row r="4094" s="38" customFormat="1" x14ac:dyDescent="0.2"/>
    <row r="4095" s="38" customFormat="1" x14ac:dyDescent="0.2"/>
    <row r="4096" s="38" customFormat="1" x14ac:dyDescent="0.2"/>
    <row r="4097" s="38" customFormat="1" x14ac:dyDescent="0.2"/>
    <row r="4098" s="38" customFormat="1" x14ac:dyDescent="0.2"/>
    <row r="4099" s="38" customFormat="1" x14ac:dyDescent="0.2"/>
    <row r="4100" s="38" customFormat="1" x14ac:dyDescent="0.2"/>
    <row r="4101" s="38" customFormat="1" x14ac:dyDescent="0.2"/>
    <row r="4102" s="38" customFormat="1" x14ac:dyDescent="0.2"/>
    <row r="4103" s="38" customFormat="1" x14ac:dyDescent="0.2"/>
    <row r="4104" s="38" customFormat="1" x14ac:dyDescent="0.2"/>
    <row r="4105" s="38" customFormat="1" x14ac:dyDescent="0.2"/>
    <row r="4106" s="38" customFormat="1" x14ac:dyDescent="0.2"/>
    <row r="4107" s="38" customFormat="1" x14ac:dyDescent="0.2"/>
    <row r="4108" s="38" customFormat="1" x14ac:dyDescent="0.2"/>
    <row r="4109" s="38" customFormat="1" x14ac:dyDescent="0.2"/>
    <row r="4110" s="38" customFormat="1" x14ac:dyDescent="0.2"/>
    <row r="4111" s="38" customFormat="1" x14ac:dyDescent="0.2"/>
    <row r="4112" s="38" customFormat="1" x14ac:dyDescent="0.2"/>
    <row r="4113" s="38" customFormat="1" x14ac:dyDescent="0.2"/>
    <row r="4114" s="38" customFormat="1" x14ac:dyDescent="0.2"/>
    <row r="4115" s="38" customFormat="1" x14ac:dyDescent="0.2"/>
    <row r="4116" s="38" customFormat="1" x14ac:dyDescent="0.2"/>
    <row r="4117" s="38" customFormat="1" x14ac:dyDescent="0.2"/>
    <row r="4118" s="38" customFormat="1" x14ac:dyDescent="0.2"/>
    <row r="4119" s="38" customFormat="1" x14ac:dyDescent="0.2"/>
    <row r="4120" s="38" customFormat="1" x14ac:dyDescent="0.2"/>
    <row r="4121" s="38" customFormat="1" x14ac:dyDescent="0.2"/>
    <row r="4122" s="38" customFormat="1" x14ac:dyDescent="0.2"/>
    <row r="4123" s="38" customFormat="1" x14ac:dyDescent="0.2"/>
    <row r="4124" s="38" customFormat="1" x14ac:dyDescent="0.2"/>
    <row r="4125" s="38" customFormat="1" x14ac:dyDescent="0.2"/>
    <row r="4126" s="38" customFormat="1" x14ac:dyDescent="0.2"/>
    <row r="4127" s="38" customFormat="1" x14ac:dyDescent="0.2"/>
    <row r="4128" s="38" customFormat="1" x14ac:dyDescent="0.2"/>
    <row r="4129" s="38" customFormat="1" x14ac:dyDescent="0.2"/>
    <row r="4130" s="38" customFormat="1" x14ac:dyDescent="0.2"/>
    <row r="4131" s="38" customFormat="1" x14ac:dyDescent="0.2"/>
    <row r="4132" s="38" customFormat="1" x14ac:dyDescent="0.2"/>
    <row r="4133" s="38" customFormat="1" x14ac:dyDescent="0.2"/>
    <row r="4134" s="38" customFormat="1" x14ac:dyDescent="0.2"/>
    <row r="4135" s="38" customFormat="1" x14ac:dyDescent="0.2"/>
    <row r="4136" s="38" customFormat="1" x14ac:dyDescent="0.2"/>
    <row r="4137" s="38" customFormat="1" x14ac:dyDescent="0.2"/>
    <row r="4138" s="38" customFormat="1" x14ac:dyDescent="0.2"/>
    <row r="4139" s="38" customFormat="1" x14ac:dyDescent="0.2"/>
    <row r="4140" s="38" customFormat="1" x14ac:dyDescent="0.2"/>
    <row r="4141" s="38" customFormat="1" x14ac:dyDescent="0.2"/>
    <row r="4142" s="38" customFormat="1" x14ac:dyDescent="0.2"/>
    <row r="4143" s="38" customFormat="1" x14ac:dyDescent="0.2"/>
    <row r="4144" s="38" customFormat="1" x14ac:dyDescent="0.2"/>
    <row r="4145" s="38" customFormat="1" x14ac:dyDescent="0.2"/>
    <row r="4146" s="38" customFormat="1" x14ac:dyDescent="0.2"/>
    <row r="4147" s="38" customFormat="1" x14ac:dyDescent="0.2"/>
    <row r="4148" s="38" customFormat="1" x14ac:dyDescent="0.2"/>
    <row r="4149" s="38" customFormat="1" x14ac:dyDescent="0.2"/>
    <row r="4150" s="38" customFormat="1" x14ac:dyDescent="0.2"/>
    <row r="4151" s="38" customFormat="1" x14ac:dyDescent="0.2"/>
    <row r="4152" s="38" customFormat="1" x14ac:dyDescent="0.2"/>
    <row r="4153" s="38" customFormat="1" x14ac:dyDescent="0.2"/>
    <row r="4154" s="38" customFormat="1" x14ac:dyDescent="0.2"/>
    <row r="4155" s="38" customFormat="1" x14ac:dyDescent="0.2"/>
    <row r="4156" s="38" customFormat="1" x14ac:dyDescent="0.2"/>
    <row r="4157" s="38" customFormat="1" x14ac:dyDescent="0.2"/>
    <row r="4158" s="38" customFormat="1" x14ac:dyDescent="0.2"/>
    <row r="4159" s="38" customFormat="1" x14ac:dyDescent="0.2"/>
    <row r="4160" s="38" customFormat="1" x14ac:dyDescent="0.2"/>
    <row r="4161" s="38" customFormat="1" x14ac:dyDescent="0.2"/>
    <row r="4162" s="38" customFormat="1" x14ac:dyDescent="0.2"/>
    <row r="4163" s="38" customFormat="1" x14ac:dyDescent="0.2"/>
    <row r="4164" s="38" customFormat="1" x14ac:dyDescent="0.2"/>
    <row r="4165" s="38" customFormat="1" x14ac:dyDescent="0.2"/>
    <row r="4166" s="38" customFormat="1" x14ac:dyDescent="0.2"/>
    <row r="4167" s="38" customFormat="1" x14ac:dyDescent="0.2"/>
    <row r="4168" s="38" customFormat="1" x14ac:dyDescent="0.2"/>
    <row r="4169" s="38" customFormat="1" x14ac:dyDescent="0.2"/>
    <row r="4170" s="38" customFormat="1" x14ac:dyDescent="0.2"/>
    <row r="4171" s="38" customFormat="1" x14ac:dyDescent="0.2"/>
    <row r="4172" s="38" customFormat="1" x14ac:dyDescent="0.2"/>
    <row r="4173" s="38" customFormat="1" x14ac:dyDescent="0.2"/>
    <row r="4174" s="38" customFormat="1" x14ac:dyDescent="0.2"/>
    <row r="4175" s="38" customFormat="1" x14ac:dyDescent="0.2"/>
    <row r="4176" s="38" customFormat="1" x14ac:dyDescent="0.2"/>
    <row r="4177" s="38" customFormat="1" x14ac:dyDescent="0.2"/>
    <row r="4178" s="38" customFormat="1" x14ac:dyDescent="0.2"/>
    <row r="4179" s="38" customFormat="1" x14ac:dyDescent="0.2"/>
    <row r="4180" s="38" customFormat="1" x14ac:dyDescent="0.2"/>
    <row r="4181" s="38" customFormat="1" x14ac:dyDescent="0.2"/>
    <row r="4182" s="38" customFormat="1" x14ac:dyDescent="0.2"/>
    <row r="4183" s="38" customFormat="1" x14ac:dyDescent="0.2"/>
    <row r="4184" s="38" customFormat="1" x14ac:dyDescent="0.2"/>
    <row r="4185" s="38" customFormat="1" x14ac:dyDescent="0.2"/>
    <row r="4186" s="38" customFormat="1" x14ac:dyDescent="0.2"/>
    <row r="4187" s="38" customFormat="1" x14ac:dyDescent="0.2"/>
    <row r="4188" s="38" customFormat="1" x14ac:dyDescent="0.2"/>
    <row r="4189" s="38" customFormat="1" x14ac:dyDescent="0.2"/>
    <row r="4190" s="38" customFormat="1" x14ac:dyDescent="0.2"/>
    <row r="4191" s="38" customFormat="1" x14ac:dyDescent="0.2"/>
    <row r="4192" s="38" customFormat="1" x14ac:dyDescent="0.2"/>
    <row r="4193" s="38" customFormat="1" x14ac:dyDescent="0.2"/>
    <row r="4194" s="38" customFormat="1" x14ac:dyDescent="0.2"/>
    <row r="4195" s="38" customFormat="1" x14ac:dyDescent="0.2"/>
    <row r="4196" s="38" customFormat="1" x14ac:dyDescent="0.2"/>
    <row r="4197" s="38" customFormat="1" x14ac:dyDescent="0.2"/>
    <row r="4198" s="38" customFormat="1" x14ac:dyDescent="0.2"/>
    <row r="4199" s="38" customFormat="1" x14ac:dyDescent="0.2"/>
    <row r="4200" s="38" customFormat="1" x14ac:dyDescent="0.2"/>
    <row r="4201" s="38" customFormat="1" x14ac:dyDescent="0.2"/>
    <row r="4202" s="38" customFormat="1" x14ac:dyDescent="0.2"/>
    <row r="4203" s="38" customFormat="1" x14ac:dyDescent="0.2"/>
    <row r="4204" s="38" customFormat="1" x14ac:dyDescent="0.2"/>
    <row r="4205" s="38" customFormat="1" x14ac:dyDescent="0.2"/>
    <row r="4206" s="38" customFormat="1" x14ac:dyDescent="0.2"/>
    <row r="4207" s="38" customFormat="1" x14ac:dyDescent="0.2"/>
    <row r="4208" s="38" customFormat="1" x14ac:dyDescent="0.2"/>
    <row r="4209" s="38" customFormat="1" x14ac:dyDescent="0.2"/>
    <row r="4210" s="38" customFormat="1" x14ac:dyDescent="0.2"/>
    <row r="4211" s="38" customFormat="1" x14ac:dyDescent="0.2"/>
    <row r="4212" s="38" customFormat="1" x14ac:dyDescent="0.2"/>
    <row r="4213" s="38" customFormat="1" x14ac:dyDescent="0.2"/>
    <row r="4214" s="38" customFormat="1" x14ac:dyDescent="0.2"/>
    <row r="4215" s="38" customFormat="1" x14ac:dyDescent="0.2"/>
    <row r="4216" s="38" customFormat="1" x14ac:dyDescent="0.2"/>
    <row r="4217" s="38" customFormat="1" x14ac:dyDescent="0.2"/>
    <row r="4218" s="38" customFormat="1" x14ac:dyDescent="0.2"/>
    <row r="4219" s="38" customFormat="1" x14ac:dyDescent="0.2"/>
    <row r="4220" s="38" customFormat="1" x14ac:dyDescent="0.2"/>
    <row r="4221" s="38" customFormat="1" x14ac:dyDescent="0.2"/>
    <row r="4222" s="38" customFormat="1" x14ac:dyDescent="0.2"/>
    <row r="4223" s="38" customFormat="1" x14ac:dyDescent="0.2"/>
    <row r="4224" s="38" customFormat="1" x14ac:dyDescent="0.2"/>
    <row r="4225" s="38" customFormat="1" x14ac:dyDescent="0.2"/>
    <row r="4226" s="38" customFormat="1" x14ac:dyDescent="0.2"/>
    <row r="4227" s="38" customFormat="1" x14ac:dyDescent="0.2"/>
    <row r="4228" s="38" customFormat="1" x14ac:dyDescent="0.2"/>
    <row r="4229" s="38" customFormat="1" x14ac:dyDescent="0.2"/>
    <row r="4230" s="38" customFormat="1" x14ac:dyDescent="0.2"/>
    <row r="4231" s="38" customFormat="1" x14ac:dyDescent="0.2"/>
    <row r="4232" s="38" customFormat="1" x14ac:dyDescent="0.2"/>
    <row r="4233" s="38" customFormat="1" x14ac:dyDescent="0.2"/>
    <row r="4234" s="38" customFormat="1" x14ac:dyDescent="0.2"/>
    <row r="4235" s="38" customFormat="1" x14ac:dyDescent="0.2"/>
    <row r="4236" s="38" customFormat="1" x14ac:dyDescent="0.2"/>
    <row r="4237" s="38" customFormat="1" x14ac:dyDescent="0.2"/>
    <row r="4238" s="38" customFormat="1" x14ac:dyDescent="0.2"/>
    <row r="4239" s="38" customFormat="1" x14ac:dyDescent="0.2"/>
    <row r="4240" s="38" customFormat="1" x14ac:dyDescent="0.2"/>
    <row r="4241" s="38" customFormat="1" x14ac:dyDescent="0.2"/>
    <row r="4242" s="38" customFormat="1" x14ac:dyDescent="0.2"/>
    <row r="4243" s="38" customFormat="1" x14ac:dyDescent="0.2"/>
    <row r="4244" s="38" customFormat="1" x14ac:dyDescent="0.2"/>
    <row r="4245" s="38" customFormat="1" x14ac:dyDescent="0.2"/>
    <row r="4246" s="38" customFormat="1" x14ac:dyDescent="0.2"/>
    <row r="4247" s="38" customFormat="1" x14ac:dyDescent="0.2"/>
    <row r="4248" s="38" customFormat="1" x14ac:dyDescent="0.2"/>
    <row r="4249" s="38" customFormat="1" x14ac:dyDescent="0.2"/>
    <row r="4250" s="38" customFormat="1" x14ac:dyDescent="0.2"/>
    <row r="4251" s="38" customFormat="1" x14ac:dyDescent="0.2"/>
    <row r="4252" s="38" customFormat="1" x14ac:dyDescent="0.2"/>
    <row r="4253" s="38" customFormat="1" x14ac:dyDescent="0.2"/>
    <row r="4254" s="38" customFormat="1" x14ac:dyDescent="0.2"/>
    <row r="4255" s="38" customFormat="1" x14ac:dyDescent="0.2"/>
    <row r="4256" s="38" customFormat="1" x14ac:dyDescent="0.2"/>
    <row r="4257" s="38" customFormat="1" x14ac:dyDescent="0.2"/>
    <row r="4258" s="38" customFormat="1" x14ac:dyDescent="0.2"/>
    <row r="4259" s="38" customFormat="1" x14ac:dyDescent="0.2"/>
    <row r="4260" s="38" customFormat="1" x14ac:dyDescent="0.2"/>
    <row r="4261" s="38" customFormat="1" x14ac:dyDescent="0.2"/>
    <row r="4262" s="38" customFormat="1" x14ac:dyDescent="0.2"/>
    <row r="4263" s="38" customFormat="1" x14ac:dyDescent="0.2"/>
    <row r="4264" s="38" customFormat="1" x14ac:dyDescent="0.2"/>
    <row r="4265" s="38" customFormat="1" x14ac:dyDescent="0.2"/>
    <row r="4266" s="38" customFormat="1" x14ac:dyDescent="0.2"/>
    <row r="4267" s="38" customFormat="1" x14ac:dyDescent="0.2"/>
    <row r="4268" s="38" customFormat="1" x14ac:dyDescent="0.2"/>
    <row r="4269" s="38" customFormat="1" x14ac:dyDescent="0.2"/>
    <row r="4270" s="38" customFormat="1" x14ac:dyDescent="0.2"/>
    <row r="4271" s="38" customFormat="1" x14ac:dyDescent="0.2"/>
    <row r="4272" s="38" customFormat="1" x14ac:dyDescent="0.2"/>
    <row r="4273" s="38" customFormat="1" x14ac:dyDescent="0.2"/>
    <row r="4274" s="38" customFormat="1" x14ac:dyDescent="0.2"/>
    <row r="4275" s="38" customFormat="1" x14ac:dyDescent="0.2"/>
    <row r="4276" s="38" customFormat="1" x14ac:dyDescent="0.2"/>
    <row r="4277" s="38" customFormat="1" x14ac:dyDescent="0.2"/>
    <row r="4278" s="38" customFormat="1" x14ac:dyDescent="0.2"/>
    <row r="4279" s="38" customFormat="1" x14ac:dyDescent="0.2"/>
    <row r="4280" s="38" customFormat="1" x14ac:dyDescent="0.2"/>
    <row r="4281" s="38" customFormat="1" x14ac:dyDescent="0.2"/>
    <row r="4282" s="38" customFormat="1" x14ac:dyDescent="0.2"/>
    <row r="4283" s="38" customFormat="1" x14ac:dyDescent="0.2"/>
    <row r="4284" s="38" customFormat="1" x14ac:dyDescent="0.2"/>
    <row r="4285" s="38" customFormat="1" x14ac:dyDescent="0.2"/>
    <row r="4286" s="38" customFormat="1" x14ac:dyDescent="0.2"/>
    <row r="4287" s="38" customFormat="1" x14ac:dyDescent="0.2"/>
    <row r="4288" s="38" customFormat="1" x14ac:dyDescent="0.2"/>
    <row r="4289" s="38" customFormat="1" x14ac:dyDescent="0.2"/>
    <row r="4290" s="38" customFormat="1" x14ac:dyDescent="0.2"/>
    <row r="4291" s="38" customFormat="1" x14ac:dyDescent="0.2"/>
    <row r="4292" s="38" customFormat="1" x14ac:dyDescent="0.2"/>
    <row r="4293" s="38" customFormat="1" x14ac:dyDescent="0.2"/>
    <row r="4294" s="38" customFormat="1" x14ac:dyDescent="0.2"/>
    <row r="4295" s="38" customFormat="1" x14ac:dyDescent="0.2"/>
    <row r="4296" s="38" customFormat="1" x14ac:dyDescent="0.2"/>
    <row r="4297" s="38" customFormat="1" x14ac:dyDescent="0.2"/>
    <row r="4298" s="38" customFormat="1" x14ac:dyDescent="0.2"/>
    <row r="4299" s="38" customFormat="1" x14ac:dyDescent="0.2"/>
    <row r="4300" s="38" customFormat="1" x14ac:dyDescent="0.2"/>
    <row r="4301" s="38" customFormat="1" x14ac:dyDescent="0.2"/>
    <row r="4302" s="38" customFormat="1" x14ac:dyDescent="0.2"/>
    <row r="4303" s="38" customFormat="1" x14ac:dyDescent="0.2"/>
    <row r="4304" s="38" customFormat="1" x14ac:dyDescent="0.2"/>
    <row r="4305" s="38" customFormat="1" x14ac:dyDescent="0.2"/>
    <row r="4306" s="38" customFormat="1" x14ac:dyDescent="0.2"/>
    <row r="4307" s="38" customFormat="1" x14ac:dyDescent="0.2"/>
    <row r="4308" s="38" customFormat="1" x14ac:dyDescent="0.2"/>
    <row r="4309" s="38" customFormat="1" x14ac:dyDescent="0.2"/>
    <row r="4310" s="38" customFormat="1" x14ac:dyDescent="0.2"/>
    <row r="4311" s="38" customFormat="1" x14ac:dyDescent="0.2"/>
    <row r="4312" s="38" customFormat="1" x14ac:dyDescent="0.2"/>
    <row r="4313" s="38" customFormat="1" x14ac:dyDescent="0.2"/>
    <row r="4314" s="38" customFormat="1" x14ac:dyDescent="0.2"/>
    <row r="4315" s="38" customFormat="1" x14ac:dyDescent="0.2"/>
    <row r="4316" s="38" customFormat="1" x14ac:dyDescent="0.2"/>
    <row r="4317" s="38" customFormat="1" x14ac:dyDescent="0.2"/>
    <row r="4318" s="38" customFormat="1" x14ac:dyDescent="0.2"/>
    <row r="4319" s="38" customFormat="1" x14ac:dyDescent="0.2"/>
    <row r="4320" s="38" customFormat="1" x14ac:dyDescent="0.2"/>
    <row r="4321" s="38" customFormat="1" x14ac:dyDescent="0.2"/>
    <row r="4322" s="38" customFormat="1" x14ac:dyDescent="0.2"/>
    <row r="4323" s="38" customFormat="1" x14ac:dyDescent="0.2"/>
    <row r="4324" s="38" customFormat="1" x14ac:dyDescent="0.2"/>
    <row r="4325" s="38" customFormat="1" x14ac:dyDescent="0.2"/>
    <row r="4326" s="38" customFormat="1" x14ac:dyDescent="0.2"/>
    <row r="4327" s="38" customFormat="1" x14ac:dyDescent="0.2"/>
    <row r="4328" s="38" customFormat="1" x14ac:dyDescent="0.2"/>
    <row r="4329" s="38" customFormat="1" x14ac:dyDescent="0.2"/>
    <row r="4330" s="38" customFormat="1" x14ac:dyDescent="0.2"/>
    <row r="4331" s="38" customFormat="1" x14ac:dyDescent="0.2"/>
    <row r="4332" s="38" customFormat="1" x14ac:dyDescent="0.2"/>
    <row r="4333" s="38" customFormat="1" x14ac:dyDescent="0.2"/>
    <row r="4334" s="38" customFormat="1" x14ac:dyDescent="0.2"/>
    <row r="4335" s="38" customFormat="1" x14ac:dyDescent="0.2"/>
    <row r="4336" s="38" customFormat="1" x14ac:dyDescent="0.2"/>
    <row r="4337" s="38" customFormat="1" x14ac:dyDescent="0.2"/>
    <row r="4338" s="38" customFormat="1" x14ac:dyDescent="0.2"/>
    <row r="4339" s="38" customFormat="1" x14ac:dyDescent="0.2"/>
    <row r="4340" s="38" customFormat="1" x14ac:dyDescent="0.2"/>
    <row r="4341" s="38" customFormat="1" x14ac:dyDescent="0.2"/>
    <row r="4342" s="38" customFormat="1" x14ac:dyDescent="0.2"/>
    <row r="4343" s="38" customFormat="1" x14ac:dyDescent="0.2"/>
    <row r="4344" s="38" customFormat="1" x14ac:dyDescent="0.2"/>
    <row r="4345" s="38" customFormat="1" x14ac:dyDescent="0.2"/>
    <row r="4346" s="38" customFormat="1" x14ac:dyDescent="0.2"/>
    <row r="4347" s="38" customFormat="1" x14ac:dyDescent="0.2"/>
    <row r="4348" s="38" customFormat="1" x14ac:dyDescent="0.2"/>
    <row r="4349" s="38" customFormat="1" x14ac:dyDescent="0.2"/>
    <row r="4350" s="38" customFormat="1" x14ac:dyDescent="0.2"/>
    <row r="4351" s="38" customFormat="1" x14ac:dyDescent="0.2"/>
    <row r="4352" s="38" customFormat="1" x14ac:dyDescent="0.2"/>
    <row r="4353" s="38" customFormat="1" x14ac:dyDescent="0.2"/>
    <row r="4354" s="38" customFormat="1" x14ac:dyDescent="0.2"/>
    <row r="4355" s="38" customFormat="1" x14ac:dyDescent="0.2"/>
    <row r="4356" s="38" customFormat="1" x14ac:dyDescent="0.2"/>
    <row r="4357" s="38" customFormat="1" x14ac:dyDescent="0.2"/>
    <row r="4358" s="38" customFormat="1" x14ac:dyDescent="0.2"/>
    <row r="4359" s="38" customFormat="1" x14ac:dyDescent="0.2"/>
    <row r="4360" s="38" customFormat="1" x14ac:dyDescent="0.2"/>
    <row r="4361" s="38" customFormat="1" x14ac:dyDescent="0.2"/>
    <row r="4362" s="38" customFormat="1" x14ac:dyDescent="0.2"/>
    <row r="4363" s="38" customFormat="1" x14ac:dyDescent="0.2"/>
    <row r="4364" s="38" customFormat="1" x14ac:dyDescent="0.2"/>
    <row r="4365" s="38" customFormat="1" x14ac:dyDescent="0.2"/>
    <row r="4366" s="38" customFormat="1" x14ac:dyDescent="0.2"/>
    <row r="4367" s="38" customFormat="1" x14ac:dyDescent="0.2"/>
    <row r="4368" s="38" customFormat="1" x14ac:dyDescent="0.2"/>
    <row r="4369" s="38" customFormat="1" x14ac:dyDescent="0.2"/>
    <row r="4370" s="38" customFormat="1" x14ac:dyDescent="0.2"/>
    <row r="4371" s="38" customFormat="1" x14ac:dyDescent="0.2"/>
    <row r="4372" s="38" customFormat="1" x14ac:dyDescent="0.2"/>
    <row r="4373" s="38" customFormat="1" x14ac:dyDescent="0.2"/>
    <row r="4374" s="38" customFormat="1" x14ac:dyDescent="0.2"/>
    <row r="4375" s="38" customFormat="1" x14ac:dyDescent="0.2"/>
    <row r="4376" s="38" customFormat="1" x14ac:dyDescent="0.2"/>
    <row r="4377" s="38" customFormat="1" x14ac:dyDescent="0.2"/>
    <row r="4378" s="38" customFormat="1" x14ac:dyDescent="0.2"/>
    <row r="4379" s="38" customFormat="1" x14ac:dyDescent="0.2"/>
    <row r="4380" s="38" customFormat="1" x14ac:dyDescent="0.2"/>
    <row r="4381" s="38" customFormat="1" x14ac:dyDescent="0.2"/>
    <row r="4382" s="38" customFormat="1" x14ac:dyDescent="0.2"/>
    <row r="4383" s="38" customFormat="1" x14ac:dyDescent="0.2"/>
    <row r="4384" s="38" customFormat="1" x14ac:dyDescent="0.2"/>
    <row r="4385" s="38" customFormat="1" x14ac:dyDescent="0.2"/>
    <row r="4386" s="38" customFormat="1" x14ac:dyDescent="0.2"/>
    <row r="4387" s="38" customFormat="1" x14ac:dyDescent="0.2"/>
    <row r="4388" s="38" customFormat="1" x14ac:dyDescent="0.2"/>
    <row r="4389" s="38" customFormat="1" x14ac:dyDescent="0.2"/>
    <row r="4390" s="38" customFormat="1" x14ac:dyDescent="0.2"/>
    <row r="4391" s="38" customFormat="1" x14ac:dyDescent="0.2"/>
    <row r="4392" s="38" customFormat="1" x14ac:dyDescent="0.2"/>
    <row r="4393" s="38" customFormat="1" x14ac:dyDescent="0.2"/>
    <row r="4394" s="38" customFormat="1" x14ac:dyDescent="0.2"/>
    <row r="4395" s="38" customFormat="1" x14ac:dyDescent="0.2"/>
    <row r="4396" s="38" customFormat="1" x14ac:dyDescent="0.2"/>
    <row r="4397" s="38" customFormat="1" x14ac:dyDescent="0.2"/>
    <row r="4398" s="38" customFormat="1" x14ac:dyDescent="0.2"/>
    <row r="4399" s="38" customFormat="1" x14ac:dyDescent="0.2"/>
    <row r="4400" s="38" customFormat="1" x14ac:dyDescent="0.2"/>
    <row r="4401" s="38" customFormat="1" x14ac:dyDescent="0.2"/>
    <row r="4402" s="38" customFormat="1" x14ac:dyDescent="0.2"/>
    <row r="4403" s="38" customFormat="1" x14ac:dyDescent="0.2"/>
    <row r="4404" s="38" customFormat="1" x14ac:dyDescent="0.2"/>
    <row r="4405" s="38" customFormat="1" x14ac:dyDescent="0.2"/>
    <row r="4406" s="38" customFormat="1" x14ac:dyDescent="0.2"/>
    <row r="4407" s="38" customFormat="1" x14ac:dyDescent="0.2"/>
    <row r="4408" s="38" customFormat="1" x14ac:dyDescent="0.2"/>
    <row r="4409" s="38" customFormat="1" x14ac:dyDescent="0.2"/>
    <row r="4410" s="38" customFormat="1" x14ac:dyDescent="0.2"/>
    <row r="4411" s="38" customFormat="1" x14ac:dyDescent="0.2"/>
    <row r="4412" s="38" customFormat="1" x14ac:dyDescent="0.2"/>
    <row r="4413" s="38" customFormat="1" x14ac:dyDescent="0.2"/>
    <row r="4414" s="38" customFormat="1" x14ac:dyDescent="0.2"/>
    <row r="4415" s="38" customFormat="1" x14ac:dyDescent="0.2"/>
    <row r="4416" s="38" customFormat="1" x14ac:dyDescent="0.2"/>
    <row r="4417" s="38" customFormat="1" x14ac:dyDescent="0.2"/>
    <row r="4418" s="38" customFormat="1" x14ac:dyDescent="0.2"/>
    <row r="4419" s="38" customFormat="1" x14ac:dyDescent="0.2"/>
    <row r="4420" s="38" customFormat="1" x14ac:dyDescent="0.2"/>
    <row r="4421" s="38" customFormat="1" x14ac:dyDescent="0.2"/>
    <row r="4422" s="38" customFormat="1" x14ac:dyDescent="0.2"/>
    <row r="4423" s="38" customFormat="1" x14ac:dyDescent="0.2"/>
    <row r="4424" s="38" customFormat="1" x14ac:dyDescent="0.2"/>
    <row r="4425" s="38" customFormat="1" x14ac:dyDescent="0.2"/>
    <row r="4426" s="38" customFormat="1" x14ac:dyDescent="0.2"/>
    <row r="4427" s="38" customFormat="1" x14ac:dyDescent="0.2"/>
    <row r="4428" s="38" customFormat="1" x14ac:dyDescent="0.2"/>
    <row r="4429" s="38" customFormat="1" x14ac:dyDescent="0.2"/>
    <row r="4430" s="38" customFormat="1" x14ac:dyDescent="0.2"/>
    <row r="4431" s="38" customFormat="1" x14ac:dyDescent="0.2"/>
    <row r="4432" s="38" customFormat="1" x14ac:dyDescent="0.2"/>
    <row r="4433" s="38" customFormat="1" x14ac:dyDescent="0.2"/>
    <row r="4434" s="38" customFormat="1" x14ac:dyDescent="0.2"/>
    <row r="4435" s="38" customFormat="1" x14ac:dyDescent="0.2"/>
    <row r="4436" s="38" customFormat="1" x14ac:dyDescent="0.2"/>
    <row r="4437" s="38" customFormat="1" x14ac:dyDescent="0.2"/>
    <row r="4438" s="38" customFormat="1" x14ac:dyDescent="0.2"/>
    <row r="4439" s="38" customFormat="1" x14ac:dyDescent="0.2"/>
    <row r="4440" s="38" customFormat="1" x14ac:dyDescent="0.2"/>
    <row r="4441" s="38" customFormat="1" x14ac:dyDescent="0.2"/>
    <row r="4442" s="38" customFormat="1" x14ac:dyDescent="0.2"/>
    <row r="4443" s="38" customFormat="1" x14ac:dyDescent="0.2"/>
    <row r="4444" s="38" customFormat="1" x14ac:dyDescent="0.2"/>
    <row r="4445" s="38" customFormat="1" x14ac:dyDescent="0.2"/>
    <row r="4446" s="38" customFormat="1" x14ac:dyDescent="0.2"/>
    <row r="4447" s="38" customFormat="1" x14ac:dyDescent="0.2"/>
    <row r="4448" s="38" customFormat="1" x14ac:dyDescent="0.2"/>
    <row r="4449" s="38" customFormat="1" x14ac:dyDescent="0.2"/>
    <row r="4450" s="38" customFormat="1" x14ac:dyDescent="0.2"/>
    <row r="4451" s="38" customFormat="1" x14ac:dyDescent="0.2"/>
    <row r="4452" s="38" customFormat="1" x14ac:dyDescent="0.2"/>
    <row r="4453" s="38" customFormat="1" x14ac:dyDescent="0.2"/>
    <row r="4454" s="38" customFormat="1" x14ac:dyDescent="0.2"/>
    <row r="4455" s="38" customFormat="1" x14ac:dyDescent="0.2"/>
    <row r="4456" s="38" customFormat="1" x14ac:dyDescent="0.2"/>
    <row r="4457" s="38" customFormat="1" x14ac:dyDescent="0.2"/>
    <row r="4458" s="38" customFormat="1" x14ac:dyDescent="0.2"/>
    <row r="4459" s="38" customFormat="1" x14ac:dyDescent="0.2"/>
    <row r="4460" s="38" customFormat="1" x14ac:dyDescent="0.2"/>
    <row r="4461" s="38" customFormat="1" x14ac:dyDescent="0.2"/>
    <row r="4462" s="38" customFormat="1" x14ac:dyDescent="0.2"/>
    <row r="4463" s="38" customFormat="1" x14ac:dyDescent="0.2"/>
    <row r="4464" s="38" customFormat="1" x14ac:dyDescent="0.2"/>
    <row r="4465" s="38" customFormat="1" x14ac:dyDescent="0.2"/>
    <row r="4466" s="38" customFormat="1" x14ac:dyDescent="0.2"/>
    <row r="4467" s="38" customFormat="1" x14ac:dyDescent="0.2"/>
    <row r="4468" s="38" customFormat="1" x14ac:dyDescent="0.2"/>
    <row r="4469" s="38" customFormat="1" x14ac:dyDescent="0.2"/>
    <row r="4470" s="38" customFormat="1" x14ac:dyDescent="0.2"/>
    <row r="4471" s="38" customFormat="1" x14ac:dyDescent="0.2"/>
    <row r="4472" s="38" customFormat="1" x14ac:dyDescent="0.2"/>
    <row r="4473" s="38" customFormat="1" x14ac:dyDescent="0.2"/>
    <row r="4474" s="38" customFormat="1" x14ac:dyDescent="0.2"/>
    <row r="4475" s="38" customFormat="1" x14ac:dyDescent="0.2"/>
    <row r="4476" s="38" customFormat="1" x14ac:dyDescent="0.2"/>
    <row r="4477" s="38" customFormat="1" x14ac:dyDescent="0.2"/>
    <row r="4478" s="38" customFormat="1" x14ac:dyDescent="0.2"/>
    <row r="4479" s="38" customFormat="1" x14ac:dyDescent="0.2"/>
    <row r="4480" s="38" customFormat="1" x14ac:dyDescent="0.2"/>
    <row r="4481" s="38" customFormat="1" x14ac:dyDescent="0.2"/>
    <row r="4482" s="38" customFormat="1" x14ac:dyDescent="0.2"/>
    <row r="4483" s="38" customFormat="1" x14ac:dyDescent="0.2"/>
    <row r="4484" s="38" customFormat="1" x14ac:dyDescent="0.2"/>
    <row r="4485" s="38" customFormat="1" x14ac:dyDescent="0.2"/>
    <row r="4486" s="38" customFormat="1" x14ac:dyDescent="0.2"/>
    <row r="4487" s="38" customFormat="1" x14ac:dyDescent="0.2"/>
    <row r="4488" s="38" customFormat="1" x14ac:dyDescent="0.2"/>
    <row r="4489" s="38" customFormat="1" x14ac:dyDescent="0.2"/>
    <row r="4490" s="38" customFormat="1" x14ac:dyDescent="0.2"/>
    <row r="4491" s="38" customFormat="1" x14ac:dyDescent="0.2"/>
    <row r="4492" s="38" customFormat="1" x14ac:dyDescent="0.2"/>
    <row r="4493" s="38" customFormat="1" x14ac:dyDescent="0.2"/>
    <row r="4494" s="38" customFormat="1" x14ac:dyDescent="0.2"/>
    <row r="4495" s="38" customFormat="1" x14ac:dyDescent="0.2"/>
    <row r="4496" s="38" customFormat="1" x14ac:dyDescent="0.2"/>
    <row r="4497" s="38" customFormat="1" x14ac:dyDescent="0.2"/>
    <row r="4498" s="38" customFormat="1" x14ac:dyDescent="0.2"/>
    <row r="4499" s="38" customFormat="1" x14ac:dyDescent="0.2"/>
    <row r="4500" s="38" customFormat="1" x14ac:dyDescent="0.2"/>
    <row r="4501" s="38" customFormat="1" x14ac:dyDescent="0.2"/>
    <row r="4502" s="38" customFormat="1" x14ac:dyDescent="0.2"/>
    <row r="4503" s="38" customFormat="1" x14ac:dyDescent="0.2"/>
    <row r="4504" s="38" customFormat="1" x14ac:dyDescent="0.2"/>
    <row r="4505" s="38" customFormat="1" x14ac:dyDescent="0.2"/>
    <row r="4506" s="38" customFormat="1" x14ac:dyDescent="0.2"/>
    <row r="4507" s="38" customFormat="1" x14ac:dyDescent="0.2"/>
    <row r="4508" s="38" customFormat="1" x14ac:dyDescent="0.2"/>
    <row r="4509" s="38" customFormat="1" x14ac:dyDescent="0.2"/>
    <row r="4510" s="38" customFormat="1" x14ac:dyDescent="0.2"/>
    <row r="4511" s="38" customFormat="1" x14ac:dyDescent="0.2"/>
    <row r="4512" s="38" customFormat="1" x14ac:dyDescent="0.2"/>
    <row r="4513" s="38" customFormat="1" x14ac:dyDescent="0.2"/>
    <row r="4514" s="38" customFormat="1" x14ac:dyDescent="0.2"/>
    <row r="4515" s="38" customFormat="1" x14ac:dyDescent="0.2"/>
    <row r="4516" s="38" customFormat="1" x14ac:dyDescent="0.2"/>
    <row r="4517" s="38" customFormat="1" x14ac:dyDescent="0.2"/>
    <row r="4518" s="38" customFormat="1" x14ac:dyDescent="0.2"/>
    <row r="4519" s="38" customFormat="1" x14ac:dyDescent="0.2"/>
    <row r="4520" s="38" customFormat="1" x14ac:dyDescent="0.2"/>
    <row r="4521" s="38" customFormat="1" x14ac:dyDescent="0.2"/>
    <row r="4522" s="38" customFormat="1" x14ac:dyDescent="0.2"/>
    <row r="4523" s="38" customFormat="1" x14ac:dyDescent="0.2"/>
    <row r="4524" s="38" customFormat="1" x14ac:dyDescent="0.2"/>
    <row r="4525" s="38" customFormat="1" x14ac:dyDescent="0.2"/>
    <row r="4526" s="38" customFormat="1" x14ac:dyDescent="0.2"/>
    <row r="4527" s="38" customFormat="1" x14ac:dyDescent="0.2"/>
    <row r="4528" s="38" customFormat="1" x14ac:dyDescent="0.2"/>
    <row r="4529" s="38" customFormat="1" x14ac:dyDescent="0.2"/>
    <row r="4530" s="38" customFormat="1" x14ac:dyDescent="0.2"/>
    <row r="4531" s="38" customFormat="1" x14ac:dyDescent="0.2"/>
    <row r="4532" s="38" customFormat="1" x14ac:dyDescent="0.2"/>
    <row r="4533" s="38" customFormat="1" x14ac:dyDescent="0.2"/>
    <row r="4534" s="38" customFormat="1" x14ac:dyDescent="0.2"/>
    <row r="4535" s="38" customFormat="1" x14ac:dyDescent="0.2"/>
    <row r="4536" s="38" customFormat="1" x14ac:dyDescent="0.2"/>
    <row r="4537" s="38" customFormat="1" x14ac:dyDescent="0.2"/>
    <row r="4538" s="38" customFormat="1" x14ac:dyDescent="0.2"/>
    <row r="4539" s="38" customFormat="1" x14ac:dyDescent="0.2"/>
    <row r="4540" s="38" customFormat="1" x14ac:dyDescent="0.2"/>
    <row r="4541" s="38" customFormat="1" x14ac:dyDescent="0.2"/>
    <row r="4542" s="38" customFormat="1" x14ac:dyDescent="0.2"/>
    <row r="4543" s="38" customFormat="1" x14ac:dyDescent="0.2"/>
    <row r="4544" s="38" customFormat="1" x14ac:dyDescent="0.2"/>
    <row r="4545" s="38" customFormat="1" x14ac:dyDescent="0.2"/>
    <row r="4546" s="38" customFormat="1" x14ac:dyDescent="0.2"/>
    <row r="4547" s="38" customFormat="1" x14ac:dyDescent="0.2"/>
    <row r="4548" s="38" customFormat="1" x14ac:dyDescent="0.2"/>
    <row r="4549" s="38" customFormat="1" x14ac:dyDescent="0.2"/>
    <row r="4550" s="38" customFormat="1" x14ac:dyDescent="0.2"/>
    <row r="4551" s="38" customFormat="1" x14ac:dyDescent="0.2"/>
    <row r="4552" s="38" customFormat="1" x14ac:dyDescent="0.2"/>
    <row r="4553" s="38" customFormat="1" x14ac:dyDescent="0.2"/>
    <row r="4554" s="38" customFormat="1" x14ac:dyDescent="0.2"/>
    <row r="4555" s="38" customFormat="1" x14ac:dyDescent="0.2"/>
    <row r="4556" s="38" customFormat="1" x14ac:dyDescent="0.2"/>
    <row r="4557" s="38" customFormat="1" x14ac:dyDescent="0.2"/>
    <row r="4558" s="38" customFormat="1" x14ac:dyDescent="0.2"/>
    <row r="4559" s="38" customFormat="1" x14ac:dyDescent="0.2"/>
    <row r="4560" s="38" customFormat="1" x14ac:dyDescent="0.2"/>
    <row r="4561" s="38" customFormat="1" x14ac:dyDescent="0.2"/>
    <row r="4562" s="38" customFormat="1" x14ac:dyDescent="0.2"/>
    <row r="4563" s="38" customFormat="1" x14ac:dyDescent="0.2"/>
    <row r="4564" s="38" customFormat="1" x14ac:dyDescent="0.2"/>
    <row r="4565" s="38" customFormat="1" x14ac:dyDescent="0.2"/>
    <row r="4566" s="38" customFormat="1" x14ac:dyDescent="0.2"/>
    <row r="4567" s="38" customFormat="1" x14ac:dyDescent="0.2"/>
    <row r="4568" s="38" customFormat="1" x14ac:dyDescent="0.2"/>
    <row r="4569" s="38" customFormat="1" x14ac:dyDescent="0.2"/>
    <row r="4570" s="38" customFormat="1" x14ac:dyDescent="0.2"/>
    <row r="4571" s="38" customFormat="1" x14ac:dyDescent="0.2"/>
    <row r="4572" s="38" customFormat="1" x14ac:dyDescent="0.2"/>
    <row r="4573" s="38" customFormat="1" x14ac:dyDescent="0.2"/>
    <row r="4574" s="38" customFormat="1" x14ac:dyDescent="0.2"/>
    <row r="4575" s="38" customFormat="1" x14ac:dyDescent="0.2"/>
    <row r="4576" s="38" customFormat="1" x14ac:dyDescent="0.2"/>
    <row r="4577" s="38" customFormat="1" x14ac:dyDescent="0.2"/>
    <row r="4578" s="38" customFormat="1" x14ac:dyDescent="0.2"/>
    <row r="4579" s="38" customFormat="1" x14ac:dyDescent="0.2"/>
    <row r="4580" s="38" customFormat="1" x14ac:dyDescent="0.2"/>
    <row r="4581" s="38" customFormat="1" x14ac:dyDescent="0.2"/>
    <row r="4582" s="38" customFormat="1" x14ac:dyDescent="0.2"/>
    <row r="4583" s="38" customFormat="1" x14ac:dyDescent="0.2"/>
    <row r="4584" s="38" customFormat="1" x14ac:dyDescent="0.2"/>
    <row r="4585" s="38" customFormat="1" x14ac:dyDescent="0.2"/>
    <row r="4586" s="38" customFormat="1" x14ac:dyDescent="0.2"/>
    <row r="4587" s="38" customFormat="1" x14ac:dyDescent="0.2"/>
    <row r="4588" s="38" customFormat="1" x14ac:dyDescent="0.2"/>
    <row r="4589" s="38" customFormat="1" x14ac:dyDescent="0.2"/>
    <row r="4590" s="38" customFormat="1" x14ac:dyDescent="0.2"/>
    <row r="4591" s="38" customFormat="1" x14ac:dyDescent="0.2"/>
    <row r="4592" s="38" customFormat="1" x14ac:dyDescent="0.2"/>
    <row r="4593" s="38" customFormat="1" x14ac:dyDescent="0.2"/>
    <row r="4594" s="38" customFormat="1" x14ac:dyDescent="0.2"/>
    <row r="4595" s="38" customFormat="1" x14ac:dyDescent="0.2"/>
    <row r="4596" s="38" customFormat="1" x14ac:dyDescent="0.2"/>
    <row r="4597" s="38" customFormat="1" x14ac:dyDescent="0.2"/>
    <row r="4598" s="38" customFormat="1" x14ac:dyDescent="0.2"/>
    <row r="4599" s="38" customFormat="1" x14ac:dyDescent="0.2"/>
    <row r="4600" s="38" customFormat="1" x14ac:dyDescent="0.2"/>
    <row r="4601" s="38" customFormat="1" x14ac:dyDescent="0.2"/>
    <row r="4602" s="38" customFormat="1" x14ac:dyDescent="0.2"/>
    <row r="4603" s="38" customFormat="1" x14ac:dyDescent="0.2"/>
    <row r="4604" s="38" customFormat="1" x14ac:dyDescent="0.2"/>
    <row r="4605" s="38" customFormat="1" x14ac:dyDescent="0.2"/>
    <row r="4606" s="38" customFormat="1" x14ac:dyDescent="0.2"/>
    <row r="4607" s="38" customFormat="1" x14ac:dyDescent="0.2"/>
    <row r="4608" s="38" customFormat="1" x14ac:dyDescent="0.2"/>
    <row r="4609" s="38" customFormat="1" x14ac:dyDescent="0.2"/>
    <row r="4610" s="38" customFormat="1" x14ac:dyDescent="0.2"/>
    <row r="4611" s="38" customFormat="1" x14ac:dyDescent="0.2"/>
    <row r="4612" s="38" customFormat="1" x14ac:dyDescent="0.2"/>
    <row r="4613" s="38" customFormat="1" x14ac:dyDescent="0.2"/>
    <row r="4614" s="38" customFormat="1" x14ac:dyDescent="0.2"/>
    <row r="4615" s="38" customFormat="1" x14ac:dyDescent="0.2"/>
    <row r="4616" s="38" customFormat="1" x14ac:dyDescent="0.2"/>
    <row r="4617" s="38" customFormat="1" x14ac:dyDescent="0.2"/>
    <row r="4618" s="38" customFormat="1" x14ac:dyDescent="0.2"/>
    <row r="4619" s="38" customFormat="1" x14ac:dyDescent="0.2"/>
    <row r="4620" s="38" customFormat="1" x14ac:dyDescent="0.2"/>
    <row r="4621" s="38" customFormat="1" x14ac:dyDescent="0.2"/>
    <row r="4622" s="38" customFormat="1" x14ac:dyDescent="0.2"/>
    <row r="4623" s="38" customFormat="1" x14ac:dyDescent="0.2"/>
    <row r="4624" s="38" customFormat="1" x14ac:dyDescent="0.2"/>
    <row r="4625" s="38" customFormat="1" x14ac:dyDescent="0.2"/>
    <row r="4626" s="38" customFormat="1" x14ac:dyDescent="0.2"/>
    <row r="4627" s="38" customFormat="1" x14ac:dyDescent="0.2"/>
    <row r="4628" s="38" customFormat="1" x14ac:dyDescent="0.2"/>
    <row r="4629" s="38" customFormat="1" x14ac:dyDescent="0.2"/>
    <row r="4630" s="38" customFormat="1" x14ac:dyDescent="0.2"/>
    <row r="4631" s="38" customFormat="1" x14ac:dyDescent="0.2"/>
    <row r="4632" s="38" customFormat="1" x14ac:dyDescent="0.2"/>
    <row r="4633" s="38" customFormat="1" x14ac:dyDescent="0.2"/>
    <row r="4634" s="38" customFormat="1" x14ac:dyDescent="0.2"/>
    <row r="4635" s="38" customFormat="1" x14ac:dyDescent="0.2"/>
    <row r="4636" s="38" customFormat="1" x14ac:dyDescent="0.2"/>
    <row r="4637" s="38" customFormat="1" x14ac:dyDescent="0.2"/>
    <row r="4638" s="38" customFormat="1" x14ac:dyDescent="0.2"/>
    <row r="4639" s="38" customFormat="1" x14ac:dyDescent="0.2"/>
    <row r="4640" s="38" customFormat="1" x14ac:dyDescent="0.2"/>
    <row r="4641" s="38" customFormat="1" x14ac:dyDescent="0.2"/>
    <row r="4642" s="38" customFormat="1" x14ac:dyDescent="0.2"/>
    <row r="4643" s="38" customFormat="1" x14ac:dyDescent="0.2"/>
    <row r="4644" s="38" customFormat="1" x14ac:dyDescent="0.2"/>
    <row r="4645" s="38" customFormat="1" x14ac:dyDescent="0.2"/>
    <row r="4646" s="38" customFormat="1" x14ac:dyDescent="0.2"/>
    <row r="4647" s="38" customFormat="1" x14ac:dyDescent="0.2"/>
    <row r="4648" s="38" customFormat="1" x14ac:dyDescent="0.2"/>
    <row r="4649" s="38" customFormat="1" x14ac:dyDescent="0.2"/>
    <row r="4650" s="38" customFormat="1" x14ac:dyDescent="0.2"/>
    <row r="4651" s="38" customFormat="1" x14ac:dyDescent="0.2"/>
    <row r="4652" s="38" customFormat="1" x14ac:dyDescent="0.2"/>
    <row r="4653" s="38" customFormat="1" x14ac:dyDescent="0.2"/>
    <row r="4654" s="38" customFormat="1" x14ac:dyDescent="0.2"/>
    <row r="4655" s="38" customFormat="1" x14ac:dyDescent="0.2"/>
    <row r="4656" s="38" customFormat="1" x14ac:dyDescent="0.2"/>
    <row r="4657" s="38" customFormat="1" x14ac:dyDescent="0.2"/>
    <row r="4658" s="38" customFormat="1" x14ac:dyDescent="0.2"/>
    <row r="4659" s="38" customFormat="1" x14ac:dyDescent="0.2"/>
    <row r="4660" s="38" customFormat="1" x14ac:dyDescent="0.2"/>
    <row r="4661" s="38" customFormat="1" x14ac:dyDescent="0.2"/>
    <row r="4662" s="38" customFormat="1" x14ac:dyDescent="0.2"/>
    <row r="4663" s="38" customFormat="1" x14ac:dyDescent="0.2"/>
    <row r="4664" s="38" customFormat="1" x14ac:dyDescent="0.2"/>
    <row r="4665" s="38" customFormat="1" x14ac:dyDescent="0.2"/>
    <row r="4666" s="38" customFormat="1" x14ac:dyDescent="0.2"/>
    <row r="4667" s="38" customFormat="1" x14ac:dyDescent="0.2"/>
    <row r="4668" s="38" customFormat="1" x14ac:dyDescent="0.2"/>
    <row r="4669" s="38" customFormat="1" x14ac:dyDescent="0.2"/>
    <row r="4670" s="38" customFormat="1" x14ac:dyDescent="0.2"/>
    <row r="4671" s="38" customFormat="1" x14ac:dyDescent="0.2"/>
    <row r="4672" s="38" customFormat="1" x14ac:dyDescent="0.2"/>
    <row r="4673" s="38" customFormat="1" x14ac:dyDescent="0.2"/>
    <row r="4674" s="38" customFormat="1" x14ac:dyDescent="0.2"/>
    <row r="4675" s="38" customFormat="1" x14ac:dyDescent="0.2"/>
    <row r="4676" s="38" customFormat="1" x14ac:dyDescent="0.2"/>
    <row r="4677" s="38" customFormat="1" x14ac:dyDescent="0.2"/>
    <row r="4678" s="38" customFormat="1" x14ac:dyDescent="0.2"/>
    <row r="4679" s="38" customFormat="1" x14ac:dyDescent="0.2"/>
    <row r="4680" s="38" customFormat="1" x14ac:dyDescent="0.2"/>
    <row r="4681" s="38" customFormat="1" x14ac:dyDescent="0.2"/>
    <row r="4682" s="38" customFormat="1" x14ac:dyDescent="0.2"/>
    <row r="4683" s="38" customFormat="1" x14ac:dyDescent="0.2"/>
    <row r="4684" s="38" customFormat="1" x14ac:dyDescent="0.2"/>
    <row r="4685" s="38" customFormat="1" x14ac:dyDescent="0.2"/>
    <row r="4686" s="38" customFormat="1" x14ac:dyDescent="0.2"/>
    <row r="4687" s="38" customFormat="1" x14ac:dyDescent="0.2"/>
    <row r="4688" s="38" customFormat="1" x14ac:dyDescent="0.2"/>
    <row r="4689" s="38" customFormat="1" x14ac:dyDescent="0.2"/>
    <row r="4690" s="38" customFormat="1" x14ac:dyDescent="0.2"/>
    <row r="4691" s="38" customFormat="1" x14ac:dyDescent="0.2"/>
    <row r="4692" s="38" customFormat="1" x14ac:dyDescent="0.2"/>
    <row r="4693" s="38" customFormat="1" x14ac:dyDescent="0.2"/>
    <row r="4694" s="38" customFormat="1" x14ac:dyDescent="0.2"/>
    <row r="4695" s="38" customFormat="1" x14ac:dyDescent="0.2"/>
    <row r="4696" s="38" customFormat="1" x14ac:dyDescent="0.2"/>
    <row r="4697" s="38" customFormat="1" x14ac:dyDescent="0.2"/>
    <row r="4698" s="38" customFormat="1" x14ac:dyDescent="0.2"/>
    <row r="4699" s="38" customFormat="1" x14ac:dyDescent="0.2"/>
    <row r="4700" s="38" customFormat="1" x14ac:dyDescent="0.2"/>
    <row r="4701" s="38" customFormat="1" x14ac:dyDescent="0.2"/>
    <row r="4702" s="38" customFormat="1" x14ac:dyDescent="0.2"/>
    <row r="4703" s="38" customFormat="1" x14ac:dyDescent="0.2"/>
    <row r="4704" s="38" customFormat="1" x14ac:dyDescent="0.2"/>
    <row r="4705" s="38" customFormat="1" x14ac:dyDescent="0.2"/>
    <row r="4706" s="38" customFormat="1" x14ac:dyDescent="0.2"/>
    <row r="4707" s="38" customFormat="1" x14ac:dyDescent="0.2"/>
    <row r="4708" s="38" customFormat="1" x14ac:dyDescent="0.2"/>
    <row r="4709" s="38" customFormat="1" x14ac:dyDescent="0.2"/>
    <row r="4710" s="38" customFormat="1" x14ac:dyDescent="0.2"/>
    <row r="4711" s="38" customFormat="1" x14ac:dyDescent="0.2"/>
    <row r="4712" s="38" customFormat="1" x14ac:dyDescent="0.2"/>
    <row r="4713" s="38" customFormat="1" x14ac:dyDescent="0.2"/>
    <row r="4714" s="38" customFormat="1" x14ac:dyDescent="0.2"/>
    <row r="4715" s="38" customFormat="1" x14ac:dyDescent="0.2"/>
    <row r="4716" s="38" customFormat="1" x14ac:dyDescent="0.2"/>
    <row r="4717" s="38" customFormat="1" x14ac:dyDescent="0.2"/>
    <row r="4718" s="38" customFormat="1" x14ac:dyDescent="0.2"/>
    <row r="4719" s="38" customFormat="1" x14ac:dyDescent="0.2"/>
    <row r="4720" s="38" customFormat="1" x14ac:dyDescent="0.2"/>
    <row r="4721" s="38" customFormat="1" x14ac:dyDescent="0.2"/>
    <row r="4722" s="38" customFormat="1" x14ac:dyDescent="0.2"/>
    <row r="4723" s="38" customFormat="1" x14ac:dyDescent="0.2"/>
    <row r="4724" s="38" customFormat="1" x14ac:dyDescent="0.2"/>
    <row r="4725" s="38" customFormat="1" x14ac:dyDescent="0.2"/>
    <row r="4726" s="38" customFormat="1" x14ac:dyDescent="0.2"/>
    <row r="4727" s="38" customFormat="1" x14ac:dyDescent="0.2"/>
    <row r="4728" s="38" customFormat="1" x14ac:dyDescent="0.2"/>
    <row r="4729" s="38" customFormat="1" x14ac:dyDescent="0.2"/>
    <row r="4730" s="38" customFormat="1" x14ac:dyDescent="0.2"/>
    <row r="4731" s="38" customFormat="1" x14ac:dyDescent="0.2"/>
    <row r="4732" s="38" customFormat="1" x14ac:dyDescent="0.2"/>
    <row r="4733" s="38" customFormat="1" x14ac:dyDescent="0.2"/>
    <row r="4734" s="38" customFormat="1" x14ac:dyDescent="0.2"/>
    <row r="4735" s="38" customFormat="1" x14ac:dyDescent="0.2"/>
    <row r="4736" s="38" customFormat="1" x14ac:dyDescent="0.2"/>
    <row r="4737" s="38" customFormat="1" x14ac:dyDescent="0.2"/>
    <row r="4738" s="38" customFormat="1" x14ac:dyDescent="0.2"/>
    <row r="4739" s="38" customFormat="1" x14ac:dyDescent="0.2"/>
    <row r="4740" s="38" customFormat="1" x14ac:dyDescent="0.2"/>
    <row r="4741" s="38" customFormat="1" x14ac:dyDescent="0.2"/>
    <row r="4742" s="38" customFormat="1" x14ac:dyDescent="0.2"/>
    <row r="4743" s="38" customFormat="1" x14ac:dyDescent="0.2"/>
    <row r="4744" s="38" customFormat="1" x14ac:dyDescent="0.2"/>
    <row r="4745" s="38" customFormat="1" x14ac:dyDescent="0.2"/>
    <row r="4746" s="38" customFormat="1" x14ac:dyDescent="0.2"/>
    <row r="4747" s="38" customFormat="1" x14ac:dyDescent="0.2"/>
    <row r="4748" s="38" customFormat="1" x14ac:dyDescent="0.2"/>
    <row r="4749" s="38" customFormat="1" x14ac:dyDescent="0.2"/>
    <row r="4750" s="38" customFormat="1" x14ac:dyDescent="0.2"/>
    <row r="4751" s="38" customFormat="1" x14ac:dyDescent="0.2"/>
    <row r="4752" s="38" customFormat="1" x14ac:dyDescent="0.2"/>
    <row r="4753" s="38" customFormat="1" x14ac:dyDescent="0.2"/>
    <row r="4754" s="38" customFormat="1" x14ac:dyDescent="0.2"/>
    <row r="4755" s="38" customFormat="1" x14ac:dyDescent="0.2"/>
    <row r="4756" s="38" customFormat="1" x14ac:dyDescent="0.2"/>
    <row r="4757" s="38" customFormat="1" x14ac:dyDescent="0.2"/>
    <row r="4758" s="38" customFormat="1" x14ac:dyDescent="0.2"/>
    <row r="4759" s="38" customFormat="1" x14ac:dyDescent="0.2"/>
    <row r="4760" s="38" customFormat="1" x14ac:dyDescent="0.2"/>
    <row r="4761" s="38" customFormat="1" x14ac:dyDescent="0.2"/>
    <row r="4762" s="38" customFormat="1" x14ac:dyDescent="0.2"/>
    <row r="4763" s="38" customFormat="1" x14ac:dyDescent="0.2"/>
    <row r="4764" s="38" customFormat="1" x14ac:dyDescent="0.2"/>
    <row r="4765" s="38" customFormat="1" x14ac:dyDescent="0.2"/>
    <row r="4766" s="38" customFormat="1" x14ac:dyDescent="0.2"/>
    <row r="4767" s="38" customFormat="1" x14ac:dyDescent="0.2"/>
    <row r="4768" s="38" customFormat="1" x14ac:dyDescent="0.2"/>
    <row r="4769" s="38" customFormat="1" x14ac:dyDescent="0.2"/>
    <row r="4770" s="38" customFormat="1" x14ac:dyDescent="0.2"/>
    <row r="4771" s="38" customFormat="1" x14ac:dyDescent="0.2"/>
    <row r="4772" s="38" customFormat="1" x14ac:dyDescent="0.2"/>
    <row r="4773" s="38" customFormat="1" x14ac:dyDescent="0.2"/>
    <row r="4774" s="38" customFormat="1" x14ac:dyDescent="0.2"/>
    <row r="4775" s="38" customFormat="1" x14ac:dyDescent="0.2"/>
    <row r="4776" s="38" customFormat="1" x14ac:dyDescent="0.2"/>
    <row r="4777" s="38" customFormat="1" x14ac:dyDescent="0.2"/>
    <row r="4778" s="38" customFormat="1" x14ac:dyDescent="0.2"/>
    <row r="4779" s="38" customFormat="1" x14ac:dyDescent="0.2"/>
    <row r="4780" s="38" customFormat="1" x14ac:dyDescent="0.2"/>
    <row r="4781" s="38" customFormat="1" x14ac:dyDescent="0.2"/>
    <row r="4782" s="38" customFormat="1" x14ac:dyDescent="0.2"/>
    <row r="4783" s="38" customFormat="1" x14ac:dyDescent="0.2"/>
    <row r="4784" s="38" customFormat="1" x14ac:dyDescent="0.2"/>
    <row r="4785" s="38" customFormat="1" x14ac:dyDescent="0.2"/>
    <row r="4786" s="38" customFormat="1" x14ac:dyDescent="0.2"/>
    <row r="4787" s="38" customFormat="1" x14ac:dyDescent="0.2"/>
    <row r="4788" s="38" customFormat="1" x14ac:dyDescent="0.2"/>
    <row r="4789" s="38" customFormat="1" x14ac:dyDescent="0.2"/>
    <row r="4790" s="38" customFormat="1" x14ac:dyDescent="0.2"/>
    <row r="4791" s="38" customFormat="1" x14ac:dyDescent="0.2"/>
    <row r="4792" s="38" customFormat="1" x14ac:dyDescent="0.2"/>
    <row r="4793" s="38" customFormat="1" x14ac:dyDescent="0.2"/>
    <row r="4794" s="38" customFormat="1" x14ac:dyDescent="0.2"/>
    <row r="4795" s="38" customFormat="1" x14ac:dyDescent="0.2"/>
    <row r="4796" s="38" customFormat="1" x14ac:dyDescent="0.2"/>
    <row r="4797" s="38" customFormat="1" x14ac:dyDescent="0.2"/>
    <row r="4798" s="38" customFormat="1" x14ac:dyDescent="0.2"/>
    <row r="4799" s="38" customFormat="1" x14ac:dyDescent="0.2"/>
    <row r="4800" s="38" customFormat="1" x14ac:dyDescent="0.2"/>
    <row r="4801" s="38" customFormat="1" x14ac:dyDescent="0.2"/>
    <row r="4802" s="38" customFormat="1" x14ac:dyDescent="0.2"/>
    <row r="4803" s="38" customFormat="1" x14ac:dyDescent="0.2"/>
    <row r="4804" s="38" customFormat="1" x14ac:dyDescent="0.2"/>
    <row r="4805" s="38" customFormat="1" x14ac:dyDescent="0.2"/>
    <row r="4806" s="38" customFormat="1" x14ac:dyDescent="0.2"/>
    <row r="4807" s="38" customFormat="1" x14ac:dyDescent="0.2"/>
    <row r="4808" s="38" customFormat="1" x14ac:dyDescent="0.2"/>
    <row r="4809" s="38" customFormat="1" x14ac:dyDescent="0.2"/>
    <row r="4810" s="38" customFormat="1" x14ac:dyDescent="0.2"/>
    <row r="4811" s="38" customFormat="1" x14ac:dyDescent="0.2"/>
    <row r="4812" s="38" customFormat="1" x14ac:dyDescent="0.2"/>
    <row r="4813" s="38" customFormat="1" x14ac:dyDescent="0.2"/>
    <row r="4814" s="38" customFormat="1" x14ac:dyDescent="0.2"/>
    <row r="4815" s="38" customFormat="1" x14ac:dyDescent="0.2"/>
    <row r="4816" s="38" customFormat="1" x14ac:dyDescent="0.2"/>
    <row r="4817" s="38" customFormat="1" x14ac:dyDescent="0.2"/>
    <row r="4818" s="38" customFormat="1" x14ac:dyDescent="0.2"/>
    <row r="4819" s="38" customFormat="1" x14ac:dyDescent="0.2"/>
    <row r="4820" s="38" customFormat="1" x14ac:dyDescent="0.2"/>
    <row r="4821" s="38" customFormat="1" x14ac:dyDescent="0.2"/>
    <row r="4822" s="38" customFormat="1" x14ac:dyDescent="0.2"/>
    <row r="4823" s="38" customFormat="1" x14ac:dyDescent="0.2"/>
    <row r="4824" s="38" customFormat="1" x14ac:dyDescent="0.2"/>
    <row r="4825" s="38" customFormat="1" x14ac:dyDescent="0.2"/>
    <row r="4826" s="38" customFormat="1" x14ac:dyDescent="0.2"/>
    <row r="4827" s="38" customFormat="1" x14ac:dyDescent="0.2"/>
    <row r="4828" s="38" customFormat="1" x14ac:dyDescent="0.2"/>
    <row r="4829" s="38" customFormat="1" x14ac:dyDescent="0.2"/>
    <row r="4830" s="38" customFormat="1" x14ac:dyDescent="0.2"/>
    <row r="4831" s="38" customFormat="1" x14ac:dyDescent="0.2"/>
    <row r="4832" s="38" customFormat="1" x14ac:dyDescent="0.2"/>
    <row r="4833" s="38" customFormat="1" x14ac:dyDescent="0.2"/>
    <row r="4834" s="38" customFormat="1" x14ac:dyDescent="0.2"/>
    <row r="4835" s="38" customFormat="1" x14ac:dyDescent="0.2"/>
    <row r="4836" s="38" customFormat="1" x14ac:dyDescent="0.2"/>
    <row r="4837" s="38" customFormat="1" x14ac:dyDescent="0.2"/>
    <row r="4838" s="38" customFormat="1" x14ac:dyDescent="0.2"/>
    <row r="4839" s="38" customFormat="1" x14ac:dyDescent="0.2"/>
    <row r="4840" s="38" customFormat="1" x14ac:dyDescent="0.2"/>
    <row r="4841" s="38" customFormat="1" x14ac:dyDescent="0.2"/>
    <row r="4842" s="38" customFormat="1" x14ac:dyDescent="0.2"/>
    <row r="4843" s="38" customFormat="1" x14ac:dyDescent="0.2"/>
    <row r="4844" s="38" customFormat="1" x14ac:dyDescent="0.2"/>
    <row r="4845" s="38" customFormat="1" x14ac:dyDescent="0.2"/>
    <row r="4846" s="38" customFormat="1" x14ac:dyDescent="0.2"/>
    <row r="4847" s="38" customFormat="1" x14ac:dyDescent="0.2"/>
    <row r="4848" s="38" customFormat="1" x14ac:dyDescent="0.2"/>
    <row r="4849" s="38" customFormat="1" x14ac:dyDescent="0.2"/>
    <row r="4850" s="38" customFormat="1" x14ac:dyDescent="0.2"/>
    <row r="4851" s="38" customFormat="1" x14ac:dyDescent="0.2"/>
    <row r="4852" s="38" customFormat="1" x14ac:dyDescent="0.2"/>
    <row r="4853" s="38" customFormat="1" x14ac:dyDescent="0.2"/>
    <row r="4854" s="38" customFormat="1" x14ac:dyDescent="0.2"/>
    <row r="4855" s="38" customFormat="1" x14ac:dyDescent="0.2"/>
    <row r="4856" s="38" customFormat="1" x14ac:dyDescent="0.2"/>
    <row r="4857" s="38" customFormat="1" x14ac:dyDescent="0.2"/>
    <row r="4858" s="38" customFormat="1" x14ac:dyDescent="0.2"/>
    <row r="4859" s="38" customFormat="1" x14ac:dyDescent="0.2"/>
    <row r="4860" s="38" customFormat="1" x14ac:dyDescent="0.2"/>
    <row r="4861" s="38" customFormat="1" x14ac:dyDescent="0.2"/>
    <row r="4862" s="38" customFormat="1" x14ac:dyDescent="0.2"/>
    <row r="4863" s="38" customFormat="1" x14ac:dyDescent="0.2"/>
    <row r="4864" s="38" customFormat="1" x14ac:dyDescent="0.2"/>
    <row r="4865" s="38" customFormat="1" x14ac:dyDescent="0.2"/>
    <row r="4866" s="38" customFormat="1" x14ac:dyDescent="0.2"/>
    <row r="4867" s="38" customFormat="1" x14ac:dyDescent="0.2"/>
    <row r="4868" s="38" customFormat="1" x14ac:dyDescent="0.2"/>
    <row r="4869" s="38" customFormat="1" x14ac:dyDescent="0.2"/>
    <row r="4870" s="38" customFormat="1" x14ac:dyDescent="0.2"/>
    <row r="4871" s="38" customFormat="1" x14ac:dyDescent="0.2"/>
    <row r="4872" s="38" customFormat="1" x14ac:dyDescent="0.2"/>
    <row r="4873" s="38" customFormat="1" x14ac:dyDescent="0.2"/>
    <row r="4874" s="38" customFormat="1" x14ac:dyDescent="0.2"/>
    <row r="4875" s="38" customFormat="1" x14ac:dyDescent="0.2"/>
    <row r="4876" s="38" customFormat="1" x14ac:dyDescent="0.2"/>
    <row r="4877" s="38" customFormat="1" x14ac:dyDescent="0.2"/>
    <row r="4878" s="38" customFormat="1" x14ac:dyDescent="0.2"/>
    <row r="4879" s="38" customFormat="1" x14ac:dyDescent="0.2"/>
    <row r="4880" s="38" customFormat="1" x14ac:dyDescent="0.2"/>
    <row r="4881" s="38" customFormat="1" x14ac:dyDescent="0.2"/>
    <row r="4882" s="38" customFormat="1" x14ac:dyDescent="0.2"/>
    <row r="4883" s="38" customFormat="1" x14ac:dyDescent="0.2"/>
    <row r="4884" s="38" customFormat="1" x14ac:dyDescent="0.2"/>
    <row r="4885" s="38" customFormat="1" x14ac:dyDescent="0.2"/>
    <row r="4886" s="38" customFormat="1" x14ac:dyDescent="0.2"/>
    <row r="4887" s="38" customFormat="1" x14ac:dyDescent="0.2"/>
    <row r="4888" s="38" customFormat="1" x14ac:dyDescent="0.2"/>
    <row r="4889" s="38" customFormat="1" x14ac:dyDescent="0.2"/>
    <row r="4890" s="38" customFormat="1" x14ac:dyDescent="0.2"/>
    <row r="4891" s="38" customFormat="1" x14ac:dyDescent="0.2"/>
    <row r="4892" s="38" customFormat="1" x14ac:dyDescent="0.2"/>
    <row r="4893" s="38" customFormat="1" x14ac:dyDescent="0.2"/>
    <row r="4894" s="38" customFormat="1" x14ac:dyDescent="0.2"/>
    <row r="4895" s="38" customFormat="1" x14ac:dyDescent="0.2"/>
    <row r="4896" s="38" customFormat="1" x14ac:dyDescent="0.2"/>
    <row r="4897" s="38" customFormat="1" x14ac:dyDescent="0.2"/>
    <row r="4898" s="38" customFormat="1" x14ac:dyDescent="0.2"/>
    <row r="4899" s="38" customFormat="1" x14ac:dyDescent="0.2"/>
    <row r="4900" s="38" customFormat="1" x14ac:dyDescent="0.2"/>
    <row r="4901" s="38" customFormat="1" x14ac:dyDescent="0.2"/>
    <row r="4902" s="38" customFormat="1" x14ac:dyDescent="0.2"/>
    <row r="4903" s="38" customFormat="1" x14ac:dyDescent="0.2"/>
    <row r="4904" s="38" customFormat="1" x14ac:dyDescent="0.2"/>
    <row r="4905" s="38" customFormat="1" x14ac:dyDescent="0.2"/>
    <row r="4906" s="38" customFormat="1" x14ac:dyDescent="0.2"/>
    <row r="4907" s="38" customFormat="1" x14ac:dyDescent="0.2"/>
    <row r="4908" s="38" customFormat="1" x14ac:dyDescent="0.2"/>
    <row r="4909" s="38" customFormat="1" x14ac:dyDescent="0.2"/>
    <row r="4910" s="38" customFormat="1" x14ac:dyDescent="0.2"/>
    <row r="4911" s="38" customFormat="1" x14ac:dyDescent="0.2"/>
    <row r="4912" s="38" customFormat="1" x14ac:dyDescent="0.2"/>
    <row r="4913" s="38" customFormat="1" x14ac:dyDescent="0.2"/>
    <row r="4914" s="38" customFormat="1" x14ac:dyDescent="0.2"/>
    <row r="4915" s="38" customFormat="1" x14ac:dyDescent="0.2"/>
    <row r="4916" s="38" customFormat="1" x14ac:dyDescent="0.2"/>
    <row r="4917" s="38" customFormat="1" x14ac:dyDescent="0.2"/>
    <row r="4918" s="38" customFormat="1" x14ac:dyDescent="0.2"/>
    <row r="4919" s="38" customFormat="1" x14ac:dyDescent="0.2"/>
    <row r="4920" s="38" customFormat="1" x14ac:dyDescent="0.2"/>
    <row r="4921" s="38" customFormat="1" x14ac:dyDescent="0.2"/>
    <row r="4922" s="38" customFormat="1" x14ac:dyDescent="0.2"/>
    <row r="4923" s="38" customFormat="1" x14ac:dyDescent="0.2"/>
    <row r="4924" s="38" customFormat="1" x14ac:dyDescent="0.2"/>
    <row r="4925" s="38" customFormat="1" x14ac:dyDescent="0.2"/>
    <row r="4926" s="38" customFormat="1" x14ac:dyDescent="0.2"/>
    <row r="4927" s="38" customFormat="1" x14ac:dyDescent="0.2"/>
    <row r="4928" s="38" customFormat="1" x14ac:dyDescent="0.2"/>
    <row r="4929" s="38" customFormat="1" x14ac:dyDescent="0.2"/>
    <row r="4930" s="38" customFormat="1" x14ac:dyDescent="0.2"/>
    <row r="4931" s="38" customFormat="1" x14ac:dyDescent="0.2"/>
    <row r="4932" s="38" customFormat="1" x14ac:dyDescent="0.2"/>
    <row r="4933" s="38" customFormat="1" x14ac:dyDescent="0.2"/>
    <row r="4934" s="38" customFormat="1" x14ac:dyDescent="0.2"/>
    <row r="4935" s="38" customFormat="1" x14ac:dyDescent="0.2"/>
    <row r="4936" s="38" customFormat="1" x14ac:dyDescent="0.2"/>
    <row r="4937" s="38" customFormat="1" x14ac:dyDescent="0.2"/>
    <row r="4938" s="38" customFormat="1" x14ac:dyDescent="0.2"/>
    <row r="4939" s="38" customFormat="1" x14ac:dyDescent="0.2"/>
    <row r="4940" s="38" customFormat="1" x14ac:dyDescent="0.2"/>
    <row r="4941" s="38" customFormat="1" x14ac:dyDescent="0.2"/>
    <row r="4942" s="38" customFormat="1" x14ac:dyDescent="0.2"/>
    <row r="4943" s="38" customFormat="1" x14ac:dyDescent="0.2"/>
    <row r="4944" s="38" customFormat="1" x14ac:dyDescent="0.2"/>
    <row r="4945" s="38" customFormat="1" x14ac:dyDescent="0.2"/>
    <row r="4946" s="38" customFormat="1" x14ac:dyDescent="0.2"/>
    <row r="4947" s="38" customFormat="1" x14ac:dyDescent="0.2"/>
    <row r="4948" s="38" customFormat="1" x14ac:dyDescent="0.2"/>
    <row r="4949" s="38" customFormat="1" x14ac:dyDescent="0.2"/>
    <row r="4950" s="38" customFormat="1" x14ac:dyDescent="0.2"/>
    <row r="4951" s="38" customFormat="1" x14ac:dyDescent="0.2"/>
    <row r="4952" s="38" customFormat="1" x14ac:dyDescent="0.2"/>
    <row r="4953" s="38" customFormat="1" x14ac:dyDescent="0.2"/>
    <row r="4954" s="38" customFormat="1" x14ac:dyDescent="0.2"/>
    <row r="4955" s="38" customFormat="1" x14ac:dyDescent="0.2"/>
    <row r="4956" s="38" customFormat="1" x14ac:dyDescent="0.2"/>
    <row r="4957" s="38" customFormat="1" x14ac:dyDescent="0.2"/>
    <row r="4958" s="38" customFormat="1" x14ac:dyDescent="0.2"/>
    <row r="4959" s="38" customFormat="1" x14ac:dyDescent="0.2"/>
    <row r="4960" s="38" customFormat="1" x14ac:dyDescent="0.2"/>
    <row r="4961" s="38" customFormat="1" x14ac:dyDescent="0.2"/>
    <row r="4962" s="38" customFormat="1" x14ac:dyDescent="0.2"/>
    <row r="4963" s="38" customFormat="1" x14ac:dyDescent="0.2"/>
    <row r="4964" s="38" customFormat="1" x14ac:dyDescent="0.2"/>
    <row r="4965" s="38" customFormat="1" x14ac:dyDescent="0.2"/>
    <row r="4966" s="38" customFormat="1" x14ac:dyDescent="0.2"/>
    <row r="4967" s="38" customFormat="1" x14ac:dyDescent="0.2"/>
    <row r="4968" s="38" customFormat="1" x14ac:dyDescent="0.2"/>
    <row r="4969" s="38" customFormat="1" x14ac:dyDescent="0.2"/>
    <row r="4970" s="38" customFormat="1" x14ac:dyDescent="0.2"/>
    <row r="4971" s="38" customFormat="1" x14ac:dyDescent="0.2"/>
    <row r="4972" s="38" customFormat="1" x14ac:dyDescent="0.2"/>
    <row r="4973" s="38" customFormat="1" x14ac:dyDescent="0.2"/>
    <row r="4974" s="38" customFormat="1" x14ac:dyDescent="0.2"/>
    <row r="4975" s="38" customFormat="1" x14ac:dyDescent="0.2"/>
    <row r="4976" s="38" customFormat="1" x14ac:dyDescent="0.2"/>
    <row r="4977" s="38" customFormat="1" x14ac:dyDescent="0.2"/>
    <row r="4978" s="38" customFormat="1" x14ac:dyDescent="0.2"/>
    <row r="4979" s="38" customFormat="1" x14ac:dyDescent="0.2"/>
    <row r="4980" s="38" customFormat="1" x14ac:dyDescent="0.2"/>
    <row r="4981" s="38" customFormat="1" x14ac:dyDescent="0.2"/>
    <row r="4982" s="38" customFormat="1" x14ac:dyDescent="0.2"/>
    <row r="4983" s="38" customFormat="1" x14ac:dyDescent="0.2"/>
    <row r="4984" s="38" customFormat="1" x14ac:dyDescent="0.2"/>
    <row r="4985" s="38" customFormat="1" x14ac:dyDescent="0.2"/>
    <row r="4986" s="38" customFormat="1" x14ac:dyDescent="0.2"/>
    <row r="4987" s="38" customFormat="1" x14ac:dyDescent="0.2"/>
    <row r="4988" s="38" customFormat="1" x14ac:dyDescent="0.2"/>
    <row r="4989" s="38" customFormat="1" x14ac:dyDescent="0.2"/>
    <row r="4990" s="38" customFormat="1" x14ac:dyDescent="0.2"/>
    <row r="4991" s="38" customFormat="1" x14ac:dyDescent="0.2"/>
    <row r="4992" s="38" customFormat="1" x14ac:dyDescent="0.2"/>
    <row r="4993" s="38" customFormat="1" x14ac:dyDescent="0.2"/>
    <row r="4994" s="38" customFormat="1" x14ac:dyDescent="0.2"/>
    <row r="4995" s="38" customFormat="1" x14ac:dyDescent="0.2"/>
    <row r="4996" s="38" customFormat="1" x14ac:dyDescent="0.2"/>
    <row r="4997" s="38" customFormat="1" x14ac:dyDescent="0.2"/>
    <row r="4998" s="38" customFormat="1" x14ac:dyDescent="0.2"/>
    <row r="4999" s="38" customFormat="1" x14ac:dyDescent="0.2"/>
    <row r="5000" s="38" customFormat="1" x14ac:dyDescent="0.2"/>
    <row r="5001" s="38" customFormat="1" x14ac:dyDescent="0.2"/>
    <row r="5002" s="38" customFormat="1" x14ac:dyDescent="0.2"/>
    <row r="5003" s="38" customFormat="1" x14ac:dyDescent="0.2"/>
    <row r="5004" s="38" customFormat="1" x14ac:dyDescent="0.2"/>
    <row r="5005" s="38" customFormat="1" x14ac:dyDescent="0.2"/>
    <row r="5006" s="38" customFormat="1" x14ac:dyDescent="0.2"/>
    <row r="5007" s="38" customFormat="1" x14ac:dyDescent="0.2"/>
    <row r="5008" s="38" customFormat="1" x14ac:dyDescent="0.2"/>
    <row r="5009" s="38" customFormat="1" x14ac:dyDescent="0.2"/>
    <row r="5010" s="38" customFormat="1" x14ac:dyDescent="0.2"/>
    <row r="5011" s="38" customFormat="1" x14ac:dyDescent="0.2"/>
    <row r="5012" s="38" customFormat="1" x14ac:dyDescent="0.2"/>
    <row r="5013" s="38" customFormat="1" x14ac:dyDescent="0.2"/>
    <row r="5014" s="38" customFormat="1" x14ac:dyDescent="0.2"/>
    <row r="5015" s="38" customFormat="1" x14ac:dyDescent="0.2"/>
    <row r="5016" s="38" customFormat="1" x14ac:dyDescent="0.2"/>
    <row r="5017" s="38" customFormat="1" x14ac:dyDescent="0.2"/>
    <row r="5018" s="38" customFormat="1" x14ac:dyDescent="0.2"/>
    <row r="5019" s="38" customFormat="1" x14ac:dyDescent="0.2"/>
    <row r="5020" s="38" customFormat="1" x14ac:dyDescent="0.2"/>
    <row r="5021" s="38" customFormat="1" x14ac:dyDescent="0.2"/>
    <row r="5022" s="38" customFormat="1" x14ac:dyDescent="0.2"/>
    <row r="5023" s="38" customFormat="1" x14ac:dyDescent="0.2"/>
    <row r="5024" s="38" customFormat="1" x14ac:dyDescent="0.2"/>
    <row r="5025" s="38" customFormat="1" x14ac:dyDescent="0.2"/>
    <row r="5026" s="38" customFormat="1" x14ac:dyDescent="0.2"/>
    <row r="5027" s="38" customFormat="1" x14ac:dyDescent="0.2"/>
    <row r="5028" s="38" customFormat="1" x14ac:dyDescent="0.2"/>
    <row r="5029" s="38" customFormat="1" x14ac:dyDescent="0.2"/>
    <row r="5030" s="38" customFormat="1" x14ac:dyDescent="0.2"/>
    <row r="5031" s="38" customFormat="1" x14ac:dyDescent="0.2"/>
    <row r="5032" s="38" customFormat="1" x14ac:dyDescent="0.2"/>
    <row r="5033" s="38" customFormat="1" x14ac:dyDescent="0.2"/>
    <row r="5034" s="38" customFormat="1" x14ac:dyDescent="0.2"/>
    <row r="5035" s="38" customFormat="1" x14ac:dyDescent="0.2"/>
    <row r="5036" s="38" customFormat="1" x14ac:dyDescent="0.2"/>
    <row r="5037" s="38" customFormat="1" x14ac:dyDescent="0.2"/>
    <row r="5038" s="38" customFormat="1" x14ac:dyDescent="0.2"/>
    <row r="5039" s="38" customFormat="1" x14ac:dyDescent="0.2"/>
    <row r="5040" s="38" customFormat="1" x14ac:dyDescent="0.2"/>
    <row r="5041" s="38" customFormat="1" x14ac:dyDescent="0.2"/>
    <row r="5042" s="38" customFormat="1" x14ac:dyDescent="0.2"/>
    <row r="5043" s="38" customFormat="1" x14ac:dyDescent="0.2"/>
    <row r="5044" s="38" customFormat="1" x14ac:dyDescent="0.2"/>
    <row r="5045" s="38" customFormat="1" x14ac:dyDescent="0.2"/>
    <row r="5046" s="38" customFormat="1" x14ac:dyDescent="0.2"/>
    <row r="5047" s="38" customFormat="1" x14ac:dyDescent="0.2"/>
    <row r="5048" s="38" customFormat="1" x14ac:dyDescent="0.2"/>
    <row r="5049" s="38" customFormat="1" x14ac:dyDescent="0.2"/>
    <row r="5050" s="38" customFormat="1" x14ac:dyDescent="0.2"/>
    <row r="5051" s="38" customFormat="1" x14ac:dyDescent="0.2"/>
    <row r="5052" s="38" customFormat="1" x14ac:dyDescent="0.2"/>
    <row r="5053" s="38" customFormat="1" x14ac:dyDescent="0.2"/>
    <row r="5054" s="38" customFormat="1" x14ac:dyDescent="0.2"/>
    <row r="5055" s="38" customFormat="1" x14ac:dyDescent="0.2"/>
    <row r="5056" s="38" customFormat="1" x14ac:dyDescent="0.2"/>
    <row r="5057" s="38" customFormat="1" x14ac:dyDescent="0.2"/>
    <row r="5058" s="38" customFormat="1" x14ac:dyDescent="0.2"/>
    <row r="5059" s="38" customFormat="1" x14ac:dyDescent="0.2"/>
    <row r="5060" s="38" customFormat="1" x14ac:dyDescent="0.2"/>
    <row r="5061" s="38" customFormat="1" x14ac:dyDescent="0.2"/>
    <row r="5062" s="38" customFormat="1" x14ac:dyDescent="0.2"/>
    <row r="5063" s="38" customFormat="1" x14ac:dyDescent="0.2"/>
    <row r="5064" s="38" customFormat="1" x14ac:dyDescent="0.2"/>
    <row r="5065" s="38" customFormat="1" x14ac:dyDescent="0.2"/>
    <row r="5066" s="38" customFormat="1" x14ac:dyDescent="0.2"/>
    <row r="5067" s="38" customFormat="1" x14ac:dyDescent="0.2"/>
    <row r="5068" s="38" customFormat="1" x14ac:dyDescent="0.2"/>
    <row r="5069" s="38" customFormat="1" x14ac:dyDescent="0.2"/>
    <row r="5070" s="38" customFormat="1" x14ac:dyDescent="0.2"/>
    <row r="5071" s="38" customFormat="1" x14ac:dyDescent="0.2"/>
    <row r="5072" s="38" customFormat="1" x14ac:dyDescent="0.2"/>
    <row r="5073" s="38" customFormat="1" x14ac:dyDescent="0.2"/>
    <row r="5074" s="38" customFormat="1" x14ac:dyDescent="0.2"/>
    <row r="5075" s="38" customFormat="1" x14ac:dyDescent="0.2"/>
    <row r="5076" s="38" customFormat="1" x14ac:dyDescent="0.2"/>
    <row r="5077" s="38" customFormat="1" x14ac:dyDescent="0.2"/>
    <row r="5078" s="38" customFormat="1" x14ac:dyDescent="0.2"/>
    <row r="5079" s="38" customFormat="1" x14ac:dyDescent="0.2"/>
    <row r="5080" s="38" customFormat="1" x14ac:dyDescent="0.2"/>
    <row r="5081" s="38" customFormat="1" x14ac:dyDescent="0.2"/>
    <row r="5082" s="38" customFormat="1" x14ac:dyDescent="0.2"/>
    <row r="5083" s="38" customFormat="1" x14ac:dyDescent="0.2"/>
    <row r="5084" s="38" customFormat="1" x14ac:dyDescent="0.2"/>
    <row r="5085" s="38" customFormat="1" x14ac:dyDescent="0.2"/>
    <row r="5086" s="38" customFormat="1" x14ac:dyDescent="0.2"/>
    <row r="5087" s="38" customFormat="1" x14ac:dyDescent="0.2"/>
    <row r="5088" s="38" customFormat="1" x14ac:dyDescent="0.2"/>
    <row r="5089" s="38" customFormat="1" x14ac:dyDescent="0.2"/>
    <row r="5090" s="38" customFormat="1" x14ac:dyDescent="0.2"/>
    <row r="5091" s="38" customFormat="1" x14ac:dyDescent="0.2"/>
    <row r="5092" s="38" customFormat="1" x14ac:dyDescent="0.2"/>
    <row r="5093" s="38" customFormat="1" x14ac:dyDescent="0.2"/>
    <row r="5094" s="38" customFormat="1" x14ac:dyDescent="0.2"/>
    <row r="5095" s="38" customFormat="1" x14ac:dyDescent="0.2"/>
    <row r="5096" s="38" customFormat="1" x14ac:dyDescent="0.2"/>
    <row r="5097" s="38" customFormat="1" x14ac:dyDescent="0.2"/>
    <row r="5098" s="38" customFormat="1" x14ac:dyDescent="0.2"/>
    <row r="5099" s="38" customFormat="1" x14ac:dyDescent="0.2"/>
    <row r="5100" s="38" customFormat="1" x14ac:dyDescent="0.2"/>
    <row r="5101" s="38" customFormat="1" x14ac:dyDescent="0.2"/>
    <row r="5102" s="38" customFormat="1" x14ac:dyDescent="0.2"/>
    <row r="5103" s="38" customFormat="1" x14ac:dyDescent="0.2"/>
    <row r="5104" s="38" customFormat="1" x14ac:dyDescent="0.2"/>
    <row r="5105" s="38" customFormat="1" x14ac:dyDescent="0.2"/>
    <row r="5106" s="38" customFormat="1" x14ac:dyDescent="0.2"/>
    <row r="5107" s="38" customFormat="1" x14ac:dyDescent="0.2"/>
    <row r="5108" s="38" customFormat="1" x14ac:dyDescent="0.2"/>
    <row r="5109" s="38" customFormat="1" x14ac:dyDescent="0.2"/>
    <row r="5110" s="38" customFormat="1" x14ac:dyDescent="0.2"/>
    <row r="5111" s="38" customFormat="1" x14ac:dyDescent="0.2"/>
    <row r="5112" s="38" customFormat="1" x14ac:dyDescent="0.2"/>
    <row r="5113" s="38" customFormat="1" x14ac:dyDescent="0.2"/>
    <row r="5114" s="38" customFormat="1" x14ac:dyDescent="0.2"/>
    <row r="5115" s="38" customFormat="1" x14ac:dyDescent="0.2"/>
    <row r="5116" s="38" customFormat="1" x14ac:dyDescent="0.2"/>
    <row r="5117" s="38" customFormat="1" x14ac:dyDescent="0.2"/>
    <row r="5118" s="38" customFormat="1" x14ac:dyDescent="0.2"/>
    <row r="5119" s="38" customFormat="1" x14ac:dyDescent="0.2"/>
    <row r="5120" s="38" customFormat="1" x14ac:dyDescent="0.2"/>
    <row r="5121" s="38" customFormat="1" x14ac:dyDescent="0.2"/>
    <row r="5122" s="38" customFormat="1" x14ac:dyDescent="0.2"/>
    <row r="5123" s="38" customFormat="1" x14ac:dyDescent="0.2"/>
    <row r="5124" s="38" customFormat="1" x14ac:dyDescent="0.2"/>
    <row r="5125" s="38" customFormat="1" x14ac:dyDescent="0.2"/>
    <row r="5126" s="38" customFormat="1" x14ac:dyDescent="0.2"/>
    <row r="5127" s="38" customFormat="1" x14ac:dyDescent="0.2"/>
    <row r="5128" s="38" customFormat="1" x14ac:dyDescent="0.2"/>
    <row r="5129" s="38" customFormat="1" x14ac:dyDescent="0.2"/>
    <row r="5130" s="38" customFormat="1" x14ac:dyDescent="0.2"/>
    <row r="5131" s="38" customFormat="1" x14ac:dyDescent="0.2"/>
    <row r="5132" s="38" customFormat="1" x14ac:dyDescent="0.2"/>
    <row r="5133" s="38" customFormat="1" x14ac:dyDescent="0.2"/>
    <row r="5134" s="38" customFormat="1" x14ac:dyDescent="0.2"/>
    <row r="5135" s="38" customFormat="1" x14ac:dyDescent="0.2"/>
    <row r="5136" s="38" customFormat="1" x14ac:dyDescent="0.2"/>
    <row r="5137" s="38" customFormat="1" x14ac:dyDescent="0.2"/>
    <row r="5138" s="38" customFormat="1" x14ac:dyDescent="0.2"/>
    <row r="5139" s="38" customFormat="1" x14ac:dyDescent="0.2"/>
    <row r="5140" s="38" customFormat="1" x14ac:dyDescent="0.2"/>
    <row r="5141" s="38" customFormat="1" x14ac:dyDescent="0.2"/>
    <row r="5142" s="38" customFormat="1" x14ac:dyDescent="0.2"/>
    <row r="5143" s="38" customFormat="1" x14ac:dyDescent="0.2"/>
    <row r="5144" s="38" customFormat="1" x14ac:dyDescent="0.2"/>
    <row r="5145" s="38" customFormat="1" x14ac:dyDescent="0.2"/>
    <row r="5146" s="38" customFormat="1" x14ac:dyDescent="0.2"/>
    <row r="5147" s="38" customFormat="1" x14ac:dyDescent="0.2"/>
    <row r="5148" s="38" customFormat="1" x14ac:dyDescent="0.2"/>
    <row r="5149" s="38" customFormat="1" x14ac:dyDescent="0.2"/>
    <row r="5150" s="38" customFormat="1" x14ac:dyDescent="0.2"/>
    <row r="5151" s="38" customFormat="1" x14ac:dyDescent="0.2"/>
    <row r="5152" s="38" customFormat="1" x14ac:dyDescent="0.2"/>
    <row r="5153" s="38" customFormat="1" x14ac:dyDescent="0.2"/>
    <row r="5154" s="38" customFormat="1" x14ac:dyDescent="0.2"/>
    <row r="5155" s="38" customFormat="1" x14ac:dyDescent="0.2"/>
    <row r="5156" s="38" customFormat="1" x14ac:dyDescent="0.2"/>
    <row r="5157" s="38" customFormat="1" x14ac:dyDescent="0.2"/>
    <row r="5158" s="38" customFormat="1" x14ac:dyDescent="0.2"/>
    <row r="5159" s="38" customFormat="1" x14ac:dyDescent="0.2"/>
    <row r="5160" s="38" customFormat="1" x14ac:dyDescent="0.2"/>
    <row r="5161" s="38" customFormat="1" x14ac:dyDescent="0.2"/>
    <row r="5162" s="38" customFormat="1" x14ac:dyDescent="0.2"/>
    <row r="5163" s="38" customFormat="1" x14ac:dyDescent="0.2"/>
    <row r="5164" s="38" customFormat="1" x14ac:dyDescent="0.2"/>
    <row r="5165" s="38" customFormat="1" x14ac:dyDescent="0.2"/>
    <row r="5166" s="38" customFormat="1" x14ac:dyDescent="0.2"/>
    <row r="5167" s="38" customFormat="1" x14ac:dyDescent="0.2"/>
    <row r="5168" s="38" customFormat="1" x14ac:dyDescent="0.2"/>
    <row r="5169" s="38" customFormat="1" x14ac:dyDescent="0.2"/>
    <row r="5170" s="38" customFormat="1" x14ac:dyDescent="0.2"/>
    <row r="5171" s="38" customFormat="1" x14ac:dyDescent="0.2"/>
    <row r="5172" s="38" customFormat="1" x14ac:dyDescent="0.2"/>
    <row r="5173" s="38" customFormat="1" x14ac:dyDescent="0.2"/>
    <row r="5174" s="38" customFormat="1" x14ac:dyDescent="0.2"/>
    <row r="5175" s="38" customFormat="1" x14ac:dyDescent="0.2"/>
    <row r="5176" s="38" customFormat="1" x14ac:dyDescent="0.2"/>
    <row r="5177" s="38" customFormat="1" x14ac:dyDescent="0.2"/>
    <row r="5178" s="38" customFormat="1" x14ac:dyDescent="0.2"/>
    <row r="5179" s="38" customFormat="1" x14ac:dyDescent="0.2"/>
    <row r="5180" s="38" customFormat="1" x14ac:dyDescent="0.2"/>
    <row r="5181" s="38" customFormat="1" x14ac:dyDescent="0.2"/>
    <row r="5182" s="38" customFormat="1" x14ac:dyDescent="0.2"/>
    <row r="5183" s="38" customFormat="1" x14ac:dyDescent="0.2"/>
    <row r="5184" s="38" customFormat="1" x14ac:dyDescent="0.2"/>
    <row r="5185" s="38" customFormat="1" x14ac:dyDescent="0.2"/>
    <row r="5186" s="38" customFormat="1" x14ac:dyDescent="0.2"/>
    <row r="5187" s="38" customFormat="1" x14ac:dyDescent="0.2"/>
    <row r="5188" s="38" customFormat="1" x14ac:dyDescent="0.2"/>
    <row r="5189" s="38" customFormat="1" x14ac:dyDescent="0.2"/>
    <row r="5190" s="38" customFormat="1" x14ac:dyDescent="0.2"/>
    <row r="5191" s="38" customFormat="1" x14ac:dyDescent="0.2"/>
    <row r="5192" s="38" customFormat="1" x14ac:dyDescent="0.2"/>
    <row r="5193" s="38" customFormat="1" x14ac:dyDescent="0.2"/>
    <row r="5194" s="38" customFormat="1" x14ac:dyDescent="0.2"/>
    <row r="5195" s="38" customFormat="1" x14ac:dyDescent="0.2"/>
    <row r="5196" s="38" customFormat="1" x14ac:dyDescent="0.2"/>
    <row r="5197" s="38" customFormat="1" x14ac:dyDescent="0.2"/>
    <row r="5198" s="38" customFormat="1" x14ac:dyDescent="0.2"/>
    <row r="5199" s="38" customFormat="1" x14ac:dyDescent="0.2"/>
    <row r="5200" s="38" customFormat="1" x14ac:dyDescent="0.2"/>
    <row r="5201" s="38" customFormat="1" x14ac:dyDescent="0.2"/>
    <row r="5202" s="38" customFormat="1" x14ac:dyDescent="0.2"/>
    <row r="5203" s="38" customFormat="1" x14ac:dyDescent="0.2"/>
    <row r="5204" s="38" customFormat="1" x14ac:dyDescent="0.2"/>
    <row r="5205" s="38" customFormat="1" x14ac:dyDescent="0.2"/>
    <row r="5206" s="38" customFormat="1" x14ac:dyDescent="0.2"/>
    <row r="5207" s="38" customFormat="1" x14ac:dyDescent="0.2"/>
    <row r="5208" s="38" customFormat="1" x14ac:dyDescent="0.2"/>
    <row r="5209" s="38" customFormat="1" x14ac:dyDescent="0.2"/>
    <row r="5210" s="38" customFormat="1" x14ac:dyDescent="0.2"/>
    <row r="5211" s="38" customFormat="1" x14ac:dyDescent="0.2"/>
    <row r="5212" s="38" customFormat="1" x14ac:dyDescent="0.2"/>
    <row r="5213" s="38" customFormat="1" x14ac:dyDescent="0.2"/>
    <row r="5214" s="38" customFormat="1" x14ac:dyDescent="0.2"/>
    <row r="5215" s="38" customFormat="1" x14ac:dyDescent="0.2"/>
    <row r="5216" s="38" customFormat="1" x14ac:dyDescent="0.2"/>
    <row r="5217" s="38" customFormat="1" x14ac:dyDescent="0.2"/>
    <row r="5218" s="38" customFormat="1" x14ac:dyDescent="0.2"/>
    <row r="5219" s="38" customFormat="1" x14ac:dyDescent="0.2"/>
    <row r="5220" s="38" customFormat="1" x14ac:dyDescent="0.2"/>
    <row r="5221" s="38" customFormat="1" x14ac:dyDescent="0.2"/>
    <row r="5222" s="38" customFormat="1" x14ac:dyDescent="0.2"/>
    <row r="5223" s="38" customFormat="1" x14ac:dyDescent="0.2"/>
    <row r="5224" s="38" customFormat="1" x14ac:dyDescent="0.2"/>
    <row r="5225" s="38" customFormat="1" x14ac:dyDescent="0.2"/>
    <row r="5226" s="38" customFormat="1" x14ac:dyDescent="0.2"/>
    <row r="5227" s="38" customFormat="1" x14ac:dyDescent="0.2"/>
    <row r="5228" s="38" customFormat="1" x14ac:dyDescent="0.2"/>
    <row r="5229" s="38" customFormat="1" x14ac:dyDescent="0.2"/>
    <row r="5230" s="38" customFormat="1" x14ac:dyDescent="0.2"/>
    <row r="5231" s="38" customFormat="1" x14ac:dyDescent="0.2"/>
    <row r="5232" s="38" customFormat="1" x14ac:dyDescent="0.2"/>
    <row r="5233" s="38" customFormat="1" x14ac:dyDescent="0.2"/>
    <row r="5234" s="38" customFormat="1" x14ac:dyDescent="0.2"/>
    <row r="5235" s="38" customFormat="1" x14ac:dyDescent="0.2"/>
    <row r="5236" s="38" customFormat="1" x14ac:dyDescent="0.2"/>
    <row r="5237" s="38" customFormat="1" x14ac:dyDescent="0.2"/>
    <row r="5238" s="38" customFormat="1" x14ac:dyDescent="0.2"/>
    <row r="5239" s="38" customFormat="1" x14ac:dyDescent="0.2"/>
    <row r="5240" s="38" customFormat="1" x14ac:dyDescent="0.2"/>
    <row r="5241" s="38" customFormat="1" x14ac:dyDescent="0.2"/>
    <row r="5242" s="38" customFormat="1" x14ac:dyDescent="0.2"/>
    <row r="5243" s="38" customFormat="1" x14ac:dyDescent="0.2"/>
    <row r="5244" s="38" customFormat="1" x14ac:dyDescent="0.2"/>
    <row r="5245" s="38" customFormat="1" x14ac:dyDescent="0.2"/>
    <row r="5246" s="38" customFormat="1" x14ac:dyDescent="0.2"/>
    <row r="5247" s="38" customFormat="1" x14ac:dyDescent="0.2"/>
    <row r="5248" s="38" customFormat="1" x14ac:dyDescent="0.2"/>
    <row r="5249" s="38" customFormat="1" x14ac:dyDescent="0.2"/>
    <row r="5250" s="38" customFormat="1" x14ac:dyDescent="0.2"/>
    <row r="5251" s="38" customFormat="1" x14ac:dyDescent="0.2"/>
    <row r="5252" s="38" customFormat="1" x14ac:dyDescent="0.2"/>
    <row r="5253" s="38" customFormat="1" x14ac:dyDescent="0.2"/>
    <row r="5254" s="38" customFormat="1" x14ac:dyDescent="0.2"/>
    <row r="5255" s="38" customFormat="1" x14ac:dyDescent="0.2"/>
    <row r="5256" s="38" customFormat="1" x14ac:dyDescent="0.2"/>
    <row r="5257" s="38" customFormat="1" x14ac:dyDescent="0.2"/>
    <row r="5258" s="38" customFormat="1" x14ac:dyDescent="0.2"/>
    <row r="5259" s="38" customFormat="1" x14ac:dyDescent="0.2"/>
    <row r="5260" s="38" customFormat="1" x14ac:dyDescent="0.2"/>
    <row r="5261" s="38" customFormat="1" x14ac:dyDescent="0.2"/>
    <row r="5262" s="38" customFormat="1" x14ac:dyDescent="0.2"/>
    <row r="5263" s="38" customFormat="1" x14ac:dyDescent="0.2"/>
    <row r="5264" s="38" customFormat="1" x14ac:dyDescent="0.2"/>
    <row r="5265" s="38" customFormat="1" x14ac:dyDescent="0.2"/>
    <row r="5266" s="38" customFormat="1" x14ac:dyDescent="0.2"/>
    <row r="5267" s="38" customFormat="1" x14ac:dyDescent="0.2"/>
    <row r="5268" s="38" customFormat="1" x14ac:dyDescent="0.2"/>
    <row r="5269" s="38" customFormat="1" x14ac:dyDescent="0.2"/>
    <row r="5270" s="38" customFormat="1" x14ac:dyDescent="0.2"/>
    <row r="5271" s="38" customFormat="1" x14ac:dyDescent="0.2"/>
    <row r="5272" s="38" customFormat="1" x14ac:dyDescent="0.2"/>
    <row r="5273" s="38" customFormat="1" x14ac:dyDescent="0.2"/>
    <row r="5274" s="38" customFormat="1" x14ac:dyDescent="0.2"/>
    <row r="5275" s="38" customFormat="1" x14ac:dyDescent="0.2"/>
    <row r="5276" s="38" customFormat="1" x14ac:dyDescent="0.2"/>
    <row r="5277" s="38" customFormat="1" x14ac:dyDescent="0.2"/>
    <row r="5278" s="38" customFormat="1" x14ac:dyDescent="0.2"/>
    <row r="5279" s="38" customFormat="1" x14ac:dyDescent="0.2"/>
    <row r="5280" s="38" customFormat="1" x14ac:dyDescent="0.2"/>
    <row r="5281" s="38" customFormat="1" x14ac:dyDescent="0.2"/>
    <row r="5282" s="38" customFormat="1" x14ac:dyDescent="0.2"/>
    <row r="5283" s="38" customFormat="1" x14ac:dyDescent="0.2"/>
    <row r="5284" s="38" customFormat="1" x14ac:dyDescent="0.2"/>
    <row r="5285" s="38" customFormat="1" x14ac:dyDescent="0.2"/>
    <row r="5286" s="38" customFormat="1" x14ac:dyDescent="0.2"/>
    <row r="5287" s="38" customFormat="1" x14ac:dyDescent="0.2"/>
    <row r="5288" s="38" customFormat="1" x14ac:dyDescent="0.2"/>
    <row r="5289" s="38" customFormat="1" x14ac:dyDescent="0.2"/>
    <row r="5290" s="38" customFormat="1" x14ac:dyDescent="0.2"/>
    <row r="5291" s="38" customFormat="1" x14ac:dyDescent="0.2"/>
    <row r="5292" s="38" customFormat="1" x14ac:dyDescent="0.2"/>
    <row r="5293" s="38" customFormat="1" x14ac:dyDescent="0.2"/>
    <row r="5294" s="38" customFormat="1" x14ac:dyDescent="0.2"/>
    <row r="5295" s="38" customFormat="1" x14ac:dyDescent="0.2"/>
    <row r="5296" s="38" customFormat="1" x14ac:dyDescent="0.2"/>
    <row r="5297" s="38" customFormat="1" x14ac:dyDescent="0.2"/>
    <row r="5298" s="38" customFormat="1" x14ac:dyDescent="0.2"/>
    <row r="5299" s="38" customFormat="1" x14ac:dyDescent="0.2"/>
    <row r="5300" s="38" customFormat="1" x14ac:dyDescent="0.2"/>
    <row r="5301" s="38" customFormat="1" x14ac:dyDescent="0.2"/>
    <row r="5302" s="38" customFormat="1" x14ac:dyDescent="0.2"/>
    <row r="5303" s="38" customFormat="1" x14ac:dyDescent="0.2"/>
    <row r="5304" s="38" customFormat="1" x14ac:dyDescent="0.2"/>
    <row r="5305" s="38" customFormat="1" x14ac:dyDescent="0.2"/>
    <row r="5306" s="38" customFormat="1" x14ac:dyDescent="0.2"/>
    <row r="5307" s="38" customFormat="1" x14ac:dyDescent="0.2"/>
    <row r="5308" s="38" customFormat="1" x14ac:dyDescent="0.2"/>
    <row r="5309" s="38" customFormat="1" x14ac:dyDescent="0.2"/>
    <row r="5310" s="38" customFormat="1" x14ac:dyDescent="0.2"/>
    <row r="5311" s="38" customFormat="1" x14ac:dyDescent="0.2"/>
    <row r="5312" s="38" customFormat="1" x14ac:dyDescent="0.2"/>
    <row r="5313" s="38" customFormat="1" x14ac:dyDescent="0.2"/>
    <row r="5314" s="38" customFormat="1" x14ac:dyDescent="0.2"/>
    <row r="5315" s="38" customFormat="1" x14ac:dyDescent="0.2"/>
    <row r="5316" s="38" customFormat="1" x14ac:dyDescent="0.2"/>
    <row r="5317" s="38" customFormat="1" x14ac:dyDescent="0.2"/>
    <row r="5318" s="38" customFormat="1" x14ac:dyDescent="0.2"/>
    <row r="5319" s="38" customFormat="1" x14ac:dyDescent="0.2"/>
    <row r="5320" s="38" customFormat="1" x14ac:dyDescent="0.2"/>
    <row r="5321" s="38" customFormat="1" x14ac:dyDescent="0.2"/>
    <row r="5322" s="38" customFormat="1" x14ac:dyDescent="0.2"/>
    <row r="5323" s="38" customFormat="1" x14ac:dyDescent="0.2"/>
    <row r="5324" s="38" customFormat="1" x14ac:dyDescent="0.2"/>
    <row r="5325" s="38" customFormat="1" x14ac:dyDescent="0.2"/>
    <row r="5326" s="38" customFormat="1" x14ac:dyDescent="0.2"/>
    <row r="5327" s="38" customFormat="1" x14ac:dyDescent="0.2"/>
    <row r="5328" s="38" customFormat="1" x14ac:dyDescent="0.2"/>
    <row r="5329" s="38" customFormat="1" x14ac:dyDescent="0.2"/>
    <row r="5330" s="38" customFormat="1" x14ac:dyDescent="0.2"/>
    <row r="5331" s="38" customFormat="1" x14ac:dyDescent="0.2"/>
    <row r="5332" s="38" customFormat="1" x14ac:dyDescent="0.2"/>
    <row r="5333" s="38" customFormat="1" x14ac:dyDescent="0.2"/>
    <row r="5334" s="38" customFormat="1" x14ac:dyDescent="0.2"/>
    <row r="5335" s="38" customFormat="1" x14ac:dyDescent="0.2"/>
    <row r="5336" s="38" customFormat="1" x14ac:dyDescent="0.2"/>
    <row r="5337" s="38" customFormat="1" x14ac:dyDescent="0.2"/>
    <row r="5338" s="38" customFormat="1" x14ac:dyDescent="0.2"/>
    <row r="5339" s="38" customFormat="1" x14ac:dyDescent="0.2"/>
    <row r="5340" s="38" customFormat="1" x14ac:dyDescent="0.2"/>
    <row r="5341" s="38" customFormat="1" x14ac:dyDescent="0.2"/>
    <row r="5342" s="38" customFormat="1" x14ac:dyDescent="0.2"/>
    <row r="5343" s="38" customFormat="1" x14ac:dyDescent="0.2"/>
    <row r="5344" s="38" customFormat="1" x14ac:dyDescent="0.2"/>
    <row r="5345" s="38" customFormat="1" x14ac:dyDescent="0.2"/>
    <row r="5346" s="38" customFormat="1" x14ac:dyDescent="0.2"/>
    <row r="5347" s="38" customFormat="1" x14ac:dyDescent="0.2"/>
    <row r="5348" s="38" customFormat="1" x14ac:dyDescent="0.2"/>
    <row r="5349" s="38" customFormat="1" x14ac:dyDescent="0.2"/>
    <row r="5350" s="38" customFormat="1" x14ac:dyDescent="0.2"/>
    <row r="5351" s="38" customFormat="1" x14ac:dyDescent="0.2"/>
    <row r="5352" s="38" customFormat="1" x14ac:dyDescent="0.2"/>
    <row r="5353" s="38" customFormat="1" x14ac:dyDescent="0.2"/>
    <row r="5354" s="38" customFormat="1" x14ac:dyDescent="0.2"/>
    <row r="5355" s="38" customFormat="1" x14ac:dyDescent="0.2"/>
    <row r="5356" s="38" customFormat="1" x14ac:dyDescent="0.2"/>
    <row r="5357" s="38" customFormat="1" x14ac:dyDescent="0.2"/>
    <row r="5358" s="38" customFormat="1" x14ac:dyDescent="0.2"/>
    <row r="5359" s="38" customFormat="1" x14ac:dyDescent="0.2"/>
    <row r="5360" s="38" customFormat="1" x14ac:dyDescent="0.2"/>
    <row r="5361" s="38" customFormat="1" x14ac:dyDescent="0.2"/>
    <row r="5362" s="38" customFormat="1" x14ac:dyDescent="0.2"/>
    <row r="5363" s="38" customFormat="1" x14ac:dyDescent="0.2"/>
    <row r="5364" s="38" customFormat="1" x14ac:dyDescent="0.2"/>
    <row r="5365" s="38" customFormat="1" x14ac:dyDescent="0.2"/>
    <row r="5366" s="38" customFormat="1" x14ac:dyDescent="0.2"/>
    <row r="5367" s="38" customFormat="1" x14ac:dyDescent="0.2"/>
    <row r="5368" s="38" customFormat="1" x14ac:dyDescent="0.2"/>
    <row r="5369" s="38" customFormat="1" x14ac:dyDescent="0.2"/>
    <row r="5370" s="38" customFormat="1" x14ac:dyDescent="0.2"/>
    <row r="5371" s="38" customFormat="1" x14ac:dyDescent="0.2"/>
    <row r="5372" s="38" customFormat="1" x14ac:dyDescent="0.2"/>
    <row r="5373" s="38" customFormat="1" x14ac:dyDescent="0.2"/>
    <row r="5374" s="38" customFormat="1" x14ac:dyDescent="0.2"/>
    <row r="5375" s="38" customFormat="1" x14ac:dyDescent="0.2"/>
    <row r="5376" s="38" customFormat="1" x14ac:dyDescent="0.2"/>
    <row r="5377" s="38" customFormat="1" x14ac:dyDescent="0.2"/>
    <row r="5378" s="38" customFormat="1" x14ac:dyDescent="0.2"/>
    <row r="5379" s="38" customFormat="1" x14ac:dyDescent="0.2"/>
    <row r="5380" s="38" customFormat="1" x14ac:dyDescent="0.2"/>
    <row r="5381" s="38" customFormat="1" x14ac:dyDescent="0.2"/>
    <row r="5382" s="38" customFormat="1" x14ac:dyDescent="0.2"/>
    <row r="5383" s="38" customFormat="1" x14ac:dyDescent="0.2"/>
    <row r="5384" s="38" customFormat="1" x14ac:dyDescent="0.2"/>
    <row r="5385" s="38" customFormat="1" x14ac:dyDescent="0.2"/>
    <row r="5386" s="38" customFormat="1" x14ac:dyDescent="0.2"/>
    <row r="5387" s="38" customFormat="1" x14ac:dyDescent="0.2"/>
    <row r="5388" s="38" customFormat="1" x14ac:dyDescent="0.2"/>
    <row r="5389" s="38" customFormat="1" x14ac:dyDescent="0.2"/>
    <row r="5390" s="38" customFormat="1" x14ac:dyDescent="0.2"/>
    <row r="5391" s="38" customFormat="1" x14ac:dyDescent="0.2"/>
    <row r="5392" s="38" customFormat="1" x14ac:dyDescent="0.2"/>
    <row r="5393" s="38" customFormat="1" x14ac:dyDescent="0.2"/>
    <row r="5394" s="38" customFormat="1" x14ac:dyDescent="0.2"/>
    <row r="5395" s="38" customFormat="1" x14ac:dyDescent="0.2"/>
    <row r="5396" s="38" customFormat="1" x14ac:dyDescent="0.2"/>
    <row r="5397" s="38" customFormat="1" x14ac:dyDescent="0.2"/>
    <row r="5398" s="38" customFormat="1" x14ac:dyDescent="0.2"/>
    <row r="5399" s="38" customFormat="1" x14ac:dyDescent="0.2"/>
    <row r="5400" s="38" customFormat="1" x14ac:dyDescent="0.2"/>
    <row r="5401" s="38" customFormat="1" x14ac:dyDescent="0.2"/>
    <row r="5402" s="38" customFormat="1" x14ac:dyDescent="0.2"/>
    <row r="5403" s="38" customFormat="1" x14ac:dyDescent="0.2"/>
    <row r="5404" s="38" customFormat="1" x14ac:dyDescent="0.2"/>
    <row r="5405" s="38" customFormat="1" x14ac:dyDescent="0.2"/>
    <row r="5406" s="38" customFormat="1" x14ac:dyDescent="0.2"/>
    <row r="5407" s="38" customFormat="1" x14ac:dyDescent="0.2"/>
    <row r="5408" s="38" customFormat="1" x14ac:dyDescent="0.2"/>
    <row r="5409" s="38" customFormat="1" x14ac:dyDescent="0.2"/>
    <row r="5410" s="38" customFormat="1" x14ac:dyDescent="0.2"/>
    <row r="5411" s="38" customFormat="1" x14ac:dyDescent="0.2"/>
    <row r="5412" s="38" customFormat="1" x14ac:dyDescent="0.2"/>
    <row r="5413" s="38" customFormat="1" x14ac:dyDescent="0.2"/>
    <row r="5414" s="38" customFormat="1" x14ac:dyDescent="0.2"/>
    <row r="5415" s="38" customFormat="1" x14ac:dyDescent="0.2"/>
    <row r="5416" s="38" customFormat="1" x14ac:dyDescent="0.2"/>
    <row r="5417" s="38" customFormat="1" x14ac:dyDescent="0.2"/>
    <row r="5418" s="38" customFormat="1" x14ac:dyDescent="0.2"/>
    <row r="5419" s="38" customFormat="1" x14ac:dyDescent="0.2"/>
    <row r="5420" s="38" customFormat="1" x14ac:dyDescent="0.2"/>
    <row r="5421" s="38" customFormat="1" x14ac:dyDescent="0.2"/>
    <row r="5422" s="38" customFormat="1" x14ac:dyDescent="0.2"/>
    <row r="5423" s="38" customFormat="1" x14ac:dyDescent="0.2"/>
    <row r="5424" s="38" customFormat="1" x14ac:dyDescent="0.2"/>
    <row r="5425" s="38" customFormat="1" x14ac:dyDescent="0.2"/>
    <row r="5426" s="38" customFormat="1" x14ac:dyDescent="0.2"/>
    <row r="5427" s="38" customFormat="1" x14ac:dyDescent="0.2"/>
    <row r="5428" s="38" customFormat="1" x14ac:dyDescent="0.2"/>
    <row r="5429" s="38" customFormat="1" x14ac:dyDescent="0.2"/>
    <row r="5430" s="38" customFormat="1" x14ac:dyDescent="0.2"/>
    <row r="5431" s="38" customFormat="1" x14ac:dyDescent="0.2"/>
    <row r="5432" s="38" customFormat="1" x14ac:dyDescent="0.2"/>
    <row r="5433" s="38" customFormat="1" x14ac:dyDescent="0.2"/>
    <row r="5434" s="38" customFormat="1" x14ac:dyDescent="0.2"/>
    <row r="5435" s="38" customFormat="1" x14ac:dyDescent="0.2"/>
    <row r="5436" s="38" customFormat="1" x14ac:dyDescent="0.2"/>
    <row r="5437" s="38" customFormat="1" x14ac:dyDescent="0.2"/>
    <row r="5438" s="38" customFormat="1" x14ac:dyDescent="0.2"/>
    <row r="5439" s="38" customFormat="1" x14ac:dyDescent="0.2"/>
    <row r="5440" s="38" customFormat="1" x14ac:dyDescent="0.2"/>
    <row r="5441" s="38" customFormat="1" x14ac:dyDescent="0.2"/>
    <row r="5442" s="38" customFormat="1" x14ac:dyDescent="0.2"/>
    <row r="5443" s="38" customFormat="1" x14ac:dyDescent="0.2"/>
    <row r="5444" s="38" customFormat="1" x14ac:dyDescent="0.2"/>
    <row r="5445" s="38" customFormat="1" x14ac:dyDescent="0.2"/>
    <row r="5446" s="38" customFormat="1" x14ac:dyDescent="0.2"/>
    <row r="5447" s="38" customFormat="1" x14ac:dyDescent="0.2"/>
    <row r="5448" s="38" customFormat="1" x14ac:dyDescent="0.2"/>
    <row r="5449" s="38" customFormat="1" x14ac:dyDescent="0.2"/>
    <row r="5450" s="38" customFormat="1" x14ac:dyDescent="0.2"/>
    <row r="5451" s="38" customFormat="1" x14ac:dyDescent="0.2"/>
    <row r="5452" s="38" customFormat="1" x14ac:dyDescent="0.2"/>
    <row r="5453" s="38" customFormat="1" x14ac:dyDescent="0.2"/>
    <row r="5454" s="38" customFormat="1" x14ac:dyDescent="0.2"/>
    <row r="5455" s="38" customFormat="1" x14ac:dyDescent="0.2"/>
    <row r="5456" s="38" customFormat="1" x14ac:dyDescent="0.2"/>
    <row r="5457" s="38" customFormat="1" x14ac:dyDescent="0.2"/>
    <row r="5458" s="38" customFormat="1" x14ac:dyDescent="0.2"/>
    <row r="5459" s="38" customFormat="1" x14ac:dyDescent="0.2"/>
    <row r="5460" s="38" customFormat="1" x14ac:dyDescent="0.2"/>
    <row r="5461" s="38" customFormat="1" x14ac:dyDescent="0.2"/>
    <row r="5462" s="38" customFormat="1" x14ac:dyDescent="0.2"/>
    <row r="5463" s="38" customFormat="1" x14ac:dyDescent="0.2"/>
    <row r="5464" s="38" customFormat="1" x14ac:dyDescent="0.2"/>
    <row r="5465" s="38" customFormat="1" x14ac:dyDescent="0.2"/>
    <row r="5466" s="38" customFormat="1" x14ac:dyDescent="0.2"/>
    <row r="5467" s="38" customFormat="1" x14ac:dyDescent="0.2"/>
    <row r="5468" s="38" customFormat="1" x14ac:dyDescent="0.2"/>
    <row r="5469" s="38" customFormat="1" x14ac:dyDescent="0.2"/>
    <row r="5470" s="38" customFormat="1" x14ac:dyDescent="0.2"/>
    <row r="5471" s="38" customFormat="1" x14ac:dyDescent="0.2"/>
    <row r="5472" s="38" customFormat="1" x14ac:dyDescent="0.2"/>
    <row r="5473" s="38" customFormat="1" x14ac:dyDescent="0.2"/>
    <row r="5474" s="38" customFormat="1" x14ac:dyDescent="0.2"/>
    <row r="5475" s="38" customFormat="1" x14ac:dyDescent="0.2"/>
    <row r="5476" s="38" customFormat="1" x14ac:dyDescent="0.2"/>
    <row r="5477" s="38" customFormat="1" x14ac:dyDescent="0.2"/>
    <row r="5478" s="38" customFormat="1" x14ac:dyDescent="0.2"/>
    <row r="5479" s="38" customFormat="1" x14ac:dyDescent="0.2"/>
    <row r="5480" s="38" customFormat="1" x14ac:dyDescent="0.2"/>
    <row r="5481" s="38" customFormat="1" x14ac:dyDescent="0.2"/>
    <row r="5482" s="38" customFormat="1" x14ac:dyDescent="0.2"/>
    <row r="5483" s="38" customFormat="1" x14ac:dyDescent="0.2"/>
    <row r="5484" s="38" customFormat="1" x14ac:dyDescent="0.2"/>
    <row r="5485" s="38" customFormat="1" x14ac:dyDescent="0.2"/>
    <row r="5486" s="38" customFormat="1" x14ac:dyDescent="0.2"/>
    <row r="5487" s="38" customFormat="1" x14ac:dyDescent="0.2"/>
    <row r="5488" s="38" customFormat="1" x14ac:dyDescent="0.2"/>
    <row r="5489" s="38" customFormat="1" x14ac:dyDescent="0.2"/>
    <row r="5490" s="38" customFormat="1" x14ac:dyDescent="0.2"/>
    <row r="5491" s="38" customFormat="1" x14ac:dyDescent="0.2"/>
    <row r="5492" s="38" customFormat="1" x14ac:dyDescent="0.2"/>
    <row r="5493" s="38" customFormat="1" x14ac:dyDescent="0.2"/>
    <row r="5494" s="38" customFormat="1" x14ac:dyDescent="0.2"/>
    <row r="5495" s="38" customFormat="1" x14ac:dyDescent="0.2"/>
    <row r="5496" s="38" customFormat="1" x14ac:dyDescent="0.2"/>
    <row r="5497" s="38" customFormat="1" x14ac:dyDescent="0.2"/>
    <row r="5498" s="38" customFormat="1" x14ac:dyDescent="0.2"/>
    <row r="5499" s="38" customFormat="1" x14ac:dyDescent="0.2"/>
    <row r="5500" s="38" customFormat="1" x14ac:dyDescent="0.2"/>
    <row r="5501" s="38" customFormat="1" x14ac:dyDescent="0.2"/>
    <row r="5502" s="38" customFormat="1" x14ac:dyDescent="0.2"/>
    <row r="5503" s="38" customFormat="1" x14ac:dyDescent="0.2"/>
    <row r="5504" s="38" customFormat="1" x14ac:dyDescent="0.2"/>
    <row r="5505" s="38" customFormat="1" x14ac:dyDescent="0.2"/>
    <row r="5506" s="38" customFormat="1" x14ac:dyDescent="0.2"/>
    <row r="5507" s="38" customFormat="1" x14ac:dyDescent="0.2"/>
    <row r="5508" s="38" customFormat="1" x14ac:dyDescent="0.2"/>
    <row r="5509" s="38" customFormat="1" x14ac:dyDescent="0.2"/>
    <row r="5510" s="38" customFormat="1" x14ac:dyDescent="0.2"/>
    <row r="5511" s="38" customFormat="1" x14ac:dyDescent="0.2"/>
    <row r="5512" s="38" customFormat="1" x14ac:dyDescent="0.2"/>
    <row r="5513" s="38" customFormat="1" x14ac:dyDescent="0.2"/>
    <row r="5514" s="38" customFormat="1" x14ac:dyDescent="0.2"/>
    <row r="5515" s="38" customFormat="1" x14ac:dyDescent="0.2"/>
    <row r="5516" s="38" customFormat="1" x14ac:dyDescent="0.2"/>
    <row r="5517" s="38" customFormat="1" x14ac:dyDescent="0.2"/>
    <row r="5518" s="38" customFormat="1" x14ac:dyDescent="0.2"/>
    <row r="5519" s="38" customFormat="1" x14ac:dyDescent="0.2"/>
    <row r="5520" s="38" customFormat="1" x14ac:dyDescent="0.2"/>
    <row r="5521" s="38" customFormat="1" x14ac:dyDescent="0.2"/>
    <row r="5522" s="38" customFormat="1" x14ac:dyDescent="0.2"/>
    <row r="5523" s="38" customFormat="1" x14ac:dyDescent="0.2"/>
    <row r="5524" s="38" customFormat="1" x14ac:dyDescent="0.2"/>
    <row r="5525" s="38" customFormat="1" x14ac:dyDescent="0.2"/>
    <row r="5526" s="38" customFormat="1" x14ac:dyDescent="0.2"/>
    <row r="5527" s="38" customFormat="1" x14ac:dyDescent="0.2"/>
    <row r="5528" s="38" customFormat="1" x14ac:dyDescent="0.2"/>
    <row r="5529" s="38" customFormat="1" x14ac:dyDescent="0.2"/>
    <row r="5530" s="38" customFormat="1" x14ac:dyDescent="0.2"/>
    <row r="5531" s="38" customFormat="1" x14ac:dyDescent="0.2"/>
    <row r="5532" s="38" customFormat="1" x14ac:dyDescent="0.2"/>
    <row r="5533" s="38" customFormat="1" x14ac:dyDescent="0.2"/>
    <row r="5534" s="38" customFormat="1" x14ac:dyDescent="0.2"/>
    <row r="5535" s="38" customFormat="1" x14ac:dyDescent="0.2"/>
    <row r="5536" s="38" customFormat="1" x14ac:dyDescent="0.2"/>
    <row r="5537" s="38" customFormat="1" x14ac:dyDescent="0.2"/>
    <row r="5538" s="38" customFormat="1" x14ac:dyDescent="0.2"/>
    <row r="5539" s="38" customFormat="1" x14ac:dyDescent="0.2"/>
    <row r="5540" s="38" customFormat="1" x14ac:dyDescent="0.2"/>
    <row r="5541" s="38" customFormat="1" x14ac:dyDescent="0.2"/>
    <row r="5542" s="38" customFormat="1" x14ac:dyDescent="0.2"/>
    <row r="5543" s="38" customFormat="1" x14ac:dyDescent="0.2"/>
    <row r="5544" s="38" customFormat="1" x14ac:dyDescent="0.2"/>
    <row r="5545" s="38" customFormat="1" x14ac:dyDescent="0.2"/>
    <row r="5546" s="38" customFormat="1" x14ac:dyDescent="0.2"/>
    <row r="5547" s="38" customFormat="1" x14ac:dyDescent="0.2"/>
    <row r="5548" s="38" customFormat="1" x14ac:dyDescent="0.2"/>
    <row r="5549" s="38" customFormat="1" x14ac:dyDescent="0.2"/>
    <row r="5550" s="38" customFormat="1" x14ac:dyDescent="0.2"/>
    <row r="5551" s="38" customFormat="1" x14ac:dyDescent="0.2"/>
    <row r="5552" s="38" customFormat="1" x14ac:dyDescent="0.2"/>
    <row r="5553" s="38" customFormat="1" x14ac:dyDescent="0.2"/>
    <row r="5554" s="38" customFormat="1" x14ac:dyDescent="0.2"/>
    <row r="5555" s="38" customFormat="1" x14ac:dyDescent="0.2"/>
    <row r="5556" s="38" customFormat="1" x14ac:dyDescent="0.2"/>
    <row r="5557" s="38" customFormat="1" x14ac:dyDescent="0.2"/>
    <row r="5558" s="38" customFormat="1" x14ac:dyDescent="0.2"/>
    <row r="5559" s="38" customFormat="1" x14ac:dyDescent="0.2"/>
    <row r="5560" s="38" customFormat="1" x14ac:dyDescent="0.2"/>
    <row r="5561" s="38" customFormat="1" x14ac:dyDescent="0.2"/>
    <row r="5562" s="38" customFormat="1" x14ac:dyDescent="0.2"/>
    <row r="5563" s="38" customFormat="1" x14ac:dyDescent="0.2"/>
    <row r="5564" s="38" customFormat="1" x14ac:dyDescent="0.2"/>
    <row r="5565" s="38" customFormat="1" x14ac:dyDescent="0.2"/>
    <row r="5566" s="38" customFormat="1" x14ac:dyDescent="0.2"/>
    <row r="5567" s="38" customFormat="1" x14ac:dyDescent="0.2"/>
    <row r="5568" s="38" customFormat="1" x14ac:dyDescent="0.2"/>
    <row r="5569" s="38" customFormat="1" x14ac:dyDescent="0.2"/>
    <row r="5570" s="38" customFormat="1" x14ac:dyDescent="0.2"/>
    <row r="5571" s="38" customFormat="1" x14ac:dyDescent="0.2"/>
    <row r="5572" s="38" customFormat="1" x14ac:dyDescent="0.2"/>
  </sheetData>
  <mergeCells count="8">
    <mergeCell ref="B2:M6"/>
    <mergeCell ref="A20:B20"/>
    <mergeCell ref="A21:B21"/>
    <mergeCell ref="A23:B23"/>
    <mergeCell ref="K9:L9"/>
    <mergeCell ref="F14:H14"/>
    <mergeCell ref="A18:B18"/>
    <mergeCell ref="D13:E13"/>
  </mergeCells>
  <conditionalFormatting sqref="K10:K13">
    <cfRule type="cellIs" dxfId="20" priority="5" operator="equal">
      <formula>"Sobran"</formula>
    </cfRule>
    <cfRule type="cellIs" dxfId="19" priority="6" operator="equal">
      <formula>"Faltan"</formula>
    </cfRule>
  </conditionalFormatting>
  <conditionalFormatting sqref="L10:L13">
    <cfRule type="containsBlanks" dxfId="18" priority="2">
      <formula>LEN(TRIM(L10))=0</formula>
    </cfRule>
    <cfRule type="cellIs" dxfId="17" priority="9" operator="lessThan">
      <formula>0</formula>
    </cfRule>
    <cfRule type="cellIs" dxfId="16" priority="10" operator="greaterThan">
      <formula>0</formula>
    </cfRule>
  </conditionalFormatting>
  <pageMargins left="0.7" right="0.7" top="0.75" bottom="0.75" header="0.3" footer="0.3"/>
  <pageSetup paperSize="9" scale="65" fitToWidth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>
    <tabColor theme="8"/>
    <pageSetUpPr fitToPage="1"/>
  </sheetPr>
  <dimension ref="A1:NN5576"/>
  <sheetViews>
    <sheetView zoomScaleNormal="100" workbookViewId="0">
      <pane xSplit="16" ySplit="19" topLeftCell="Q20" activePane="bottomRight" state="frozen"/>
      <selection pane="bottomLeft" activeCell="A20" sqref="A20"/>
      <selection pane="topRight" activeCell="Q1" sqref="Q1"/>
      <selection pane="bottomRight" activeCell="Q1" sqref="Q1"/>
    </sheetView>
  </sheetViews>
  <sheetFormatPr defaultColWidth="11.43359375" defaultRowHeight="15" x14ac:dyDescent="0.2"/>
  <cols>
    <col min="1" max="1" width="5.109375" style="30" customWidth="1"/>
    <col min="2" max="2" width="7.6640625" style="30" customWidth="1"/>
    <col min="3" max="3" width="14.390625" style="30" bestFit="1" customWidth="1"/>
    <col min="4" max="4" width="9.14453125" style="30" bestFit="1" customWidth="1"/>
    <col min="5" max="5" width="9.4140625" style="30" bestFit="1" customWidth="1"/>
    <col min="6" max="6" width="5.109375" style="30" bestFit="1" customWidth="1"/>
    <col min="7" max="7" width="9.01171875" style="30" bestFit="1" customWidth="1"/>
    <col min="8" max="8" width="6.859375" style="30" bestFit="1" customWidth="1"/>
    <col min="9" max="9" width="8.875" style="30" bestFit="1" customWidth="1"/>
    <col min="10" max="10" width="13.44921875" style="30" bestFit="1" customWidth="1"/>
    <col min="11" max="12" width="14.66015625" style="30" bestFit="1" customWidth="1"/>
    <col min="13" max="13" width="9.01171875" style="30" bestFit="1" customWidth="1"/>
    <col min="14" max="14" width="13.5859375" style="30" bestFit="1" customWidth="1"/>
    <col min="15" max="15" width="15.87109375" style="30" customWidth="1"/>
    <col min="16" max="16" width="8.33984375" style="30" bestFit="1" customWidth="1"/>
    <col min="17" max="16384" width="11.43359375" style="30"/>
  </cols>
  <sheetData>
    <row r="1" spans="1:37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</row>
    <row r="2" spans="1:378" ht="15" customHeight="1" x14ac:dyDescent="0.2">
      <c r="A2" s="2"/>
      <c r="B2" s="31"/>
      <c r="C2" s="779" t="s">
        <v>27</v>
      </c>
      <c r="D2" s="779"/>
      <c r="E2" s="779"/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</row>
    <row r="3" spans="1:378" ht="15" customHeight="1" x14ac:dyDescent="0.2">
      <c r="A3" s="2"/>
      <c r="B3" s="31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5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</row>
    <row r="4" spans="1:378" ht="15" customHeight="1" x14ac:dyDescent="0.2">
      <c r="A4" s="2"/>
      <c r="B4" s="31"/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779"/>
      <c r="O4" s="779"/>
      <c r="P4" s="779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</row>
    <row r="5" spans="1:378" ht="15" customHeight="1" x14ac:dyDescent="0.2">
      <c r="A5" s="2"/>
      <c r="B5" s="31"/>
      <c r="C5" s="779"/>
      <c r="D5" s="779"/>
      <c r="E5" s="779"/>
      <c r="F5" s="779"/>
      <c r="G5" s="779"/>
      <c r="H5" s="779"/>
      <c r="I5" s="779"/>
      <c r="J5" s="779"/>
      <c r="K5" s="779"/>
      <c r="L5" s="779"/>
      <c r="M5" s="779"/>
      <c r="N5" s="779"/>
      <c r="O5" s="779"/>
      <c r="P5" s="779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</row>
    <row r="6" spans="1:378" ht="15.75" customHeight="1" x14ac:dyDescent="0.2">
      <c r="A6" s="2"/>
      <c r="B6" s="31"/>
      <c r="C6" s="779"/>
      <c r="D6" s="779"/>
      <c r="E6" s="779"/>
      <c r="F6" s="779"/>
      <c r="G6" s="779"/>
      <c r="H6" s="779"/>
      <c r="I6" s="779"/>
      <c r="J6" s="779"/>
      <c r="K6" s="779"/>
      <c r="L6" s="779"/>
      <c r="M6" s="779"/>
      <c r="N6" s="779"/>
      <c r="O6" s="779"/>
      <c r="P6" s="779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</row>
    <row r="7" spans="1:37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</row>
    <row r="8" spans="1:378" x14ac:dyDescent="0.2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</row>
    <row r="9" spans="1:378" s="32" customFormat="1" x14ac:dyDescent="0.2">
      <c r="A9" s="5"/>
      <c r="B9" s="3"/>
      <c r="C9" s="3"/>
      <c r="D9" s="130" t="s">
        <v>21</v>
      </c>
      <c r="E9" s="130" t="s">
        <v>22</v>
      </c>
      <c r="F9" s="130" t="s">
        <v>28</v>
      </c>
      <c r="G9" s="4" t="s">
        <v>29</v>
      </c>
      <c r="H9" s="4" t="s">
        <v>6</v>
      </c>
      <c r="I9" s="4" t="s">
        <v>23</v>
      </c>
      <c r="J9" s="130" t="s">
        <v>8</v>
      </c>
      <c r="K9" s="130" t="s">
        <v>9</v>
      </c>
      <c r="L9" s="130" t="s">
        <v>30</v>
      </c>
      <c r="M9" s="778" t="s">
        <v>10</v>
      </c>
      <c r="N9" s="778"/>
      <c r="O9" s="778" t="s">
        <v>30</v>
      </c>
      <c r="P9" s="778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2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</row>
    <row r="10" spans="1:378" ht="19.5" x14ac:dyDescent="0.2">
      <c r="A10" s="2"/>
      <c r="B10" s="6"/>
      <c r="C10" s="7" t="s">
        <v>31</v>
      </c>
      <c r="D10" s="8">
        <v>41565</v>
      </c>
      <c r="E10" s="8">
        <v>41578</v>
      </c>
      <c r="F10" s="9">
        <f>E10-D10+1</f>
        <v>14</v>
      </c>
      <c r="G10" s="10">
        <v>149.32</v>
      </c>
      <c r="H10" s="10">
        <v>6.09</v>
      </c>
      <c r="I10" s="10">
        <f>0.02*G10</f>
        <v>2.9863999999999997</v>
      </c>
      <c r="J10" s="11">
        <v>140.24</v>
      </c>
      <c r="K10" s="12">
        <v>140.24</v>
      </c>
      <c r="L10" s="12">
        <v>140.24</v>
      </c>
      <c r="M10" s="13" t="str">
        <f t="shared" ref="M10:M17" si="0">IF(ISBLANK(K10)," ",IF(K10-J10=0,"Correcto ",IF(K10-J10&lt;0,"Faltan","Sobran")))</f>
        <v xml:space="preserve">Correcto </v>
      </c>
      <c r="N10" s="14" t="str">
        <f t="shared" ref="N10:N17" si="1">IF(ISBLANK(K10)," ",IF(K10-J10=0," ",K10-J10))</f>
        <v xml:space="preserve"> </v>
      </c>
      <c r="O10" s="15" t="str">
        <f t="shared" ref="O10:O16" si="2">IF(ISBLANK(L10)," ",IF(L10-K10=0,"Correcto ",IF(L10-K10&lt;0,"Faltan por ingresar","Sobran")))</f>
        <v xml:space="preserve">Correcto </v>
      </c>
      <c r="P10" s="16" t="str">
        <f>IF(ISBLANK(K10)," ",IF(L10-K10=0," ",L10-K10))</f>
        <v xml:space="preserve"> 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</row>
    <row r="11" spans="1:378" ht="19.5" x14ac:dyDescent="0.2">
      <c r="A11" s="2"/>
      <c r="B11" s="6"/>
      <c r="C11" s="7" t="s">
        <v>32</v>
      </c>
      <c r="D11" s="17"/>
      <c r="E11" s="17"/>
      <c r="F11" s="18"/>
      <c r="G11" s="19">
        <v>365</v>
      </c>
      <c r="H11" s="10">
        <v>6.09</v>
      </c>
      <c r="I11" s="10">
        <f t="shared" ref="I11:I16" si="3">0.02*G11</f>
        <v>7.3</v>
      </c>
      <c r="J11" s="11">
        <f>365-6.09-0.02*365</f>
        <v>351.61</v>
      </c>
      <c r="K11" s="12">
        <v>351.61</v>
      </c>
      <c r="L11" s="12">
        <v>351.61</v>
      </c>
      <c r="M11" s="13" t="str">
        <f t="shared" si="0"/>
        <v xml:space="preserve">Correcto </v>
      </c>
      <c r="N11" s="14" t="str">
        <f t="shared" si="1"/>
        <v xml:space="preserve"> </v>
      </c>
      <c r="O11" s="15" t="str">
        <f t="shared" si="2"/>
        <v xml:space="preserve">Correcto </v>
      </c>
      <c r="P11" s="16" t="str">
        <f t="shared" ref="P11:P16" si="4">IF(ISBLANK(K11)," ",IF(L11-K11=0," ",L11-K11))</f>
        <v xml:space="preserve"> 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</row>
    <row r="12" spans="1:378" ht="19.5" x14ac:dyDescent="0.2">
      <c r="A12" s="2"/>
      <c r="B12" s="6"/>
      <c r="C12" s="7" t="s">
        <v>33</v>
      </c>
      <c r="D12" s="17"/>
      <c r="E12" s="17"/>
      <c r="F12" s="9">
        <v>24</v>
      </c>
      <c r="G12" s="10">
        <v>282.58</v>
      </c>
      <c r="H12" s="10">
        <v>6.09</v>
      </c>
      <c r="I12" s="10">
        <f t="shared" si="3"/>
        <v>5.6516000000000002</v>
      </c>
      <c r="J12" s="11">
        <f>G12-H12-I12</f>
        <v>270.83840000000004</v>
      </c>
      <c r="K12" s="12">
        <v>270.49</v>
      </c>
      <c r="L12" s="12">
        <v>270.49</v>
      </c>
      <c r="M12" s="13" t="str">
        <f t="shared" si="0"/>
        <v>Faltan</v>
      </c>
      <c r="N12" s="14">
        <f t="shared" si="1"/>
        <v>-0.34840000000002647</v>
      </c>
      <c r="O12" s="15" t="str">
        <f>IF(ISBLANK(L12)," ",IF(L12-K12=0,"Correcto ",IF(L12-K12&lt;0,"Faltan por ingresar","Sobran")))</f>
        <v xml:space="preserve">Correcto </v>
      </c>
      <c r="P12" s="16" t="str">
        <f t="shared" si="4"/>
        <v xml:space="preserve"> 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</row>
    <row r="13" spans="1:378" ht="19.5" x14ac:dyDescent="0.2">
      <c r="A13" s="2"/>
      <c r="B13" s="6"/>
      <c r="C13" s="7" t="s">
        <v>34</v>
      </c>
      <c r="D13" s="17"/>
      <c r="E13" s="17"/>
      <c r="F13" s="9">
        <v>28</v>
      </c>
      <c r="G13" s="10">
        <v>329.68</v>
      </c>
      <c r="H13" s="10">
        <v>6.09</v>
      </c>
      <c r="I13" s="10">
        <f t="shared" si="3"/>
        <v>6.5936000000000003</v>
      </c>
      <c r="J13" s="11">
        <f>G13-H13-I13</f>
        <v>316.99640000000005</v>
      </c>
      <c r="K13" s="12">
        <v>316.85000000000002</v>
      </c>
      <c r="L13" s="12">
        <v>316.85000000000002</v>
      </c>
      <c r="M13" s="13" t="str">
        <f t="shared" si="0"/>
        <v>Faltan</v>
      </c>
      <c r="N13" s="14">
        <f t="shared" si="1"/>
        <v>-0.14640000000002829</v>
      </c>
      <c r="O13" s="15" t="str">
        <f t="shared" si="2"/>
        <v xml:space="preserve">Correcto </v>
      </c>
      <c r="P13" s="16" t="str">
        <f t="shared" si="4"/>
        <v xml:space="preserve"> 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</row>
    <row r="14" spans="1:378" ht="19.5" x14ac:dyDescent="0.2">
      <c r="A14" s="2"/>
      <c r="B14" s="6"/>
      <c r="C14" s="7" t="s">
        <v>35</v>
      </c>
      <c r="D14" s="17"/>
      <c r="E14" s="17"/>
      <c r="F14" s="18"/>
      <c r="G14" s="19">
        <v>365</v>
      </c>
      <c r="H14" s="10">
        <v>6.09</v>
      </c>
      <c r="I14" s="10">
        <f t="shared" si="3"/>
        <v>7.3</v>
      </c>
      <c r="J14" s="11">
        <f t="shared" ref="J14:J15" si="5">365-6.09-0.02*365</f>
        <v>351.61</v>
      </c>
      <c r="K14" s="12">
        <v>351.61</v>
      </c>
      <c r="L14" s="12">
        <v>351.61</v>
      </c>
      <c r="M14" s="13" t="str">
        <f t="shared" si="0"/>
        <v xml:space="preserve">Correcto </v>
      </c>
      <c r="N14" s="14" t="str">
        <f t="shared" si="1"/>
        <v xml:space="preserve"> </v>
      </c>
      <c r="O14" s="15" t="str">
        <f t="shared" si="2"/>
        <v xml:space="preserve">Correcto </v>
      </c>
      <c r="P14" s="16" t="str">
        <f t="shared" si="4"/>
        <v xml:space="preserve"> 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</row>
    <row r="15" spans="1:378" ht="19.5" x14ac:dyDescent="0.2">
      <c r="A15" s="2"/>
      <c r="B15" s="6"/>
      <c r="C15" s="7" t="s">
        <v>36</v>
      </c>
      <c r="D15" s="17"/>
      <c r="E15" s="17"/>
      <c r="F15" s="18"/>
      <c r="G15" s="19">
        <v>365</v>
      </c>
      <c r="H15" s="10">
        <v>6.09</v>
      </c>
      <c r="I15" s="10">
        <f t="shared" si="3"/>
        <v>7.3</v>
      </c>
      <c r="J15" s="11">
        <f t="shared" si="5"/>
        <v>351.61</v>
      </c>
      <c r="K15" s="12">
        <v>351.61</v>
      </c>
      <c r="L15" s="12">
        <v>351.61</v>
      </c>
      <c r="M15" s="13" t="str">
        <f t="shared" si="0"/>
        <v xml:space="preserve">Correcto </v>
      </c>
      <c r="N15" s="14" t="str">
        <f t="shared" si="1"/>
        <v xml:space="preserve"> </v>
      </c>
      <c r="O15" s="15" t="str">
        <f t="shared" si="2"/>
        <v xml:space="preserve">Correcto </v>
      </c>
      <c r="P15" s="16" t="str">
        <f t="shared" si="4"/>
        <v xml:space="preserve"> 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</row>
    <row r="16" spans="1:378" ht="19.5" x14ac:dyDescent="0.2">
      <c r="A16" s="2"/>
      <c r="B16" s="6"/>
      <c r="C16" s="7" t="s">
        <v>37</v>
      </c>
      <c r="D16" s="8">
        <v>41730</v>
      </c>
      <c r="E16" s="8">
        <v>41743</v>
      </c>
      <c r="F16" s="9">
        <v>15</v>
      </c>
      <c r="G16" s="10">
        <v>195.274</v>
      </c>
      <c r="H16" s="10">
        <v>6.09</v>
      </c>
      <c r="I16" s="10">
        <f t="shared" si="3"/>
        <v>3.9054800000000003</v>
      </c>
      <c r="J16" s="20">
        <f>G16-H16-I16</f>
        <v>185.27851999999999</v>
      </c>
      <c r="K16" s="12">
        <v>185.4</v>
      </c>
      <c r="L16" s="12">
        <f>K16</f>
        <v>185.4</v>
      </c>
      <c r="M16" s="13" t="str">
        <f t="shared" si="0"/>
        <v>Sobran</v>
      </c>
      <c r="N16" s="14">
        <f t="shared" si="1"/>
        <v>0.12148000000001957</v>
      </c>
      <c r="O16" s="15" t="str">
        <f t="shared" si="2"/>
        <v xml:space="preserve">Correcto </v>
      </c>
      <c r="P16" s="16" t="str">
        <f t="shared" si="4"/>
        <v xml:space="preserve"> </v>
      </c>
      <c r="Q16" s="21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</row>
    <row r="17" spans="1:378" ht="19.5" x14ac:dyDescent="0.2">
      <c r="A17" s="2"/>
      <c r="B17" s="6"/>
      <c r="C17" s="6"/>
      <c r="D17" s="6"/>
      <c r="E17" s="781" t="s">
        <v>3</v>
      </c>
      <c r="F17" s="781"/>
      <c r="G17" s="22">
        <f t="shared" ref="G17:L17" si="6">SUM(G10:G16)</f>
        <v>2051.8539999999998</v>
      </c>
      <c r="H17" s="23">
        <f t="shared" si="6"/>
        <v>42.629999999999995</v>
      </c>
      <c r="I17" s="23">
        <f t="shared" si="6"/>
        <v>41.037079999999996</v>
      </c>
      <c r="J17" s="24">
        <f t="shared" si="6"/>
        <v>1968.1833200000003</v>
      </c>
      <c r="K17" s="24">
        <f t="shared" si="6"/>
        <v>1967.8100000000004</v>
      </c>
      <c r="L17" s="24">
        <f t="shared" si="6"/>
        <v>1967.8100000000004</v>
      </c>
      <c r="M17" s="25" t="str">
        <f t="shared" si="0"/>
        <v>Faltan</v>
      </c>
      <c r="N17" s="26">
        <f t="shared" si="1"/>
        <v>-0.37331999999992149</v>
      </c>
      <c r="O17" s="27" t="str">
        <f>IF(ISBLANK(L17)," ",IF(L17-K17=0,"Correcto ",IF(L17-K17&lt;0,"Faltan por ingresar","Sobran")))</f>
        <v xml:space="preserve">Correcto </v>
      </c>
      <c r="P17" s="28" t="str">
        <f>IF(ISBLANK(L17)," ",IF(L17-K17=0," ",L17-K17))</f>
        <v xml:space="preserve"> 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</row>
    <row r="18" spans="1:378" ht="18" x14ac:dyDescent="0.2">
      <c r="A18" s="2"/>
      <c r="B18" s="1"/>
      <c r="C18" s="1"/>
      <c r="D18" s="1"/>
      <c r="E18" s="1"/>
      <c r="F18" s="1"/>
      <c r="G18" s="782">
        <f>G17-H17-I17</f>
        <v>1968.1869199999996</v>
      </c>
      <c r="H18" s="782"/>
      <c r="I18" s="782"/>
      <c r="J18" s="1"/>
      <c r="K18" s="1"/>
      <c r="L18" s="1"/>
      <c r="M18" s="1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</row>
    <row r="19" spans="1:378" s="2" customFormat="1" x14ac:dyDescent="0.2">
      <c r="B19" s="1"/>
      <c r="C19" s="1"/>
      <c r="D19" s="1"/>
      <c r="E19" s="1"/>
      <c r="F19" s="1"/>
      <c r="G19" s="1"/>
      <c r="H19" s="1"/>
      <c r="I19" s="29"/>
      <c r="J19" s="29"/>
      <c r="K19" s="1"/>
      <c r="L19" s="1"/>
      <c r="M19" s="1"/>
      <c r="N19" s="1"/>
    </row>
    <row r="20" spans="1:378" s="2" customFormat="1" x14ac:dyDescent="0.2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3"/>
      <c r="P20" s="33"/>
      <c r="Q20" s="33"/>
    </row>
    <row r="21" spans="1:378" s="2" customFormat="1" x14ac:dyDescent="0.2">
      <c r="B21" s="1"/>
      <c r="C21" s="1"/>
      <c r="D21" s="1"/>
      <c r="E21" s="1"/>
      <c r="F21" s="1"/>
      <c r="G21" s="1"/>
      <c r="H21" s="29"/>
      <c r="I21" s="1"/>
      <c r="J21" s="1"/>
      <c r="K21" s="1"/>
      <c r="L21" s="1"/>
      <c r="M21" s="1"/>
      <c r="N21" s="1"/>
    </row>
    <row r="22" spans="1:378" s="2" customFormat="1" x14ac:dyDescent="0.2">
      <c r="A22" s="780"/>
      <c r="B22" s="780"/>
      <c r="C22" s="125"/>
      <c r="D22" s="36"/>
      <c r="E22" s="36"/>
      <c r="H22" s="21"/>
      <c r="I22" s="21"/>
      <c r="J22" s="21"/>
      <c r="K22" s="21"/>
      <c r="L22" s="21"/>
    </row>
    <row r="23" spans="1:378" s="2" customFormat="1" x14ac:dyDescent="0.2">
      <c r="D23" s="35"/>
      <c r="E23" s="36"/>
    </row>
    <row r="24" spans="1:378" s="2" customFormat="1" x14ac:dyDescent="0.2">
      <c r="A24" s="780"/>
      <c r="B24" s="780"/>
      <c r="C24" s="125"/>
      <c r="D24" s="36"/>
      <c r="E24" s="36"/>
    </row>
    <row r="25" spans="1:378" s="2" customFormat="1" x14ac:dyDescent="0.2">
      <c r="A25" s="780"/>
      <c r="B25" s="780"/>
      <c r="C25" s="125"/>
      <c r="D25" s="36"/>
      <c r="E25" s="36"/>
    </row>
    <row r="26" spans="1:378" s="2" customFormat="1" x14ac:dyDescent="0.2">
      <c r="E26" s="36"/>
    </row>
    <row r="27" spans="1:378" s="2" customFormat="1" x14ac:dyDescent="0.2">
      <c r="A27" s="777"/>
      <c r="B27" s="777"/>
      <c r="C27" s="126"/>
      <c r="D27" s="127"/>
      <c r="E27" s="128"/>
    </row>
    <row r="28" spans="1:378" s="2" customFormat="1" x14ac:dyDescent="0.2">
      <c r="H28" s="37"/>
    </row>
    <row r="29" spans="1:378" s="2" customFormat="1" x14ac:dyDescent="0.2">
      <c r="I29" s="37"/>
    </row>
    <row r="30" spans="1:378" s="2" customFormat="1" x14ac:dyDescent="0.2"/>
    <row r="31" spans="1:378" s="2" customFormat="1" x14ac:dyDescent="0.2"/>
    <row r="32" spans="1:378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  <row r="201" s="2" customFormat="1" x14ac:dyDescent="0.2"/>
    <row r="202" s="2" customFormat="1" x14ac:dyDescent="0.2"/>
    <row r="203" s="2" customFormat="1" x14ac:dyDescent="0.2"/>
    <row r="204" s="2" customFormat="1" x14ac:dyDescent="0.2"/>
    <row r="205" s="2" customFormat="1" x14ac:dyDescent="0.2"/>
    <row r="206" s="2" customFormat="1" x14ac:dyDescent="0.2"/>
    <row r="207" s="2" customFormat="1" x14ac:dyDescent="0.2"/>
    <row r="208" s="2" customFormat="1" x14ac:dyDescent="0.2"/>
    <row r="209" s="2" customFormat="1" x14ac:dyDescent="0.2"/>
    <row r="210" s="2" customFormat="1" x14ac:dyDescent="0.2"/>
    <row r="211" s="2" customFormat="1" x14ac:dyDescent="0.2"/>
    <row r="212" s="2" customFormat="1" x14ac:dyDescent="0.2"/>
    <row r="213" s="2" customFormat="1" x14ac:dyDescent="0.2"/>
    <row r="214" s="2" customFormat="1" x14ac:dyDescent="0.2"/>
    <row r="215" s="2" customFormat="1" x14ac:dyDescent="0.2"/>
    <row r="216" s="2" customFormat="1" x14ac:dyDescent="0.2"/>
    <row r="217" s="2" customFormat="1" x14ac:dyDescent="0.2"/>
    <row r="218" s="2" customFormat="1" x14ac:dyDescent="0.2"/>
    <row r="219" s="2" customFormat="1" x14ac:dyDescent="0.2"/>
    <row r="220" s="2" customFormat="1" x14ac:dyDescent="0.2"/>
    <row r="221" s="2" customFormat="1" x14ac:dyDescent="0.2"/>
    <row r="222" s="2" customFormat="1" x14ac:dyDescent="0.2"/>
    <row r="223" s="2" customFormat="1" x14ac:dyDescent="0.2"/>
    <row r="224" s="2" customFormat="1" x14ac:dyDescent="0.2"/>
    <row r="225" s="2" customFormat="1" x14ac:dyDescent="0.2"/>
    <row r="226" s="2" customFormat="1" x14ac:dyDescent="0.2"/>
    <row r="227" s="2" customFormat="1" x14ac:dyDescent="0.2"/>
    <row r="228" s="2" customFormat="1" x14ac:dyDescent="0.2"/>
    <row r="229" s="2" customFormat="1" x14ac:dyDescent="0.2"/>
    <row r="230" s="2" customFormat="1" x14ac:dyDescent="0.2"/>
    <row r="231" s="2" customFormat="1" x14ac:dyDescent="0.2"/>
    <row r="232" s="2" customFormat="1" x14ac:dyDescent="0.2"/>
    <row r="233" s="2" customFormat="1" x14ac:dyDescent="0.2"/>
    <row r="234" s="2" customFormat="1" x14ac:dyDescent="0.2"/>
    <row r="235" s="2" customFormat="1" x14ac:dyDescent="0.2"/>
    <row r="236" s="2" customFormat="1" x14ac:dyDescent="0.2"/>
    <row r="237" s="2" customFormat="1" x14ac:dyDescent="0.2"/>
    <row r="238" s="2" customFormat="1" x14ac:dyDescent="0.2"/>
    <row r="239" s="2" customFormat="1" x14ac:dyDescent="0.2"/>
    <row r="240" s="2" customFormat="1" x14ac:dyDescent="0.2"/>
    <row r="241" s="2" customFormat="1" x14ac:dyDescent="0.2"/>
    <row r="242" s="2" customFormat="1" x14ac:dyDescent="0.2"/>
    <row r="243" s="2" customFormat="1" x14ac:dyDescent="0.2"/>
    <row r="244" s="2" customFormat="1" x14ac:dyDescent="0.2"/>
    <row r="245" s="2" customFormat="1" x14ac:dyDescent="0.2"/>
    <row r="246" s="2" customFormat="1" x14ac:dyDescent="0.2"/>
    <row r="247" s="2" customFormat="1" x14ac:dyDescent="0.2"/>
    <row r="248" s="2" customFormat="1" x14ac:dyDescent="0.2"/>
    <row r="249" s="2" customFormat="1" x14ac:dyDescent="0.2"/>
    <row r="250" s="2" customFormat="1" x14ac:dyDescent="0.2"/>
    <row r="251" s="2" customFormat="1" x14ac:dyDescent="0.2"/>
    <row r="252" s="2" customFormat="1" x14ac:dyDescent="0.2"/>
    <row r="253" s="2" customFormat="1" x14ac:dyDescent="0.2"/>
    <row r="254" s="2" customFormat="1" x14ac:dyDescent="0.2"/>
    <row r="255" s="2" customFormat="1" x14ac:dyDescent="0.2"/>
    <row r="256" s="2" customFormat="1" x14ac:dyDescent="0.2"/>
    <row r="257" s="2" customFormat="1" x14ac:dyDescent="0.2"/>
    <row r="258" s="2" customFormat="1" x14ac:dyDescent="0.2"/>
    <row r="259" s="2" customFormat="1" x14ac:dyDescent="0.2"/>
    <row r="260" s="2" customFormat="1" x14ac:dyDescent="0.2"/>
    <row r="261" s="2" customFormat="1" x14ac:dyDescent="0.2"/>
    <row r="262" s="2" customFormat="1" x14ac:dyDescent="0.2"/>
    <row r="263" s="2" customFormat="1" x14ac:dyDescent="0.2"/>
    <row r="264" s="2" customFormat="1" x14ac:dyDescent="0.2"/>
    <row r="265" s="2" customFormat="1" x14ac:dyDescent="0.2"/>
    <row r="266" s="2" customFormat="1" x14ac:dyDescent="0.2"/>
    <row r="267" s="2" customFormat="1" x14ac:dyDescent="0.2"/>
    <row r="268" s="2" customFormat="1" x14ac:dyDescent="0.2"/>
    <row r="269" s="2" customFormat="1" x14ac:dyDescent="0.2"/>
    <row r="270" s="2" customFormat="1" x14ac:dyDescent="0.2"/>
    <row r="271" s="2" customFormat="1" x14ac:dyDescent="0.2"/>
    <row r="272" s="2" customFormat="1" x14ac:dyDescent="0.2"/>
    <row r="273" s="2" customFormat="1" x14ac:dyDescent="0.2"/>
    <row r="274" s="2" customFormat="1" x14ac:dyDescent="0.2"/>
    <row r="275" s="2" customFormat="1" x14ac:dyDescent="0.2"/>
    <row r="276" s="2" customFormat="1" x14ac:dyDescent="0.2"/>
    <row r="277" s="2" customFormat="1" x14ac:dyDescent="0.2"/>
    <row r="278" s="2" customFormat="1" x14ac:dyDescent="0.2"/>
    <row r="279" s="2" customFormat="1" x14ac:dyDescent="0.2"/>
    <row r="280" s="2" customFormat="1" x14ac:dyDescent="0.2"/>
    <row r="281" s="2" customFormat="1" x14ac:dyDescent="0.2"/>
    <row r="282" s="2" customFormat="1" x14ac:dyDescent="0.2"/>
    <row r="283" s="2" customFormat="1" x14ac:dyDescent="0.2"/>
    <row r="284" s="2" customFormat="1" x14ac:dyDescent="0.2"/>
    <row r="285" s="2" customFormat="1" x14ac:dyDescent="0.2"/>
    <row r="286" s="2" customFormat="1" x14ac:dyDescent="0.2"/>
    <row r="287" s="2" customFormat="1" x14ac:dyDescent="0.2"/>
    <row r="288" s="2" customFormat="1" x14ac:dyDescent="0.2"/>
    <row r="289" s="2" customFormat="1" x14ac:dyDescent="0.2"/>
    <row r="290" s="2" customFormat="1" x14ac:dyDescent="0.2"/>
    <row r="291" s="2" customFormat="1" x14ac:dyDescent="0.2"/>
    <row r="292" s="2" customFormat="1" x14ac:dyDescent="0.2"/>
    <row r="293" s="2" customFormat="1" x14ac:dyDescent="0.2"/>
    <row r="294" s="2" customFormat="1" x14ac:dyDescent="0.2"/>
    <row r="295" s="2" customFormat="1" x14ac:dyDescent="0.2"/>
    <row r="296" s="2" customFormat="1" x14ac:dyDescent="0.2"/>
    <row r="297" s="2" customFormat="1" x14ac:dyDescent="0.2"/>
    <row r="298" s="2" customFormat="1" x14ac:dyDescent="0.2"/>
    <row r="299" s="2" customFormat="1" x14ac:dyDescent="0.2"/>
    <row r="300" s="2" customFormat="1" x14ac:dyDescent="0.2"/>
    <row r="301" s="2" customFormat="1" x14ac:dyDescent="0.2"/>
    <row r="302" s="2" customFormat="1" x14ac:dyDescent="0.2"/>
    <row r="303" s="2" customFormat="1" x14ac:dyDescent="0.2"/>
    <row r="304" s="2" customFormat="1" x14ac:dyDescent="0.2"/>
    <row r="305" s="2" customFormat="1" x14ac:dyDescent="0.2"/>
    <row r="306" s="2" customFormat="1" x14ac:dyDescent="0.2"/>
    <row r="307" s="2" customFormat="1" x14ac:dyDescent="0.2"/>
    <row r="308" s="2" customFormat="1" x14ac:dyDescent="0.2"/>
    <row r="309" s="2" customFormat="1" x14ac:dyDescent="0.2"/>
    <row r="310" s="2" customFormat="1" x14ac:dyDescent="0.2"/>
    <row r="311" s="2" customFormat="1" x14ac:dyDescent="0.2"/>
    <row r="312" s="2" customFormat="1" x14ac:dyDescent="0.2"/>
    <row r="313" s="2" customFormat="1" x14ac:dyDescent="0.2"/>
    <row r="314" s="2" customFormat="1" x14ac:dyDescent="0.2"/>
    <row r="315" s="2" customFormat="1" x14ac:dyDescent="0.2"/>
    <row r="316" s="2" customFormat="1" x14ac:dyDescent="0.2"/>
    <row r="317" s="2" customFormat="1" x14ac:dyDescent="0.2"/>
    <row r="318" s="2" customFormat="1" x14ac:dyDescent="0.2"/>
    <row r="319" s="2" customFormat="1" x14ac:dyDescent="0.2"/>
    <row r="320" s="2" customFormat="1" x14ac:dyDescent="0.2"/>
    <row r="321" s="2" customFormat="1" x14ac:dyDescent="0.2"/>
    <row r="322" s="2" customFormat="1" x14ac:dyDescent="0.2"/>
    <row r="323" s="2" customFormat="1" x14ac:dyDescent="0.2"/>
    <row r="324" s="2" customFormat="1" x14ac:dyDescent="0.2"/>
    <row r="325" s="2" customFormat="1" x14ac:dyDescent="0.2"/>
    <row r="326" s="2" customFormat="1" x14ac:dyDescent="0.2"/>
    <row r="327" s="2" customFormat="1" x14ac:dyDescent="0.2"/>
    <row r="328" s="2" customFormat="1" x14ac:dyDescent="0.2"/>
    <row r="329" s="2" customFormat="1" x14ac:dyDescent="0.2"/>
    <row r="330" s="2" customFormat="1" x14ac:dyDescent="0.2"/>
    <row r="331" s="2" customFormat="1" x14ac:dyDescent="0.2"/>
    <row r="332" s="2" customFormat="1" x14ac:dyDescent="0.2"/>
    <row r="333" s="2" customFormat="1" x14ac:dyDescent="0.2"/>
    <row r="334" s="2" customFormat="1" x14ac:dyDescent="0.2"/>
    <row r="335" s="2" customFormat="1" x14ac:dyDescent="0.2"/>
    <row r="336" s="2" customFormat="1" x14ac:dyDescent="0.2"/>
    <row r="337" s="2" customFormat="1" x14ac:dyDescent="0.2"/>
    <row r="338" s="2" customFormat="1" x14ac:dyDescent="0.2"/>
    <row r="339" s="2" customFormat="1" x14ac:dyDescent="0.2"/>
    <row r="340" s="2" customFormat="1" x14ac:dyDescent="0.2"/>
    <row r="341" s="2" customFormat="1" x14ac:dyDescent="0.2"/>
    <row r="342" s="2" customFormat="1" x14ac:dyDescent="0.2"/>
    <row r="343" s="2" customFormat="1" x14ac:dyDescent="0.2"/>
    <row r="344" s="2" customFormat="1" x14ac:dyDescent="0.2"/>
    <row r="345" s="2" customFormat="1" x14ac:dyDescent="0.2"/>
    <row r="346" s="2" customFormat="1" x14ac:dyDescent="0.2"/>
    <row r="347" s="2" customFormat="1" x14ac:dyDescent="0.2"/>
    <row r="348" s="2" customFormat="1" x14ac:dyDescent="0.2"/>
    <row r="349" s="2" customFormat="1" x14ac:dyDescent="0.2"/>
    <row r="350" s="2" customFormat="1" x14ac:dyDescent="0.2"/>
    <row r="351" s="2" customFormat="1" x14ac:dyDescent="0.2"/>
    <row r="352" s="2" customFormat="1" x14ac:dyDescent="0.2"/>
    <row r="353" s="2" customFormat="1" x14ac:dyDescent="0.2"/>
    <row r="354" s="2" customFormat="1" x14ac:dyDescent="0.2"/>
    <row r="355" s="2" customFormat="1" x14ac:dyDescent="0.2"/>
    <row r="356" s="2" customFormat="1" x14ac:dyDescent="0.2"/>
    <row r="357" s="2" customFormat="1" x14ac:dyDescent="0.2"/>
    <row r="358" s="2" customFormat="1" x14ac:dyDescent="0.2"/>
    <row r="359" s="2" customFormat="1" x14ac:dyDescent="0.2"/>
    <row r="360" s="2" customFormat="1" x14ac:dyDescent="0.2"/>
    <row r="361" s="2" customFormat="1" x14ac:dyDescent="0.2"/>
    <row r="362" s="2" customFormat="1" x14ac:dyDescent="0.2"/>
    <row r="363" s="2" customFormat="1" x14ac:dyDescent="0.2"/>
    <row r="364" s="2" customFormat="1" x14ac:dyDescent="0.2"/>
    <row r="365" s="2" customFormat="1" x14ac:dyDescent="0.2"/>
    <row r="366" s="2" customFormat="1" x14ac:dyDescent="0.2"/>
    <row r="367" s="2" customFormat="1" x14ac:dyDescent="0.2"/>
    <row r="368" s="2" customFormat="1" x14ac:dyDescent="0.2"/>
    <row r="369" s="2" customFormat="1" x14ac:dyDescent="0.2"/>
    <row r="370" s="2" customFormat="1" x14ac:dyDescent="0.2"/>
    <row r="371" s="2" customFormat="1" x14ac:dyDescent="0.2"/>
    <row r="372" s="2" customFormat="1" x14ac:dyDescent="0.2"/>
    <row r="373" s="2" customFormat="1" x14ac:dyDescent="0.2"/>
    <row r="374" s="2" customFormat="1" x14ac:dyDescent="0.2"/>
    <row r="375" s="2" customFormat="1" x14ac:dyDescent="0.2"/>
    <row r="376" s="2" customFormat="1" x14ac:dyDescent="0.2"/>
    <row r="377" s="2" customFormat="1" x14ac:dyDescent="0.2"/>
    <row r="378" s="2" customFormat="1" x14ac:dyDescent="0.2"/>
    <row r="379" s="2" customFormat="1" x14ac:dyDescent="0.2"/>
    <row r="380" s="2" customFormat="1" x14ac:dyDescent="0.2"/>
    <row r="381" s="2" customFormat="1" x14ac:dyDescent="0.2"/>
    <row r="382" s="2" customFormat="1" x14ac:dyDescent="0.2"/>
    <row r="383" s="2" customFormat="1" x14ac:dyDescent="0.2"/>
    <row r="384" s="2" customFormat="1" x14ac:dyDescent="0.2"/>
    <row r="385" s="2" customFormat="1" x14ac:dyDescent="0.2"/>
    <row r="386" s="2" customFormat="1" x14ac:dyDescent="0.2"/>
    <row r="387" s="2" customFormat="1" x14ac:dyDescent="0.2"/>
    <row r="388" s="2" customFormat="1" x14ac:dyDescent="0.2"/>
    <row r="389" s="2" customFormat="1" x14ac:dyDescent="0.2"/>
    <row r="390" s="2" customFormat="1" x14ac:dyDescent="0.2"/>
    <row r="391" s="2" customFormat="1" x14ac:dyDescent="0.2"/>
    <row r="392" s="2" customFormat="1" x14ac:dyDescent="0.2"/>
    <row r="393" s="2" customFormat="1" x14ac:dyDescent="0.2"/>
    <row r="394" s="2" customFormat="1" x14ac:dyDescent="0.2"/>
    <row r="395" s="2" customFormat="1" x14ac:dyDescent="0.2"/>
    <row r="396" s="2" customFormat="1" x14ac:dyDescent="0.2"/>
    <row r="397" s="2" customFormat="1" x14ac:dyDescent="0.2"/>
    <row r="398" s="2" customFormat="1" x14ac:dyDescent="0.2"/>
    <row r="399" s="2" customFormat="1" x14ac:dyDescent="0.2"/>
    <row r="400" s="2" customFormat="1" x14ac:dyDescent="0.2"/>
    <row r="401" s="2" customFormat="1" x14ac:dyDescent="0.2"/>
    <row r="402" s="2" customFormat="1" x14ac:dyDescent="0.2"/>
    <row r="403" s="2" customFormat="1" x14ac:dyDescent="0.2"/>
    <row r="404" s="2" customFormat="1" x14ac:dyDescent="0.2"/>
    <row r="405" s="2" customFormat="1" x14ac:dyDescent="0.2"/>
    <row r="406" s="2" customFormat="1" x14ac:dyDescent="0.2"/>
    <row r="407" s="2" customFormat="1" x14ac:dyDescent="0.2"/>
    <row r="408" s="2" customFormat="1" x14ac:dyDescent="0.2"/>
    <row r="409" s="2" customFormat="1" x14ac:dyDescent="0.2"/>
    <row r="410" s="2" customFormat="1" x14ac:dyDescent="0.2"/>
    <row r="411" s="2" customFormat="1" x14ac:dyDescent="0.2"/>
    <row r="412" s="2" customFormat="1" x14ac:dyDescent="0.2"/>
    <row r="413" s="2" customFormat="1" x14ac:dyDescent="0.2"/>
    <row r="414" s="2" customFormat="1" x14ac:dyDescent="0.2"/>
    <row r="415" s="2" customFormat="1" x14ac:dyDescent="0.2"/>
    <row r="416" s="2" customFormat="1" x14ac:dyDescent="0.2"/>
    <row r="417" s="2" customFormat="1" x14ac:dyDescent="0.2"/>
    <row r="418" s="2" customFormat="1" x14ac:dyDescent="0.2"/>
    <row r="419" s="2" customFormat="1" x14ac:dyDescent="0.2"/>
    <row r="420" s="2" customFormat="1" x14ac:dyDescent="0.2"/>
    <row r="421" s="2" customFormat="1" x14ac:dyDescent="0.2"/>
    <row r="422" s="2" customFormat="1" x14ac:dyDescent="0.2"/>
    <row r="423" s="2" customFormat="1" x14ac:dyDescent="0.2"/>
    <row r="424" s="2" customFormat="1" x14ac:dyDescent="0.2"/>
    <row r="425" s="2" customFormat="1" x14ac:dyDescent="0.2"/>
    <row r="426" s="2" customFormat="1" x14ac:dyDescent="0.2"/>
    <row r="427" s="2" customFormat="1" x14ac:dyDescent="0.2"/>
    <row r="428" s="2" customFormat="1" x14ac:dyDescent="0.2"/>
    <row r="429" s="2" customFormat="1" x14ac:dyDescent="0.2"/>
    <row r="430" s="2" customFormat="1" x14ac:dyDescent="0.2"/>
    <row r="431" s="2" customFormat="1" x14ac:dyDescent="0.2"/>
    <row r="432" s="2" customFormat="1" x14ac:dyDescent="0.2"/>
    <row r="433" s="2" customFormat="1" x14ac:dyDescent="0.2"/>
    <row r="434" s="2" customFormat="1" x14ac:dyDescent="0.2"/>
    <row r="435" s="2" customFormat="1" x14ac:dyDescent="0.2"/>
    <row r="436" s="2" customFormat="1" x14ac:dyDescent="0.2"/>
    <row r="437" s="2" customFormat="1" x14ac:dyDescent="0.2"/>
    <row r="438" s="2" customFormat="1" x14ac:dyDescent="0.2"/>
    <row r="439" s="2" customFormat="1" x14ac:dyDescent="0.2"/>
    <row r="440" s="2" customFormat="1" x14ac:dyDescent="0.2"/>
    <row r="441" s="2" customFormat="1" x14ac:dyDescent="0.2"/>
    <row r="442" s="2" customFormat="1" x14ac:dyDescent="0.2"/>
    <row r="443" s="2" customFormat="1" x14ac:dyDescent="0.2"/>
    <row r="444" s="2" customFormat="1" x14ac:dyDescent="0.2"/>
    <row r="445" s="2" customFormat="1" x14ac:dyDescent="0.2"/>
    <row r="446" s="2" customFormat="1" x14ac:dyDescent="0.2"/>
    <row r="447" s="2" customFormat="1" x14ac:dyDescent="0.2"/>
    <row r="448" s="2" customFormat="1" x14ac:dyDescent="0.2"/>
    <row r="449" s="2" customFormat="1" x14ac:dyDescent="0.2"/>
    <row r="450" s="2" customFormat="1" x14ac:dyDescent="0.2"/>
    <row r="451" s="2" customFormat="1" x14ac:dyDescent="0.2"/>
    <row r="452" s="2" customFormat="1" x14ac:dyDescent="0.2"/>
    <row r="453" s="2" customFormat="1" x14ac:dyDescent="0.2"/>
    <row r="454" s="2" customFormat="1" x14ac:dyDescent="0.2"/>
    <row r="455" s="2" customFormat="1" x14ac:dyDescent="0.2"/>
    <row r="456" s="2" customFormat="1" x14ac:dyDescent="0.2"/>
    <row r="457" s="2" customFormat="1" x14ac:dyDescent="0.2"/>
    <row r="458" s="2" customFormat="1" x14ac:dyDescent="0.2"/>
    <row r="459" s="2" customFormat="1" x14ac:dyDescent="0.2"/>
    <row r="460" s="2" customFormat="1" x14ac:dyDescent="0.2"/>
    <row r="461" s="2" customFormat="1" x14ac:dyDescent="0.2"/>
    <row r="462" s="2" customFormat="1" x14ac:dyDescent="0.2"/>
    <row r="463" s="2" customFormat="1" x14ac:dyDescent="0.2"/>
    <row r="464" s="2" customFormat="1" x14ac:dyDescent="0.2"/>
    <row r="465" s="2" customFormat="1" x14ac:dyDescent="0.2"/>
    <row r="466" s="2" customFormat="1" x14ac:dyDescent="0.2"/>
    <row r="467" s="2" customFormat="1" x14ac:dyDescent="0.2"/>
    <row r="468" s="2" customFormat="1" x14ac:dyDescent="0.2"/>
    <row r="469" s="2" customFormat="1" x14ac:dyDescent="0.2"/>
    <row r="470" s="2" customFormat="1" x14ac:dyDescent="0.2"/>
    <row r="471" s="2" customFormat="1" x14ac:dyDescent="0.2"/>
    <row r="472" s="2" customFormat="1" x14ac:dyDescent="0.2"/>
    <row r="473" s="2" customFormat="1" x14ac:dyDescent="0.2"/>
    <row r="474" s="2" customFormat="1" x14ac:dyDescent="0.2"/>
    <row r="475" s="2" customFormat="1" x14ac:dyDescent="0.2"/>
    <row r="476" s="2" customFormat="1" x14ac:dyDescent="0.2"/>
    <row r="477" s="2" customFormat="1" x14ac:dyDescent="0.2"/>
    <row r="478" s="2" customFormat="1" x14ac:dyDescent="0.2"/>
    <row r="479" s="2" customFormat="1" x14ac:dyDescent="0.2"/>
    <row r="480" s="2" customFormat="1" x14ac:dyDescent="0.2"/>
    <row r="481" s="2" customFormat="1" x14ac:dyDescent="0.2"/>
    <row r="482" s="2" customFormat="1" x14ac:dyDescent="0.2"/>
    <row r="483" s="2" customFormat="1" x14ac:dyDescent="0.2"/>
    <row r="484" s="2" customFormat="1" x14ac:dyDescent="0.2"/>
    <row r="485" s="2" customFormat="1" x14ac:dyDescent="0.2"/>
    <row r="486" s="2" customFormat="1" x14ac:dyDescent="0.2"/>
    <row r="487" s="2" customFormat="1" x14ac:dyDescent="0.2"/>
    <row r="488" s="2" customFormat="1" x14ac:dyDescent="0.2"/>
    <row r="489" s="2" customFormat="1" x14ac:dyDescent="0.2"/>
    <row r="490" s="2" customFormat="1" x14ac:dyDescent="0.2"/>
    <row r="491" s="2" customFormat="1" x14ac:dyDescent="0.2"/>
    <row r="492" s="2" customFormat="1" x14ac:dyDescent="0.2"/>
    <row r="493" s="2" customFormat="1" x14ac:dyDescent="0.2"/>
    <row r="494" s="2" customFormat="1" x14ac:dyDescent="0.2"/>
    <row r="495" s="2" customFormat="1" x14ac:dyDescent="0.2"/>
    <row r="496" s="2" customFormat="1" x14ac:dyDescent="0.2"/>
    <row r="497" s="2" customFormat="1" x14ac:dyDescent="0.2"/>
    <row r="498" s="2" customFormat="1" x14ac:dyDescent="0.2"/>
    <row r="499" s="2" customFormat="1" x14ac:dyDescent="0.2"/>
    <row r="500" s="2" customFormat="1" x14ac:dyDescent="0.2"/>
    <row r="501" s="2" customFormat="1" x14ac:dyDescent="0.2"/>
    <row r="502" s="2" customFormat="1" x14ac:dyDescent="0.2"/>
    <row r="503" s="2" customFormat="1" x14ac:dyDescent="0.2"/>
    <row r="504" s="2" customFormat="1" x14ac:dyDescent="0.2"/>
    <row r="505" s="2" customFormat="1" x14ac:dyDescent="0.2"/>
    <row r="506" s="2" customFormat="1" x14ac:dyDescent="0.2"/>
    <row r="507" s="2" customFormat="1" x14ac:dyDescent="0.2"/>
    <row r="508" s="2" customFormat="1" x14ac:dyDescent="0.2"/>
    <row r="509" s="2" customFormat="1" x14ac:dyDescent="0.2"/>
    <row r="510" s="2" customFormat="1" x14ac:dyDescent="0.2"/>
    <row r="511" s="2" customFormat="1" x14ac:dyDescent="0.2"/>
    <row r="512" s="2" customFormat="1" x14ac:dyDescent="0.2"/>
    <row r="513" s="2" customFormat="1" x14ac:dyDescent="0.2"/>
    <row r="514" s="2" customFormat="1" x14ac:dyDescent="0.2"/>
    <row r="515" s="2" customFormat="1" x14ac:dyDescent="0.2"/>
    <row r="516" s="2" customFormat="1" x14ac:dyDescent="0.2"/>
    <row r="517" s="2" customFormat="1" x14ac:dyDescent="0.2"/>
    <row r="518" s="2" customFormat="1" x14ac:dyDescent="0.2"/>
    <row r="519" s="2" customFormat="1" x14ac:dyDescent="0.2"/>
    <row r="520" s="2" customFormat="1" x14ac:dyDescent="0.2"/>
    <row r="521" s="2" customFormat="1" x14ac:dyDescent="0.2"/>
    <row r="522" s="2" customFormat="1" x14ac:dyDescent="0.2"/>
    <row r="523" s="2" customFormat="1" x14ac:dyDescent="0.2"/>
    <row r="524" s="2" customFormat="1" x14ac:dyDescent="0.2"/>
    <row r="525" s="2" customFormat="1" x14ac:dyDescent="0.2"/>
    <row r="526" s="2" customFormat="1" x14ac:dyDescent="0.2"/>
    <row r="527" s="2" customFormat="1" x14ac:dyDescent="0.2"/>
    <row r="528" s="2" customFormat="1" x14ac:dyDescent="0.2"/>
    <row r="529" s="2" customFormat="1" x14ac:dyDescent="0.2"/>
    <row r="530" s="2" customFormat="1" x14ac:dyDescent="0.2"/>
    <row r="531" s="2" customFormat="1" x14ac:dyDescent="0.2"/>
    <row r="532" s="2" customFormat="1" x14ac:dyDescent="0.2"/>
    <row r="533" s="2" customFormat="1" x14ac:dyDescent="0.2"/>
    <row r="534" s="2" customFormat="1" x14ac:dyDescent="0.2"/>
    <row r="535" s="2" customFormat="1" x14ac:dyDescent="0.2"/>
    <row r="536" s="2" customFormat="1" x14ac:dyDescent="0.2"/>
    <row r="537" s="2" customFormat="1" x14ac:dyDescent="0.2"/>
    <row r="538" s="2" customFormat="1" x14ac:dyDescent="0.2"/>
    <row r="539" s="2" customFormat="1" x14ac:dyDescent="0.2"/>
    <row r="540" s="2" customFormat="1" x14ac:dyDescent="0.2"/>
    <row r="541" s="2" customFormat="1" x14ac:dyDescent="0.2"/>
    <row r="542" s="2" customFormat="1" x14ac:dyDescent="0.2"/>
    <row r="543" s="2" customFormat="1" x14ac:dyDescent="0.2"/>
    <row r="544" s="2" customFormat="1" x14ac:dyDescent="0.2"/>
    <row r="545" s="2" customFormat="1" x14ac:dyDescent="0.2"/>
    <row r="546" s="2" customFormat="1" x14ac:dyDescent="0.2"/>
    <row r="547" s="2" customFormat="1" x14ac:dyDescent="0.2"/>
    <row r="548" s="2" customFormat="1" x14ac:dyDescent="0.2"/>
    <row r="549" s="2" customFormat="1" x14ac:dyDescent="0.2"/>
    <row r="550" s="2" customFormat="1" x14ac:dyDescent="0.2"/>
    <row r="551" s="2" customFormat="1" x14ac:dyDescent="0.2"/>
    <row r="552" s="2" customFormat="1" x14ac:dyDescent="0.2"/>
    <row r="553" s="2" customFormat="1" x14ac:dyDescent="0.2"/>
    <row r="554" s="2" customFormat="1" x14ac:dyDescent="0.2"/>
    <row r="555" s="2" customFormat="1" x14ac:dyDescent="0.2"/>
    <row r="556" s="2" customFormat="1" x14ac:dyDescent="0.2"/>
    <row r="557" s="2" customFormat="1" x14ac:dyDescent="0.2"/>
    <row r="558" s="2" customFormat="1" x14ac:dyDescent="0.2"/>
    <row r="559" s="2" customFormat="1" x14ac:dyDescent="0.2"/>
    <row r="560" s="2" customFormat="1" x14ac:dyDescent="0.2"/>
    <row r="561" s="2" customFormat="1" x14ac:dyDescent="0.2"/>
    <row r="562" s="2" customFormat="1" x14ac:dyDescent="0.2"/>
    <row r="563" s="2" customFormat="1" x14ac:dyDescent="0.2"/>
    <row r="564" s="2" customFormat="1" x14ac:dyDescent="0.2"/>
    <row r="565" s="2" customFormat="1" x14ac:dyDescent="0.2"/>
    <row r="566" s="2" customFormat="1" x14ac:dyDescent="0.2"/>
    <row r="567" s="2" customFormat="1" x14ac:dyDescent="0.2"/>
    <row r="568" s="2" customFormat="1" x14ac:dyDescent="0.2"/>
    <row r="569" s="2" customFormat="1" x14ac:dyDescent="0.2"/>
    <row r="570" s="2" customFormat="1" x14ac:dyDescent="0.2"/>
    <row r="571" s="2" customFormat="1" x14ac:dyDescent="0.2"/>
    <row r="572" s="2" customFormat="1" x14ac:dyDescent="0.2"/>
    <row r="573" s="2" customFormat="1" x14ac:dyDescent="0.2"/>
    <row r="574" s="2" customFormat="1" x14ac:dyDescent="0.2"/>
    <row r="575" s="2" customFormat="1" x14ac:dyDescent="0.2"/>
    <row r="576" s="2" customFormat="1" x14ac:dyDescent="0.2"/>
    <row r="577" s="2" customFormat="1" x14ac:dyDescent="0.2"/>
    <row r="578" s="2" customFormat="1" x14ac:dyDescent="0.2"/>
    <row r="579" s="2" customFormat="1" x14ac:dyDescent="0.2"/>
    <row r="580" s="2" customFormat="1" x14ac:dyDescent="0.2"/>
    <row r="581" s="2" customFormat="1" x14ac:dyDescent="0.2"/>
    <row r="582" s="2" customFormat="1" x14ac:dyDescent="0.2"/>
    <row r="583" s="2" customFormat="1" x14ac:dyDescent="0.2"/>
    <row r="584" s="2" customFormat="1" x14ac:dyDescent="0.2"/>
    <row r="585" s="2" customFormat="1" x14ac:dyDescent="0.2"/>
    <row r="586" s="2" customFormat="1" x14ac:dyDescent="0.2"/>
    <row r="587" s="2" customFormat="1" x14ac:dyDescent="0.2"/>
    <row r="588" s="2" customFormat="1" x14ac:dyDescent="0.2"/>
    <row r="589" s="2" customFormat="1" x14ac:dyDescent="0.2"/>
    <row r="590" s="2" customFormat="1" x14ac:dyDescent="0.2"/>
    <row r="591" s="2" customFormat="1" x14ac:dyDescent="0.2"/>
    <row r="592" s="2" customFormat="1" x14ac:dyDescent="0.2"/>
    <row r="593" s="2" customFormat="1" x14ac:dyDescent="0.2"/>
    <row r="594" s="2" customFormat="1" x14ac:dyDescent="0.2"/>
    <row r="595" s="2" customFormat="1" x14ac:dyDescent="0.2"/>
    <row r="596" s="2" customFormat="1" x14ac:dyDescent="0.2"/>
    <row r="597" s="2" customFormat="1" x14ac:dyDescent="0.2"/>
    <row r="598" s="2" customFormat="1" x14ac:dyDescent="0.2"/>
    <row r="599" s="2" customFormat="1" x14ac:dyDescent="0.2"/>
    <row r="600" s="2" customFormat="1" x14ac:dyDescent="0.2"/>
    <row r="601" s="2" customFormat="1" x14ac:dyDescent="0.2"/>
    <row r="602" s="2" customFormat="1" x14ac:dyDescent="0.2"/>
    <row r="603" s="2" customFormat="1" x14ac:dyDescent="0.2"/>
    <row r="604" s="2" customFormat="1" x14ac:dyDescent="0.2"/>
    <row r="605" s="2" customFormat="1" x14ac:dyDescent="0.2"/>
    <row r="606" s="2" customFormat="1" x14ac:dyDescent="0.2"/>
    <row r="607" s="2" customFormat="1" x14ac:dyDescent="0.2"/>
    <row r="608" s="2" customFormat="1" x14ac:dyDescent="0.2"/>
    <row r="609" s="2" customFormat="1" x14ac:dyDescent="0.2"/>
    <row r="610" s="2" customFormat="1" x14ac:dyDescent="0.2"/>
    <row r="611" s="2" customFormat="1" x14ac:dyDescent="0.2"/>
    <row r="612" s="2" customFormat="1" x14ac:dyDescent="0.2"/>
    <row r="613" s="2" customFormat="1" x14ac:dyDescent="0.2"/>
    <row r="614" s="2" customFormat="1" x14ac:dyDescent="0.2"/>
    <row r="615" s="2" customFormat="1" x14ac:dyDescent="0.2"/>
    <row r="616" s="2" customFormat="1" x14ac:dyDescent="0.2"/>
    <row r="617" s="2" customFormat="1" x14ac:dyDescent="0.2"/>
    <row r="618" s="2" customFormat="1" x14ac:dyDescent="0.2"/>
    <row r="619" s="2" customFormat="1" x14ac:dyDescent="0.2"/>
    <row r="620" s="2" customFormat="1" x14ac:dyDescent="0.2"/>
    <row r="621" s="2" customFormat="1" x14ac:dyDescent="0.2"/>
    <row r="622" s="2" customFormat="1" x14ac:dyDescent="0.2"/>
    <row r="623" s="2" customFormat="1" x14ac:dyDescent="0.2"/>
    <row r="624" s="2" customFormat="1" x14ac:dyDescent="0.2"/>
    <row r="625" s="2" customFormat="1" x14ac:dyDescent="0.2"/>
    <row r="626" s="2" customFormat="1" x14ac:dyDescent="0.2"/>
    <row r="627" s="2" customFormat="1" x14ac:dyDescent="0.2"/>
    <row r="628" s="2" customFormat="1" x14ac:dyDescent="0.2"/>
    <row r="629" s="2" customFormat="1" x14ac:dyDescent="0.2"/>
    <row r="630" s="2" customFormat="1" x14ac:dyDescent="0.2"/>
    <row r="631" s="2" customFormat="1" x14ac:dyDescent="0.2"/>
    <row r="632" s="2" customFormat="1" x14ac:dyDescent="0.2"/>
    <row r="633" s="2" customFormat="1" x14ac:dyDescent="0.2"/>
    <row r="634" s="2" customFormat="1" x14ac:dyDescent="0.2"/>
    <row r="635" s="2" customFormat="1" x14ac:dyDescent="0.2"/>
    <row r="636" s="2" customFormat="1" x14ac:dyDescent="0.2"/>
    <row r="637" s="2" customFormat="1" x14ac:dyDescent="0.2"/>
    <row r="638" s="2" customFormat="1" x14ac:dyDescent="0.2"/>
    <row r="639" s="2" customFormat="1" x14ac:dyDescent="0.2"/>
    <row r="640" s="2" customFormat="1" x14ac:dyDescent="0.2"/>
    <row r="641" s="2" customFormat="1" x14ac:dyDescent="0.2"/>
    <row r="642" s="2" customFormat="1" x14ac:dyDescent="0.2"/>
    <row r="643" s="2" customFormat="1" x14ac:dyDescent="0.2"/>
    <row r="644" s="2" customFormat="1" x14ac:dyDescent="0.2"/>
    <row r="645" s="2" customFormat="1" x14ac:dyDescent="0.2"/>
    <row r="646" s="2" customFormat="1" x14ac:dyDescent="0.2"/>
    <row r="647" s="2" customFormat="1" x14ac:dyDescent="0.2"/>
    <row r="648" s="2" customFormat="1" x14ac:dyDescent="0.2"/>
    <row r="649" s="2" customFormat="1" x14ac:dyDescent="0.2"/>
    <row r="650" s="2" customFormat="1" x14ac:dyDescent="0.2"/>
    <row r="651" s="2" customFormat="1" x14ac:dyDescent="0.2"/>
    <row r="652" s="2" customFormat="1" x14ac:dyDescent="0.2"/>
    <row r="653" s="2" customFormat="1" x14ac:dyDescent="0.2"/>
    <row r="654" s="2" customFormat="1" x14ac:dyDescent="0.2"/>
    <row r="655" s="2" customFormat="1" x14ac:dyDescent="0.2"/>
    <row r="656" s="2" customFormat="1" x14ac:dyDescent="0.2"/>
    <row r="657" s="2" customFormat="1" x14ac:dyDescent="0.2"/>
    <row r="658" s="2" customFormat="1" x14ac:dyDescent="0.2"/>
    <row r="659" s="2" customFormat="1" x14ac:dyDescent="0.2"/>
    <row r="660" s="2" customFormat="1" x14ac:dyDescent="0.2"/>
    <row r="661" s="2" customFormat="1" x14ac:dyDescent="0.2"/>
    <row r="662" s="2" customFormat="1" x14ac:dyDescent="0.2"/>
    <row r="663" s="2" customFormat="1" x14ac:dyDescent="0.2"/>
    <row r="664" s="2" customFormat="1" x14ac:dyDescent="0.2"/>
    <row r="665" s="2" customFormat="1" x14ac:dyDescent="0.2"/>
    <row r="666" s="2" customFormat="1" x14ac:dyDescent="0.2"/>
    <row r="667" s="2" customFormat="1" x14ac:dyDescent="0.2"/>
    <row r="668" s="2" customFormat="1" x14ac:dyDescent="0.2"/>
    <row r="669" s="2" customFormat="1" x14ac:dyDescent="0.2"/>
    <row r="670" s="2" customFormat="1" x14ac:dyDescent="0.2"/>
    <row r="671" s="2" customFormat="1" x14ac:dyDescent="0.2"/>
    <row r="672" s="2" customFormat="1" x14ac:dyDescent="0.2"/>
    <row r="673" s="2" customFormat="1" x14ac:dyDescent="0.2"/>
    <row r="674" s="2" customFormat="1" x14ac:dyDescent="0.2"/>
    <row r="675" s="2" customFormat="1" x14ac:dyDescent="0.2"/>
    <row r="676" s="2" customFormat="1" x14ac:dyDescent="0.2"/>
    <row r="677" s="2" customFormat="1" x14ac:dyDescent="0.2"/>
    <row r="678" s="2" customFormat="1" x14ac:dyDescent="0.2"/>
    <row r="679" s="2" customFormat="1" x14ac:dyDescent="0.2"/>
    <row r="680" s="2" customFormat="1" x14ac:dyDescent="0.2"/>
    <row r="681" s="2" customFormat="1" x14ac:dyDescent="0.2"/>
    <row r="682" s="2" customFormat="1" x14ac:dyDescent="0.2"/>
    <row r="683" s="2" customFormat="1" x14ac:dyDescent="0.2"/>
    <row r="684" s="2" customFormat="1" x14ac:dyDescent="0.2"/>
    <row r="685" s="2" customFormat="1" x14ac:dyDescent="0.2"/>
    <row r="686" s="2" customFormat="1" x14ac:dyDescent="0.2"/>
    <row r="687" s="2" customFormat="1" x14ac:dyDescent="0.2"/>
    <row r="688" s="2" customFormat="1" x14ac:dyDescent="0.2"/>
    <row r="689" s="2" customFormat="1" x14ac:dyDescent="0.2"/>
    <row r="690" s="2" customFormat="1" x14ac:dyDescent="0.2"/>
    <row r="691" s="2" customFormat="1" x14ac:dyDescent="0.2"/>
    <row r="692" s="2" customFormat="1" x14ac:dyDescent="0.2"/>
    <row r="693" s="2" customFormat="1" x14ac:dyDescent="0.2"/>
    <row r="694" s="2" customFormat="1" x14ac:dyDescent="0.2"/>
    <row r="695" s="2" customFormat="1" x14ac:dyDescent="0.2"/>
    <row r="696" s="2" customFormat="1" x14ac:dyDescent="0.2"/>
    <row r="697" s="2" customFormat="1" x14ac:dyDescent="0.2"/>
    <row r="698" s="2" customFormat="1" x14ac:dyDescent="0.2"/>
    <row r="699" s="2" customFormat="1" x14ac:dyDescent="0.2"/>
    <row r="700" s="2" customFormat="1" x14ac:dyDescent="0.2"/>
    <row r="701" s="2" customFormat="1" x14ac:dyDescent="0.2"/>
    <row r="702" s="2" customFormat="1" x14ac:dyDescent="0.2"/>
    <row r="703" s="2" customFormat="1" x14ac:dyDescent="0.2"/>
    <row r="704" s="2" customFormat="1" x14ac:dyDescent="0.2"/>
    <row r="705" s="2" customFormat="1" x14ac:dyDescent="0.2"/>
    <row r="706" s="2" customFormat="1" x14ac:dyDescent="0.2"/>
    <row r="707" s="2" customFormat="1" x14ac:dyDescent="0.2"/>
    <row r="708" s="2" customFormat="1" x14ac:dyDescent="0.2"/>
    <row r="709" s="2" customFormat="1" x14ac:dyDescent="0.2"/>
    <row r="710" s="2" customFormat="1" x14ac:dyDescent="0.2"/>
    <row r="711" s="2" customFormat="1" x14ac:dyDescent="0.2"/>
    <row r="712" s="2" customFormat="1" x14ac:dyDescent="0.2"/>
    <row r="713" s="2" customFormat="1" x14ac:dyDescent="0.2"/>
    <row r="714" s="2" customFormat="1" x14ac:dyDescent="0.2"/>
    <row r="715" s="2" customFormat="1" x14ac:dyDescent="0.2"/>
    <row r="716" s="2" customFormat="1" x14ac:dyDescent="0.2"/>
    <row r="717" s="2" customFormat="1" x14ac:dyDescent="0.2"/>
    <row r="718" s="2" customFormat="1" x14ac:dyDescent="0.2"/>
    <row r="719" s="2" customFormat="1" x14ac:dyDescent="0.2"/>
    <row r="720" s="2" customFormat="1" x14ac:dyDescent="0.2"/>
    <row r="721" s="2" customFormat="1" x14ac:dyDescent="0.2"/>
    <row r="722" s="2" customFormat="1" x14ac:dyDescent="0.2"/>
    <row r="723" s="2" customFormat="1" x14ac:dyDescent="0.2"/>
    <row r="724" s="2" customFormat="1" x14ac:dyDescent="0.2"/>
    <row r="725" s="2" customFormat="1" x14ac:dyDescent="0.2"/>
    <row r="726" s="2" customFormat="1" x14ac:dyDescent="0.2"/>
    <row r="727" s="2" customFormat="1" x14ac:dyDescent="0.2"/>
    <row r="728" s="2" customFormat="1" x14ac:dyDescent="0.2"/>
    <row r="729" s="2" customFormat="1" x14ac:dyDescent="0.2"/>
    <row r="730" s="2" customFormat="1" x14ac:dyDescent="0.2"/>
    <row r="731" s="2" customFormat="1" x14ac:dyDescent="0.2"/>
    <row r="732" s="2" customFormat="1" x14ac:dyDescent="0.2"/>
    <row r="733" s="2" customFormat="1" x14ac:dyDescent="0.2"/>
    <row r="734" s="2" customFormat="1" x14ac:dyDescent="0.2"/>
    <row r="735" s="2" customFormat="1" x14ac:dyDescent="0.2"/>
    <row r="736" s="2" customFormat="1" x14ac:dyDescent="0.2"/>
    <row r="737" s="2" customFormat="1" x14ac:dyDescent="0.2"/>
    <row r="738" s="2" customFormat="1" x14ac:dyDescent="0.2"/>
    <row r="739" s="2" customFormat="1" x14ac:dyDescent="0.2"/>
    <row r="740" s="2" customFormat="1" x14ac:dyDescent="0.2"/>
    <row r="741" s="2" customFormat="1" x14ac:dyDescent="0.2"/>
    <row r="742" s="2" customFormat="1" x14ac:dyDescent="0.2"/>
    <row r="743" s="2" customFormat="1" x14ac:dyDescent="0.2"/>
    <row r="744" s="2" customFormat="1" x14ac:dyDescent="0.2"/>
    <row r="745" s="2" customFormat="1" x14ac:dyDescent="0.2"/>
    <row r="746" s="2" customFormat="1" x14ac:dyDescent="0.2"/>
    <row r="747" s="2" customFormat="1" x14ac:dyDescent="0.2"/>
    <row r="748" s="2" customFormat="1" x14ac:dyDescent="0.2"/>
    <row r="749" s="2" customFormat="1" x14ac:dyDescent="0.2"/>
    <row r="750" s="2" customFormat="1" x14ac:dyDescent="0.2"/>
    <row r="751" s="2" customFormat="1" x14ac:dyDescent="0.2"/>
    <row r="752" s="2" customFormat="1" x14ac:dyDescent="0.2"/>
    <row r="753" s="2" customFormat="1" x14ac:dyDescent="0.2"/>
    <row r="754" s="2" customFormat="1" x14ac:dyDescent="0.2"/>
    <row r="755" s="2" customFormat="1" x14ac:dyDescent="0.2"/>
    <row r="756" s="2" customFormat="1" x14ac:dyDescent="0.2"/>
    <row r="757" s="2" customFormat="1" x14ac:dyDescent="0.2"/>
    <row r="758" s="2" customFormat="1" x14ac:dyDescent="0.2"/>
    <row r="759" s="2" customFormat="1" x14ac:dyDescent="0.2"/>
    <row r="760" s="2" customFormat="1" x14ac:dyDescent="0.2"/>
    <row r="761" s="2" customFormat="1" x14ac:dyDescent="0.2"/>
    <row r="762" s="2" customFormat="1" x14ac:dyDescent="0.2"/>
    <row r="763" s="2" customFormat="1" x14ac:dyDescent="0.2"/>
    <row r="764" s="2" customFormat="1" x14ac:dyDescent="0.2"/>
    <row r="765" s="2" customFormat="1" x14ac:dyDescent="0.2"/>
    <row r="766" s="2" customFormat="1" x14ac:dyDescent="0.2"/>
    <row r="767" s="2" customFormat="1" x14ac:dyDescent="0.2"/>
    <row r="768" s="2" customFormat="1" x14ac:dyDescent="0.2"/>
    <row r="769" s="2" customFormat="1" x14ac:dyDescent="0.2"/>
    <row r="770" s="2" customFormat="1" x14ac:dyDescent="0.2"/>
    <row r="771" s="2" customFormat="1" x14ac:dyDescent="0.2"/>
    <row r="772" s="2" customFormat="1" x14ac:dyDescent="0.2"/>
    <row r="773" s="2" customFormat="1" x14ac:dyDescent="0.2"/>
    <row r="774" s="2" customFormat="1" x14ac:dyDescent="0.2"/>
    <row r="775" s="2" customFormat="1" x14ac:dyDescent="0.2"/>
    <row r="776" s="2" customFormat="1" x14ac:dyDescent="0.2"/>
    <row r="777" s="2" customFormat="1" x14ac:dyDescent="0.2"/>
    <row r="778" s="2" customFormat="1" x14ac:dyDescent="0.2"/>
    <row r="779" s="2" customFormat="1" x14ac:dyDescent="0.2"/>
    <row r="780" s="2" customFormat="1" x14ac:dyDescent="0.2"/>
    <row r="781" s="2" customFormat="1" x14ac:dyDescent="0.2"/>
    <row r="782" s="2" customFormat="1" x14ac:dyDescent="0.2"/>
    <row r="783" s="2" customFormat="1" x14ac:dyDescent="0.2"/>
    <row r="784" s="2" customFormat="1" x14ac:dyDescent="0.2"/>
    <row r="785" s="2" customFormat="1" x14ac:dyDescent="0.2"/>
    <row r="786" s="2" customFormat="1" x14ac:dyDescent="0.2"/>
    <row r="787" s="2" customFormat="1" x14ac:dyDescent="0.2"/>
    <row r="788" s="2" customFormat="1" x14ac:dyDescent="0.2"/>
    <row r="789" s="2" customFormat="1" x14ac:dyDescent="0.2"/>
    <row r="790" s="2" customFormat="1" x14ac:dyDescent="0.2"/>
    <row r="791" s="2" customFormat="1" x14ac:dyDescent="0.2"/>
    <row r="792" s="2" customFormat="1" x14ac:dyDescent="0.2"/>
    <row r="793" s="2" customFormat="1" x14ac:dyDescent="0.2"/>
    <row r="794" s="2" customFormat="1" x14ac:dyDescent="0.2"/>
    <row r="795" s="2" customFormat="1" x14ac:dyDescent="0.2"/>
    <row r="796" s="2" customFormat="1" x14ac:dyDescent="0.2"/>
    <row r="797" s="2" customFormat="1" x14ac:dyDescent="0.2"/>
    <row r="798" s="2" customFormat="1" x14ac:dyDescent="0.2"/>
    <row r="799" s="2" customFormat="1" x14ac:dyDescent="0.2"/>
    <row r="800" s="2" customFormat="1" x14ac:dyDescent="0.2"/>
    <row r="801" s="2" customFormat="1" x14ac:dyDescent="0.2"/>
    <row r="802" s="2" customFormat="1" x14ac:dyDescent="0.2"/>
    <row r="803" s="2" customFormat="1" x14ac:dyDescent="0.2"/>
    <row r="804" s="2" customFormat="1" x14ac:dyDescent="0.2"/>
    <row r="805" s="2" customFormat="1" x14ac:dyDescent="0.2"/>
    <row r="806" s="2" customFormat="1" x14ac:dyDescent="0.2"/>
    <row r="807" s="2" customFormat="1" x14ac:dyDescent="0.2"/>
    <row r="808" s="2" customFormat="1" x14ac:dyDescent="0.2"/>
    <row r="809" s="2" customFormat="1" x14ac:dyDescent="0.2"/>
    <row r="810" s="2" customFormat="1" x14ac:dyDescent="0.2"/>
    <row r="811" s="2" customFormat="1" x14ac:dyDescent="0.2"/>
    <row r="812" s="2" customFormat="1" x14ac:dyDescent="0.2"/>
    <row r="813" s="2" customFormat="1" x14ac:dyDescent="0.2"/>
    <row r="814" s="2" customFormat="1" x14ac:dyDescent="0.2"/>
    <row r="815" s="2" customFormat="1" x14ac:dyDescent="0.2"/>
    <row r="816" s="2" customFormat="1" x14ac:dyDescent="0.2"/>
    <row r="817" s="2" customFormat="1" x14ac:dyDescent="0.2"/>
    <row r="818" s="2" customFormat="1" x14ac:dyDescent="0.2"/>
    <row r="819" s="2" customFormat="1" x14ac:dyDescent="0.2"/>
    <row r="820" s="2" customFormat="1" x14ac:dyDescent="0.2"/>
    <row r="821" s="2" customFormat="1" x14ac:dyDescent="0.2"/>
    <row r="822" s="2" customFormat="1" x14ac:dyDescent="0.2"/>
    <row r="823" s="2" customFormat="1" x14ac:dyDescent="0.2"/>
    <row r="824" s="2" customFormat="1" x14ac:dyDescent="0.2"/>
    <row r="825" s="2" customFormat="1" x14ac:dyDescent="0.2"/>
    <row r="826" s="2" customFormat="1" x14ac:dyDescent="0.2"/>
    <row r="827" s="2" customFormat="1" x14ac:dyDescent="0.2"/>
    <row r="828" s="2" customFormat="1" x14ac:dyDescent="0.2"/>
    <row r="829" s="2" customFormat="1" x14ac:dyDescent="0.2"/>
    <row r="830" s="2" customFormat="1" x14ac:dyDescent="0.2"/>
    <row r="831" s="2" customFormat="1" x14ac:dyDescent="0.2"/>
    <row r="832" s="2" customFormat="1" x14ac:dyDescent="0.2"/>
    <row r="833" s="2" customFormat="1" x14ac:dyDescent="0.2"/>
    <row r="834" s="2" customFormat="1" x14ac:dyDescent="0.2"/>
    <row r="835" s="2" customFormat="1" x14ac:dyDescent="0.2"/>
    <row r="836" s="2" customFormat="1" x14ac:dyDescent="0.2"/>
    <row r="837" s="2" customFormat="1" x14ac:dyDescent="0.2"/>
    <row r="838" s="2" customFormat="1" x14ac:dyDescent="0.2"/>
    <row r="839" s="2" customFormat="1" x14ac:dyDescent="0.2"/>
    <row r="840" s="2" customFormat="1" x14ac:dyDescent="0.2"/>
    <row r="841" s="2" customFormat="1" x14ac:dyDescent="0.2"/>
    <row r="842" s="2" customFormat="1" x14ac:dyDescent="0.2"/>
    <row r="843" s="2" customFormat="1" x14ac:dyDescent="0.2"/>
    <row r="844" s="2" customFormat="1" x14ac:dyDescent="0.2"/>
    <row r="845" s="2" customFormat="1" x14ac:dyDescent="0.2"/>
    <row r="846" s="2" customFormat="1" x14ac:dyDescent="0.2"/>
    <row r="847" s="2" customFormat="1" x14ac:dyDescent="0.2"/>
    <row r="848" s="2" customFormat="1" x14ac:dyDescent="0.2"/>
    <row r="849" s="2" customFormat="1" x14ac:dyDescent="0.2"/>
    <row r="850" s="2" customFormat="1" x14ac:dyDescent="0.2"/>
    <row r="851" s="2" customFormat="1" x14ac:dyDescent="0.2"/>
    <row r="852" s="2" customFormat="1" x14ac:dyDescent="0.2"/>
    <row r="853" s="2" customFormat="1" x14ac:dyDescent="0.2"/>
    <row r="854" s="2" customFormat="1" x14ac:dyDescent="0.2"/>
    <row r="855" s="2" customFormat="1" x14ac:dyDescent="0.2"/>
    <row r="856" s="2" customFormat="1" x14ac:dyDescent="0.2"/>
    <row r="857" s="2" customFormat="1" x14ac:dyDescent="0.2"/>
    <row r="858" s="2" customFormat="1" x14ac:dyDescent="0.2"/>
    <row r="859" s="2" customFormat="1" x14ac:dyDescent="0.2"/>
    <row r="860" s="2" customFormat="1" x14ac:dyDescent="0.2"/>
    <row r="861" s="2" customFormat="1" x14ac:dyDescent="0.2"/>
    <row r="862" s="2" customFormat="1" x14ac:dyDescent="0.2"/>
    <row r="863" s="2" customFormat="1" x14ac:dyDescent="0.2"/>
    <row r="864" s="2" customFormat="1" x14ac:dyDescent="0.2"/>
    <row r="865" s="2" customFormat="1" x14ac:dyDescent="0.2"/>
    <row r="866" s="2" customFormat="1" x14ac:dyDescent="0.2"/>
    <row r="867" s="2" customFormat="1" x14ac:dyDescent="0.2"/>
    <row r="868" s="2" customFormat="1" x14ac:dyDescent="0.2"/>
    <row r="869" s="2" customFormat="1" x14ac:dyDescent="0.2"/>
    <row r="870" s="2" customFormat="1" x14ac:dyDescent="0.2"/>
    <row r="871" s="2" customFormat="1" x14ac:dyDescent="0.2"/>
    <row r="872" s="2" customFormat="1" x14ac:dyDescent="0.2"/>
    <row r="873" s="2" customFormat="1" x14ac:dyDescent="0.2"/>
    <row r="874" s="2" customFormat="1" x14ac:dyDescent="0.2"/>
    <row r="875" s="2" customFormat="1" x14ac:dyDescent="0.2"/>
    <row r="876" s="2" customFormat="1" x14ac:dyDescent="0.2"/>
    <row r="877" s="2" customFormat="1" x14ac:dyDescent="0.2"/>
    <row r="878" s="2" customFormat="1" x14ac:dyDescent="0.2"/>
    <row r="879" s="2" customFormat="1" x14ac:dyDescent="0.2"/>
    <row r="880" s="2" customFormat="1" x14ac:dyDescent="0.2"/>
    <row r="881" s="2" customFormat="1" x14ac:dyDescent="0.2"/>
    <row r="882" s="2" customFormat="1" x14ac:dyDescent="0.2"/>
    <row r="883" s="2" customFormat="1" x14ac:dyDescent="0.2"/>
    <row r="884" s="2" customFormat="1" x14ac:dyDescent="0.2"/>
    <row r="885" s="2" customFormat="1" x14ac:dyDescent="0.2"/>
    <row r="886" s="2" customFormat="1" x14ac:dyDescent="0.2"/>
    <row r="887" s="2" customFormat="1" x14ac:dyDescent="0.2"/>
    <row r="888" s="2" customFormat="1" x14ac:dyDescent="0.2"/>
    <row r="889" s="2" customFormat="1" x14ac:dyDescent="0.2"/>
    <row r="890" s="2" customFormat="1" x14ac:dyDescent="0.2"/>
    <row r="891" s="2" customFormat="1" x14ac:dyDescent="0.2"/>
    <row r="892" s="2" customFormat="1" x14ac:dyDescent="0.2"/>
    <row r="893" s="2" customFormat="1" x14ac:dyDescent="0.2"/>
    <row r="894" s="2" customFormat="1" x14ac:dyDescent="0.2"/>
    <row r="895" s="2" customFormat="1" x14ac:dyDescent="0.2"/>
    <row r="896" s="2" customFormat="1" x14ac:dyDescent="0.2"/>
    <row r="897" s="2" customFormat="1" x14ac:dyDescent="0.2"/>
    <row r="898" s="2" customFormat="1" x14ac:dyDescent="0.2"/>
    <row r="899" s="2" customFormat="1" x14ac:dyDescent="0.2"/>
    <row r="900" s="2" customFormat="1" x14ac:dyDescent="0.2"/>
    <row r="901" s="2" customFormat="1" x14ac:dyDescent="0.2"/>
    <row r="902" s="2" customFormat="1" x14ac:dyDescent="0.2"/>
    <row r="903" s="2" customFormat="1" x14ac:dyDescent="0.2"/>
    <row r="904" s="2" customFormat="1" x14ac:dyDescent="0.2"/>
    <row r="905" s="2" customFormat="1" x14ac:dyDescent="0.2"/>
    <row r="906" s="2" customFormat="1" x14ac:dyDescent="0.2"/>
    <row r="907" s="2" customFormat="1" x14ac:dyDescent="0.2"/>
    <row r="908" s="2" customFormat="1" x14ac:dyDescent="0.2"/>
    <row r="909" s="2" customFormat="1" x14ac:dyDescent="0.2"/>
    <row r="910" s="2" customFormat="1" x14ac:dyDescent="0.2"/>
    <row r="911" s="2" customFormat="1" x14ac:dyDescent="0.2"/>
    <row r="912" s="2" customFormat="1" x14ac:dyDescent="0.2"/>
    <row r="913" s="2" customFormat="1" x14ac:dyDescent="0.2"/>
    <row r="914" s="2" customFormat="1" x14ac:dyDescent="0.2"/>
    <row r="915" s="2" customFormat="1" x14ac:dyDescent="0.2"/>
    <row r="916" s="2" customFormat="1" x14ac:dyDescent="0.2"/>
    <row r="917" s="2" customFormat="1" x14ac:dyDescent="0.2"/>
    <row r="918" s="2" customFormat="1" x14ac:dyDescent="0.2"/>
    <row r="919" s="2" customFormat="1" x14ac:dyDescent="0.2"/>
    <row r="920" s="2" customFormat="1" x14ac:dyDescent="0.2"/>
    <row r="921" s="2" customFormat="1" x14ac:dyDescent="0.2"/>
    <row r="922" s="2" customFormat="1" x14ac:dyDescent="0.2"/>
    <row r="923" s="2" customFormat="1" x14ac:dyDescent="0.2"/>
    <row r="924" s="2" customFormat="1" x14ac:dyDescent="0.2"/>
    <row r="925" s="2" customFormat="1" x14ac:dyDescent="0.2"/>
    <row r="926" s="2" customFormat="1" x14ac:dyDescent="0.2"/>
    <row r="927" s="2" customFormat="1" x14ac:dyDescent="0.2"/>
    <row r="928" s="2" customFormat="1" x14ac:dyDescent="0.2"/>
    <row r="929" s="2" customFormat="1" x14ac:dyDescent="0.2"/>
    <row r="930" s="2" customFormat="1" x14ac:dyDescent="0.2"/>
    <row r="931" s="2" customFormat="1" x14ac:dyDescent="0.2"/>
    <row r="932" s="2" customFormat="1" x14ac:dyDescent="0.2"/>
    <row r="933" s="2" customFormat="1" x14ac:dyDescent="0.2"/>
    <row r="934" s="2" customFormat="1" x14ac:dyDescent="0.2"/>
    <row r="935" s="2" customFormat="1" x14ac:dyDescent="0.2"/>
    <row r="936" s="2" customFormat="1" x14ac:dyDescent="0.2"/>
    <row r="937" s="2" customFormat="1" x14ac:dyDescent="0.2"/>
    <row r="938" s="2" customFormat="1" x14ac:dyDescent="0.2"/>
    <row r="939" s="2" customFormat="1" x14ac:dyDescent="0.2"/>
    <row r="940" s="2" customFormat="1" x14ac:dyDescent="0.2"/>
    <row r="941" s="2" customFormat="1" x14ac:dyDescent="0.2"/>
    <row r="942" s="2" customFormat="1" x14ac:dyDescent="0.2"/>
    <row r="943" s="2" customFormat="1" x14ac:dyDescent="0.2"/>
    <row r="944" s="2" customFormat="1" x14ac:dyDescent="0.2"/>
    <row r="945" s="2" customFormat="1" x14ac:dyDescent="0.2"/>
    <row r="946" s="2" customFormat="1" x14ac:dyDescent="0.2"/>
    <row r="947" s="2" customFormat="1" x14ac:dyDescent="0.2"/>
    <row r="948" s="2" customFormat="1" x14ac:dyDescent="0.2"/>
    <row r="949" s="2" customFormat="1" x14ac:dyDescent="0.2"/>
    <row r="950" s="2" customFormat="1" x14ac:dyDescent="0.2"/>
    <row r="951" s="2" customFormat="1" x14ac:dyDescent="0.2"/>
    <row r="952" s="2" customFormat="1" x14ac:dyDescent="0.2"/>
    <row r="953" s="2" customFormat="1" x14ac:dyDescent="0.2"/>
    <row r="954" s="2" customFormat="1" x14ac:dyDescent="0.2"/>
    <row r="955" s="2" customFormat="1" x14ac:dyDescent="0.2"/>
    <row r="956" s="2" customFormat="1" x14ac:dyDescent="0.2"/>
    <row r="957" s="2" customFormat="1" x14ac:dyDescent="0.2"/>
    <row r="958" s="2" customFormat="1" x14ac:dyDescent="0.2"/>
    <row r="959" s="2" customFormat="1" x14ac:dyDescent="0.2"/>
    <row r="960" s="2" customFormat="1" x14ac:dyDescent="0.2"/>
    <row r="961" s="2" customFormat="1" x14ac:dyDescent="0.2"/>
    <row r="962" s="2" customFormat="1" x14ac:dyDescent="0.2"/>
    <row r="963" s="2" customFormat="1" x14ac:dyDescent="0.2"/>
    <row r="964" s="2" customFormat="1" x14ac:dyDescent="0.2"/>
    <row r="965" s="2" customFormat="1" x14ac:dyDescent="0.2"/>
    <row r="966" s="2" customFormat="1" x14ac:dyDescent="0.2"/>
    <row r="967" s="2" customFormat="1" x14ac:dyDescent="0.2"/>
    <row r="968" s="2" customFormat="1" x14ac:dyDescent="0.2"/>
    <row r="969" s="2" customFormat="1" x14ac:dyDescent="0.2"/>
    <row r="970" s="2" customFormat="1" x14ac:dyDescent="0.2"/>
    <row r="971" s="2" customFormat="1" x14ac:dyDescent="0.2"/>
    <row r="972" s="2" customFormat="1" x14ac:dyDescent="0.2"/>
    <row r="973" s="2" customFormat="1" x14ac:dyDescent="0.2"/>
    <row r="974" s="2" customFormat="1" x14ac:dyDescent="0.2"/>
    <row r="975" s="2" customFormat="1" x14ac:dyDescent="0.2"/>
    <row r="976" s="2" customFormat="1" x14ac:dyDescent="0.2"/>
    <row r="977" s="2" customFormat="1" x14ac:dyDescent="0.2"/>
    <row r="978" s="2" customFormat="1" x14ac:dyDescent="0.2"/>
    <row r="979" s="2" customFormat="1" x14ac:dyDescent="0.2"/>
    <row r="980" s="2" customFormat="1" x14ac:dyDescent="0.2"/>
    <row r="981" s="2" customFormat="1" x14ac:dyDescent="0.2"/>
    <row r="982" s="2" customFormat="1" x14ac:dyDescent="0.2"/>
    <row r="983" s="2" customFormat="1" x14ac:dyDescent="0.2"/>
    <row r="984" s="2" customFormat="1" x14ac:dyDescent="0.2"/>
    <row r="985" s="2" customFormat="1" x14ac:dyDescent="0.2"/>
    <row r="986" s="2" customFormat="1" x14ac:dyDescent="0.2"/>
    <row r="987" s="2" customFormat="1" x14ac:dyDescent="0.2"/>
    <row r="988" s="2" customFormat="1" x14ac:dyDescent="0.2"/>
    <row r="989" s="2" customFormat="1" x14ac:dyDescent="0.2"/>
    <row r="990" s="2" customFormat="1" x14ac:dyDescent="0.2"/>
    <row r="991" s="2" customFormat="1" x14ac:dyDescent="0.2"/>
    <row r="992" s="2" customFormat="1" x14ac:dyDescent="0.2"/>
    <row r="993" s="2" customFormat="1" x14ac:dyDescent="0.2"/>
    <row r="994" s="2" customFormat="1" x14ac:dyDescent="0.2"/>
    <row r="995" s="2" customFormat="1" x14ac:dyDescent="0.2"/>
    <row r="996" s="2" customFormat="1" x14ac:dyDescent="0.2"/>
    <row r="997" s="2" customFormat="1" x14ac:dyDescent="0.2"/>
    <row r="998" s="2" customFormat="1" x14ac:dyDescent="0.2"/>
    <row r="999" s="2" customFormat="1" x14ac:dyDescent="0.2"/>
    <row r="1000" s="2" customFormat="1" x14ac:dyDescent="0.2"/>
    <row r="1001" s="2" customFormat="1" x14ac:dyDescent="0.2"/>
    <row r="1002" s="2" customFormat="1" x14ac:dyDescent="0.2"/>
    <row r="1003" s="2" customFormat="1" x14ac:dyDescent="0.2"/>
    <row r="1004" s="2" customFormat="1" x14ac:dyDescent="0.2"/>
    <row r="1005" s="2" customFormat="1" x14ac:dyDescent="0.2"/>
    <row r="1006" s="2" customFormat="1" x14ac:dyDescent="0.2"/>
    <row r="1007" s="2" customFormat="1" x14ac:dyDescent="0.2"/>
    <row r="1008" s="2" customFormat="1" x14ac:dyDescent="0.2"/>
    <row r="1009" s="2" customFormat="1" x14ac:dyDescent="0.2"/>
    <row r="1010" s="2" customFormat="1" x14ac:dyDescent="0.2"/>
    <row r="1011" s="2" customFormat="1" x14ac:dyDescent="0.2"/>
    <row r="1012" s="2" customFormat="1" x14ac:dyDescent="0.2"/>
    <row r="1013" s="2" customFormat="1" x14ac:dyDescent="0.2"/>
    <row r="1014" s="2" customFormat="1" x14ac:dyDescent="0.2"/>
    <row r="1015" s="2" customFormat="1" x14ac:dyDescent="0.2"/>
    <row r="1016" s="2" customFormat="1" x14ac:dyDescent="0.2"/>
    <row r="1017" s="2" customFormat="1" x14ac:dyDescent="0.2"/>
    <row r="1018" s="2" customFormat="1" x14ac:dyDescent="0.2"/>
    <row r="1019" s="2" customFormat="1" x14ac:dyDescent="0.2"/>
    <row r="1020" s="2" customFormat="1" x14ac:dyDescent="0.2"/>
    <row r="1021" s="2" customFormat="1" x14ac:dyDescent="0.2"/>
    <row r="1022" s="2" customFormat="1" x14ac:dyDescent="0.2"/>
    <row r="1023" s="2" customFormat="1" x14ac:dyDescent="0.2"/>
    <row r="1024" s="2" customFormat="1" x14ac:dyDescent="0.2"/>
    <row r="1025" s="2" customFormat="1" x14ac:dyDescent="0.2"/>
    <row r="1026" s="2" customFormat="1" x14ac:dyDescent="0.2"/>
    <row r="1027" s="2" customFormat="1" x14ac:dyDescent="0.2"/>
    <row r="1028" s="2" customFormat="1" x14ac:dyDescent="0.2"/>
    <row r="1029" s="2" customFormat="1" x14ac:dyDescent="0.2"/>
    <row r="1030" s="2" customFormat="1" x14ac:dyDescent="0.2"/>
    <row r="1031" s="2" customFormat="1" x14ac:dyDescent="0.2"/>
    <row r="1032" s="2" customFormat="1" x14ac:dyDescent="0.2"/>
    <row r="1033" s="2" customFormat="1" x14ac:dyDescent="0.2"/>
    <row r="1034" s="2" customFormat="1" x14ac:dyDescent="0.2"/>
    <row r="1035" s="2" customFormat="1" x14ac:dyDescent="0.2"/>
    <row r="1036" s="2" customFormat="1" x14ac:dyDescent="0.2"/>
    <row r="1037" s="2" customFormat="1" x14ac:dyDescent="0.2"/>
    <row r="1038" s="2" customFormat="1" x14ac:dyDescent="0.2"/>
    <row r="1039" s="2" customFormat="1" x14ac:dyDescent="0.2"/>
    <row r="1040" s="2" customFormat="1" x14ac:dyDescent="0.2"/>
    <row r="1041" s="2" customFormat="1" x14ac:dyDescent="0.2"/>
    <row r="1042" s="2" customFormat="1" x14ac:dyDescent="0.2"/>
    <row r="1043" s="2" customFormat="1" x14ac:dyDescent="0.2"/>
    <row r="1044" s="2" customFormat="1" x14ac:dyDescent="0.2"/>
    <row r="1045" s="2" customFormat="1" x14ac:dyDescent="0.2"/>
    <row r="1046" s="2" customFormat="1" x14ac:dyDescent="0.2"/>
    <row r="1047" s="2" customFormat="1" x14ac:dyDescent="0.2"/>
    <row r="1048" s="2" customFormat="1" x14ac:dyDescent="0.2"/>
    <row r="1049" s="2" customFormat="1" x14ac:dyDescent="0.2"/>
    <row r="1050" s="2" customFormat="1" x14ac:dyDescent="0.2"/>
    <row r="1051" s="2" customFormat="1" x14ac:dyDescent="0.2"/>
    <row r="1052" s="2" customFormat="1" x14ac:dyDescent="0.2"/>
    <row r="1053" s="2" customFormat="1" x14ac:dyDescent="0.2"/>
    <row r="1054" s="2" customFormat="1" x14ac:dyDescent="0.2"/>
    <row r="1055" s="2" customFormat="1" x14ac:dyDescent="0.2"/>
    <row r="1056" s="2" customFormat="1" x14ac:dyDescent="0.2"/>
    <row r="1057" s="2" customFormat="1" x14ac:dyDescent="0.2"/>
    <row r="1058" s="2" customFormat="1" x14ac:dyDescent="0.2"/>
    <row r="1059" s="2" customFormat="1" x14ac:dyDescent="0.2"/>
    <row r="1060" s="2" customFormat="1" x14ac:dyDescent="0.2"/>
    <row r="1061" s="2" customFormat="1" x14ac:dyDescent="0.2"/>
    <row r="1062" s="2" customFormat="1" x14ac:dyDescent="0.2"/>
    <row r="1063" s="2" customFormat="1" x14ac:dyDescent="0.2"/>
    <row r="1064" s="2" customFormat="1" x14ac:dyDescent="0.2"/>
    <row r="1065" s="2" customFormat="1" x14ac:dyDescent="0.2"/>
    <row r="1066" s="2" customFormat="1" x14ac:dyDescent="0.2"/>
    <row r="1067" s="2" customFormat="1" x14ac:dyDescent="0.2"/>
    <row r="1068" s="2" customFormat="1" x14ac:dyDescent="0.2"/>
    <row r="1069" s="2" customFormat="1" x14ac:dyDescent="0.2"/>
    <row r="1070" s="2" customFormat="1" x14ac:dyDescent="0.2"/>
    <row r="1071" s="2" customFormat="1" x14ac:dyDescent="0.2"/>
    <row r="1072" s="2" customFormat="1" x14ac:dyDescent="0.2"/>
    <row r="1073" s="2" customFormat="1" x14ac:dyDescent="0.2"/>
    <row r="1074" s="2" customFormat="1" x14ac:dyDescent="0.2"/>
    <row r="1075" s="2" customFormat="1" x14ac:dyDescent="0.2"/>
    <row r="1076" s="2" customFormat="1" x14ac:dyDescent="0.2"/>
    <row r="1077" s="2" customFormat="1" x14ac:dyDescent="0.2"/>
    <row r="1078" s="2" customFormat="1" x14ac:dyDescent="0.2"/>
    <row r="1079" s="2" customFormat="1" x14ac:dyDescent="0.2"/>
    <row r="1080" s="2" customFormat="1" x14ac:dyDescent="0.2"/>
    <row r="1081" s="2" customFormat="1" x14ac:dyDescent="0.2"/>
    <row r="1082" s="2" customFormat="1" x14ac:dyDescent="0.2"/>
    <row r="1083" s="2" customFormat="1" x14ac:dyDescent="0.2"/>
    <row r="1084" s="2" customFormat="1" x14ac:dyDescent="0.2"/>
    <row r="1085" s="2" customFormat="1" x14ac:dyDescent="0.2"/>
    <row r="1086" s="2" customFormat="1" x14ac:dyDescent="0.2"/>
    <row r="1087" s="2" customFormat="1" x14ac:dyDescent="0.2"/>
    <row r="1088" s="2" customFormat="1" x14ac:dyDescent="0.2"/>
    <row r="1089" s="2" customFormat="1" x14ac:dyDescent="0.2"/>
    <row r="1090" s="2" customFormat="1" x14ac:dyDescent="0.2"/>
    <row r="1091" s="2" customFormat="1" x14ac:dyDescent="0.2"/>
    <row r="1092" s="2" customFormat="1" x14ac:dyDescent="0.2"/>
    <row r="1093" s="2" customFormat="1" x14ac:dyDescent="0.2"/>
    <row r="1094" s="2" customFormat="1" x14ac:dyDescent="0.2"/>
    <row r="1095" s="2" customFormat="1" x14ac:dyDescent="0.2"/>
    <row r="1096" s="2" customFormat="1" x14ac:dyDescent="0.2"/>
    <row r="1097" s="2" customFormat="1" x14ac:dyDescent="0.2"/>
    <row r="1098" s="2" customFormat="1" x14ac:dyDescent="0.2"/>
    <row r="1099" s="2" customFormat="1" x14ac:dyDescent="0.2"/>
    <row r="1100" s="2" customFormat="1" x14ac:dyDescent="0.2"/>
    <row r="1101" s="2" customFormat="1" x14ac:dyDescent="0.2"/>
    <row r="1102" s="2" customFormat="1" x14ac:dyDescent="0.2"/>
    <row r="1103" s="2" customFormat="1" x14ac:dyDescent="0.2"/>
    <row r="1104" s="2" customFormat="1" x14ac:dyDescent="0.2"/>
    <row r="1105" s="2" customFormat="1" x14ac:dyDescent="0.2"/>
    <row r="1106" s="2" customFormat="1" x14ac:dyDescent="0.2"/>
    <row r="1107" s="2" customFormat="1" x14ac:dyDescent="0.2"/>
    <row r="1108" s="2" customFormat="1" x14ac:dyDescent="0.2"/>
    <row r="1109" s="2" customFormat="1" x14ac:dyDescent="0.2"/>
    <row r="1110" s="2" customFormat="1" x14ac:dyDescent="0.2"/>
    <row r="1111" s="2" customFormat="1" x14ac:dyDescent="0.2"/>
    <row r="1112" s="2" customFormat="1" x14ac:dyDescent="0.2"/>
    <row r="1113" s="2" customFormat="1" x14ac:dyDescent="0.2"/>
    <row r="1114" s="2" customFormat="1" x14ac:dyDescent="0.2"/>
    <row r="1115" s="2" customFormat="1" x14ac:dyDescent="0.2"/>
    <row r="1116" s="2" customFormat="1" x14ac:dyDescent="0.2"/>
    <row r="1117" s="2" customFormat="1" x14ac:dyDescent="0.2"/>
    <row r="1118" s="2" customFormat="1" x14ac:dyDescent="0.2"/>
    <row r="1119" s="2" customFormat="1" x14ac:dyDescent="0.2"/>
    <row r="1120" s="2" customFormat="1" x14ac:dyDescent="0.2"/>
    <row r="1121" s="2" customFormat="1" x14ac:dyDescent="0.2"/>
    <row r="1122" s="2" customFormat="1" x14ac:dyDescent="0.2"/>
    <row r="1123" s="2" customFormat="1" x14ac:dyDescent="0.2"/>
    <row r="1124" s="2" customFormat="1" x14ac:dyDescent="0.2"/>
    <row r="1125" s="2" customFormat="1" x14ac:dyDescent="0.2"/>
    <row r="1126" s="2" customFormat="1" x14ac:dyDescent="0.2"/>
    <row r="1127" s="2" customFormat="1" x14ac:dyDescent="0.2"/>
    <row r="1128" s="2" customFormat="1" x14ac:dyDescent="0.2"/>
    <row r="1129" s="2" customFormat="1" x14ac:dyDescent="0.2"/>
    <row r="1130" s="2" customFormat="1" x14ac:dyDescent="0.2"/>
    <row r="1131" s="2" customFormat="1" x14ac:dyDescent="0.2"/>
    <row r="1132" s="2" customFormat="1" x14ac:dyDescent="0.2"/>
    <row r="1133" s="2" customFormat="1" x14ac:dyDescent="0.2"/>
    <row r="1134" s="2" customFormat="1" x14ac:dyDescent="0.2"/>
    <row r="1135" s="2" customFormat="1" x14ac:dyDescent="0.2"/>
    <row r="1136" s="2" customFormat="1" x14ac:dyDescent="0.2"/>
    <row r="1137" s="2" customFormat="1" x14ac:dyDescent="0.2"/>
    <row r="1138" s="2" customFormat="1" x14ac:dyDescent="0.2"/>
    <row r="1139" s="2" customFormat="1" x14ac:dyDescent="0.2"/>
    <row r="1140" s="2" customFormat="1" x14ac:dyDescent="0.2"/>
    <row r="1141" s="2" customFormat="1" x14ac:dyDescent="0.2"/>
    <row r="1142" s="2" customFormat="1" x14ac:dyDescent="0.2"/>
    <row r="1143" s="2" customFormat="1" x14ac:dyDescent="0.2"/>
    <row r="1144" s="2" customFormat="1" x14ac:dyDescent="0.2"/>
    <row r="1145" s="2" customFormat="1" x14ac:dyDescent="0.2"/>
    <row r="1146" s="2" customFormat="1" x14ac:dyDescent="0.2"/>
    <row r="1147" s="2" customFormat="1" x14ac:dyDescent="0.2"/>
    <row r="1148" s="2" customFormat="1" x14ac:dyDescent="0.2"/>
    <row r="1149" s="2" customFormat="1" x14ac:dyDescent="0.2"/>
    <row r="1150" s="2" customFormat="1" x14ac:dyDescent="0.2"/>
    <row r="1151" s="2" customFormat="1" x14ac:dyDescent="0.2"/>
    <row r="1152" s="2" customFormat="1" x14ac:dyDescent="0.2"/>
    <row r="1153" s="2" customFormat="1" x14ac:dyDescent="0.2"/>
    <row r="1154" s="2" customFormat="1" x14ac:dyDescent="0.2"/>
    <row r="1155" s="2" customFormat="1" x14ac:dyDescent="0.2"/>
    <row r="1156" s="2" customFormat="1" x14ac:dyDescent="0.2"/>
    <row r="1157" s="2" customFormat="1" x14ac:dyDescent="0.2"/>
    <row r="1158" s="2" customFormat="1" x14ac:dyDescent="0.2"/>
    <row r="1159" s="2" customFormat="1" x14ac:dyDescent="0.2"/>
    <row r="1160" s="2" customFormat="1" x14ac:dyDescent="0.2"/>
    <row r="1161" s="2" customFormat="1" x14ac:dyDescent="0.2"/>
    <row r="1162" s="2" customFormat="1" x14ac:dyDescent="0.2"/>
    <row r="1163" s="2" customFormat="1" x14ac:dyDescent="0.2"/>
    <row r="1164" s="2" customFormat="1" x14ac:dyDescent="0.2"/>
    <row r="1165" s="2" customFormat="1" x14ac:dyDescent="0.2"/>
    <row r="1166" s="2" customFormat="1" x14ac:dyDescent="0.2"/>
    <row r="1167" s="2" customFormat="1" x14ac:dyDescent="0.2"/>
    <row r="1168" s="2" customFormat="1" x14ac:dyDescent="0.2"/>
    <row r="1169" s="2" customFormat="1" x14ac:dyDescent="0.2"/>
    <row r="1170" s="2" customFormat="1" x14ac:dyDescent="0.2"/>
    <row r="1171" s="2" customFormat="1" x14ac:dyDescent="0.2"/>
    <row r="1172" s="2" customFormat="1" x14ac:dyDescent="0.2"/>
    <row r="1173" s="2" customFormat="1" x14ac:dyDescent="0.2"/>
    <row r="1174" s="2" customFormat="1" x14ac:dyDescent="0.2"/>
    <row r="1175" s="2" customFormat="1" x14ac:dyDescent="0.2"/>
    <row r="1176" s="2" customFormat="1" x14ac:dyDescent="0.2"/>
    <row r="1177" s="2" customFormat="1" x14ac:dyDescent="0.2"/>
    <row r="1178" s="2" customFormat="1" x14ac:dyDescent="0.2"/>
    <row r="1179" s="2" customFormat="1" x14ac:dyDescent="0.2"/>
    <row r="1180" s="2" customFormat="1" x14ac:dyDescent="0.2"/>
    <row r="1181" s="2" customFormat="1" x14ac:dyDescent="0.2"/>
    <row r="1182" s="2" customFormat="1" x14ac:dyDescent="0.2"/>
    <row r="1183" s="2" customFormat="1" x14ac:dyDescent="0.2"/>
    <row r="1184" s="2" customFormat="1" x14ac:dyDescent="0.2"/>
    <row r="1185" s="2" customFormat="1" x14ac:dyDescent="0.2"/>
    <row r="1186" s="2" customFormat="1" x14ac:dyDescent="0.2"/>
    <row r="1187" s="2" customFormat="1" x14ac:dyDescent="0.2"/>
    <row r="1188" s="2" customFormat="1" x14ac:dyDescent="0.2"/>
    <row r="1189" s="2" customFormat="1" x14ac:dyDescent="0.2"/>
    <row r="1190" s="2" customFormat="1" x14ac:dyDescent="0.2"/>
    <row r="1191" s="2" customFormat="1" x14ac:dyDescent="0.2"/>
    <row r="1192" s="2" customFormat="1" x14ac:dyDescent="0.2"/>
    <row r="1193" s="2" customFormat="1" x14ac:dyDescent="0.2"/>
    <row r="1194" s="2" customFormat="1" x14ac:dyDescent="0.2"/>
    <row r="1195" s="2" customFormat="1" x14ac:dyDescent="0.2"/>
    <row r="1196" s="2" customFormat="1" x14ac:dyDescent="0.2"/>
    <row r="1197" s="2" customFormat="1" x14ac:dyDescent="0.2"/>
    <row r="1198" s="2" customFormat="1" x14ac:dyDescent="0.2"/>
    <row r="1199" s="2" customFormat="1" x14ac:dyDescent="0.2"/>
    <row r="1200" s="2" customFormat="1" x14ac:dyDescent="0.2"/>
    <row r="1201" s="2" customFormat="1" x14ac:dyDescent="0.2"/>
    <row r="1202" s="2" customFormat="1" x14ac:dyDescent="0.2"/>
    <row r="1203" s="2" customFormat="1" x14ac:dyDescent="0.2"/>
    <row r="1204" s="2" customFormat="1" x14ac:dyDescent="0.2"/>
    <row r="1205" s="2" customFormat="1" x14ac:dyDescent="0.2"/>
    <row r="1206" s="2" customFormat="1" x14ac:dyDescent="0.2"/>
    <row r="1207" s="2" customFormat="1" x14ac:dyDescent="0.2"/>
    <row r="1208" s="2" customFormat="1" x14ac:dyDescent="0.2"/>
    <row r="1209" s="2" customFormat="1" x14ac:dyDescent="0.2"/>
    <row r="1210" s="2" customFormat="1" x14ac:dyDescent="0.2"/>
    <row r="1211" s="2" customFormat="1" x14ac:dyDescent="0.2"/>
    <row r="1212" s="2" customFormat="1" x14ac:dyDescent="0.2"/>
    <row r="1213" s="2" customFormat="1" x14ac:dyDescent="0.2"/>
    <row r="1214" s="2" customFormat="1" x14ac:dyDescent="0.2"/>
    <row r="1215" s="2" customFormat="1" x14ac:dyDescent="0.2"/>
    <row r="1216" s="2" customFormat="1" x14ac:dyDescent="0.2"/>
    <row r="1217" s="2" customFormat="1" x14ac:dyDescent="0.2"/>
    <row r="1218" s="2" customFormat="1" x14ac:dyDescent="0.2"/>
    <row r="1219" s="2" customFormat="1" x14ac:dyDescent="0.2"/>
    <row r="1220" s="2" customFormat="1" x14ac:dyDescent="0.2"/>
    <row r="1221" s="2" customFormat="1" x14ac:dyDescent="0.2"/>
    <row r="1222" s="2" customFormat="1" x14ac:dyDescent="0.2"/>
    <row r="1223" s="2" customFormat="1" x14ac:dyDescent="0.2"/>
    <row r="1224" s="2" customFormat="1" x14ac:dyDescent="0.2"/>
    <row r="1225" s="2" customFormat="1" x14ac:dyDescent="0.2"/>
    <row r="1226" s="2" customFormat="1" x14ac:dyDescent="0.2"/>
    <row r="1227" s="2" customFormat="1" x14ac:dyDescent="0.2"/>
    <row r="1228" s="2" customFormat="1" x14ac:dyDescent="0.2"/>
    <row r="1229" s="2" customFormat="1" x14ac:dyDescent="0.2"/>
    <row r="1230" s="2" customFormat="1" x14ac:dyDescent="0.2"/>
    <row r="1231" s="2" customFormat="1" x14ac:dyDescent="0.2"/>
    <row r="1232" s="2" customFormat="1" x14ac:dyDescent="0.2"/>
    <row r="1233" s="2" customFormat="1" x14ac:dyDescent="0.2"/>
    <row r="1234" s="2" customFormat="1" x14ac:dyDescent="0.2"/>
    <row r="1235" s="2" customFormat="1" x14ac:dyDescent="0.2"/>
    <row r="1236" s="2" customFormat="1" x14ac:dyDescent="0.2"/>
    <row r="1237" s="2" customFormat="1" x14ac:dyDescent="0.2"/>
    <row r="1238" s="2" customFormat="1" x14ac:dyDescent="0.2"/>
    <row r="1239" s="2" customFormat="1" x14ac:dyDescent="0.2"/>
    <row r="1240" s="2" customFormat="1" x14ac:dyDescent="0.2"/>
    <row r="1241" s="2" customFormat="1" x14ac:dyDescent="0.2"/>
    <row r="1242" s="2" customFormat="1" x14ac:dyDescent="0.2"/>
    <row r="1243" s="2" customFormat="1" x14ac:dyDescent="0.2"/>
    <row r="1244" s="2" customFormat="1" x14ac:dyDescent="0.2"/>
    <row r="1245" s="2" customFormat="1" x14ac:dyDescent="0.2"/>
    <row r="1246" s="2" customFormat="1" x14ac:dyDescent="0.2"/>
    <row r="1247" s="2" customFormat="1" x14ac:dyDescent="0.2"/>
    <row r="1248" s="2" customFormat="1" x14ac:dyDescent="0.2"/>
    <row r="1249" s="2" customFormat="1" x14ac:dyDescent="0.2"/>
    <row r="1250" s="2" customFormat="1" x14ac:dyDescent="0.2"/>
    <row r="1251" s="2" customFormat="1" x14ac:dyDescent="0.2"/>
    <row r="1252" s="2" customFormat="1" x14ac:dyDescent="0.2"/>
    <row r="1253" s="2" customFormat="1" x14ac:dyDescent="0.2"/>
    <row r="1254" s="2" customFormat="1" x14ac:dyDescent="0.2"/>
    <row r="1255" s="2" customFormat="1" x14ac:dyDescent="0.2"/>
    <row r="1256" s="2" customFormat="1" x14ac:dyDescent="0.2"/>
    <row r="1257" s="2" customFormat="1" x14ac:dyDescent="0.2"/>
    <row r="1258" s="2" customFormat="1" x14ac:dyDescent="0.2"/>
    <row r="1259" s="2" customFormat="1" x14ac:dyDescent="0.2"/>
    <row r="1260" s="2" customFormat="1" x14ac:dyDescent="0.2"/>
    <row r="1261" s="2" customFormat="1" x14ac:dyDescent="0.2"/>
    <row r="1262" s="2" customFormat="1" x14ac:dyDescent="0.2"/>
    <row r="1263" s="2" customFormat="1" x14ac:dyDescent="0.2"/>
    <row r="1264" s="2" customFormat="1" x14ac:dyDescent="0.2"/>
    <row r="1265" s="2" customFormat="1" x14ac:dyDescent="0.2"/>
    <row r="1266" s="2" customFormat="1" x14ac:dyDescent="0.2"/>
    <row r="1267" s="2" customFormat="1" x14ac:dyDescent="0.2"/>
    <row r="1268" s="2" customFormat="1" x14ac:dyDescent="0.2"/>
    <row r="1269" s="2" customFormat="1" x14ac:dyDescent="0.2"/>
    <row r="1270" s="2" customFormat="1" x14ac:dyDescent="0.2"/>
    <row r="1271" s="2" customFormat="1" x14ac:dyDescent="0.2"/>
    <row r="1272" s="2" customFormat="1" x14ac:dyDescent="0.2"/>
    <row r="1273" s="2" customFormat="1" x14ac:dyDescent="0.2"/>
    <row r="1274" s="2" customFormat="1" x14ac:dyDescent="0.2"/>
    <row r="1275" s="2" customFormat="1" x14ac:dyDescent="0.2"/>
    <row r="1276" s="2" customFormat="1" x14ac:dyDescent="0.2"/>
    <row r="1277" s="2" customFormat="1" x14ac:dyDescent="0.2"/>
    <row r="1278" s="2" customFormat="1" x14ac:dyDescent="0.2"/>
    <row r="1279" s="2" customFormat="1" x14ac:dyDescent="0.2"/>
    <row r="1280" s="2" customFormat="1" x14ac:dyDescent="0.2"/>
    <row r="1281" s="2" customFormat="1" x14ac:dyDescent="0.2"/>
    <row r="1282" s="2" customFormat="1" x14ac:dyDescent="0.2"/>
    <row r="1283" s="2" customFormat="1" x14ac:dyDescent="0.2"/>
    <row r="1284" s="2" customFormat="1" x14ac:dyDescent="0.2"/>
    <row r="1285" s="2" customFormat="1" x14ac:dyDescent="0.2"/>
    <row r="1286" s="2" customFormat="1" x14ac:dyDescent="0.2"/>
    <row r="1287" s="2" customFormat="1" x14ac:dyDescent="0.2"/>
    <row r="1288" s="2" customFormat="1" x14ac:dyDescent="0.2"/>
    <row r="1289" s="2" customFormat="1" x14ac:dyDescent="0.2"/>
    <row r="1290" s="2" customFormat="1" x14ac:dyDescent="0.2"/>
    <row r="1291" s="2" customFormat="1" x14ac:dyDescent="0.2"/>
    <row r="1292" s="2" customFormat="1" x14ac:dyDescent="0.2"/>
    <row r="1293" s="2" customFormat="1" x14ac:dyDescent="0.2"/>
    <row r="1294" s="2" customFormat="1" x14ac:dyDescent="0.2"/>
    <row r="1295" s="2" customFormat="1" x14ac:dyDescent="0.2"/>
    <row r="1296" s="2" customFormat="1" x14ac:dyDescent="0.2"/>
    <row r="1297" s="2" customFormat="1" x14ac:dyDescent="0.2"/>
    <row r="1298" s="2" customFormat="1" x14ac:dyDescent="0.2"/>
    <row r="1299" s="2" customFormat="1" x14ac:dyDescent="0.2"/>
    <row r="1300" s="2" customFormat="1" x14ac:dyDescent="0.2"/>
    <row r="1301" s="2" customFormat="1" x14ac:dyDescent="0.2"/>
    <row r="1302" s="2" customFormat="1" x14ac:dyDescent="0.2"/>
    <row r="1303" s="2" customFormat="1" x14ac:dyDescent="0.2"/>
    <row r="1304" s="2" customFormat="1" x14ac:dyDescent="0.2"/>
    <row r="1305" s="2" customFormat="1" x14ac:dyDescent="0.2"/>
    <row r="1306" s="2" customFormat="1" x14ac:dyDescent="0.2"/>
    <row r="1307" s="2" customFormat="1" x14ac:dyDescent="0.2"/>
    <row r="1308" s="2" customFormat="1" x14ac:dyDescent="0.2"/>
    <row r="1309" s="2" customFormat="1" x14ac:dyDescent="0.2"/>
    <row r="1310" s="2" customFormat="1" x14ac:dyDescent="0.2"/>
    <row r="1311" s="2" customFormat="1" x14ac:dyDescent="0.2"/>
    <row r="1312" s="2" customFormat="1" x14ac:dyDescent="0.2"/>
    <row r="1313" s="2" customFormat="1" x14ac:dyDescent="0.2"/>
    <row r="1314" s="2" customFormat="1" x14ac:dyDescent="0.2"/>
    <row r="1315" s="2" customFormat="1" x14ac:dyDescent="0.2"/>
    <row r="1316" s="2" customFormat="1" x14ac:dyDescent="0.2"/>
    <row r="1317" s="2" customFormat="1" x14ac:dyDescent="0.2"/>
    <row r="1318" s="2" customFormat="1" x14ac:dyDescent="0.2"/>
    <row r="1319" s="2" customFormat="1" x14ac:dyDescent="0.2"/>
    <row r="1320" s="2" customFormat="1" x14ac:dyDescent="0.2"/>
    <row r="1321" s="2" customFormat="1" x14ac:dyDescent="0.2"/>
    <row r="1322" s="2" customFormat="1" x14ac:dyDescent="0.2"/>
    <row r="1323" s="2" customFormat="1" x14ac:dyDescent="0.2"/>
    <row r="1324" s="2" customFormat="1" x14ac:dyDescent="0.2"/>
    <row r="1325" s="2" customFormat="1" x14ac:dyDescent="0.2"/>
    <row r="1326" s="2" customFormat="1" x14ac:dyDescent="0.2"/>
    <row r="1327" s="2" customFormat="1" x14ac:dyDescent="0.2"/>
    <row r="1328" s="2" customFormat="1" x14ac:dyDescent="0.2"/>
    <row r="1329" s="2" customFormat="1" x14ac:dyDescent="0.2"/>
    <row r="1330" s="2" customFormat="1" x14ac:dyDescent="0.2"/>
    <row r="1331" s="2" customFormat="1" x14ac:dyDescent="0.2"/>
    <row r="1332" s="2" customFormat="1" x14ac:dyDescent="0.2"/>
    <row r="1333" s="2" customFormat="1" x14ac:dyDescent="0.2"/>
    <row r="1334" s="2" customFormat="1" x14ac:dyDescent="0.2"/>
    <row r="1335" s="2" customFormat="1" x14ac:dyDescent="0.2"/>
    <row r="1336" s="2" customFormat="1" x14ac:dyDescent="0.2"/>
    <row r="1337" s="2" customFormat="1" x14ac:dyDescent="0.2"/>
    <row r="1338" s="2" customFormat="1" x14ac:dyDescent="0.2"/>
    <row r="1339" s="2" customFormat="1" x14ac:dyDescent="0.2"/>
    <row r="1340" s="2" customFormat="1" x14ac:dyDescent="0.2"/>
    <row r="1341" s="2" customFormat="1" x14ac:dyDescent="0.2"/>
    <row r="1342" s="2" customFormat="1" x14ac:dyDescent="0.2"/>
    <row r="1343" s="2" customFormat="1" x14ac:dyDescent="0.2"/>
    <row r="1344" s="2" customFormat="1" x14ac:dyDescent="0.2"/>
    <row r="1345" s="2" customFormat="1" x14ac:dyDescent="0.2"/>
    <row r="1346" s="2" customFormat="1" x14ac:dyDescent="0.2"/>
    <row r="1347" s="2" customFormat="1" x14ac:dyDescent="0.2"/>
    <row r="1348" s="2" customFormat="1" x14ac:dyDescent="0.2"/>
    <row r="1349" s="2" customFormat="1" x14ac:dyDescent="0.2"/>
    <row r="1350" s="2" customFormat="1" x14ac:dyDescent="0.2"/>
    <row r="1351" s="2" customFormat="1" x14ac:dyDescent="0.2"/>
    <row r="1352" s="2" customFormat="1" x14ac:dyDescent="0.2"/>
    <row r="1353" s="2" customFormat="1" x14ac:dyDescent="0.2"/>
    <row r="1354" s="2" customFormat="1" x14ac:dyDescent="0.2"/>
    <row r="1355" s="2" customFormat="1" x14ac:dyDescent="0.2"/>
    <row r="1356" s="2" customFormat="1" x14ac:dyDescent="0.2"/>
    <row r="1357" s="2" customFormat="1" x14ac:dyDescent="0.2"/>
    <row r="1358" s="2" customFormat="1" x14ac:dyDescent="0.2"/>
    <row r="1359" s="2" customFormat="1" x14ac:dyDescent="0.2"/>
    <row r="1360" s="2" customFormat="1" x14ac:dyDescent="0.2"/>
    <row r="1361" s="2" customFormat="1" x14ac:dyDescent="0.2"/>
    <row r="1362" s="2" customFormat="1" x14ac:dyDescent="0.2"/>
    <row r="1363" s="2" customFormat="1" x14ac:dyDescent="0.2"/>
    <row r="1364" s="2" customFormat="1" x14ac:dyDescent="0.2"/>
    <row r="1365" s="2" customFormat="1" x14ac:dyDescent="0.2"/>
    <row r="1366" s="2" customFormat="1" x14ac:dyDescent="0.2"/>
    <row r="1367" s="2" customFormat="1" x14ac:dyDescent="0.2"/>
    <row r="1368" s="2" customFormat="1" x14ac:dyDescent="0.2"/>
    <row r="1369" s="2" customFormat="1" x14ac:dyDescent="0.2"/>
    <row r="1370" s="2" customFormat="1" x14ac:dyDescent="0.2"/>
    <row r="1371" s="2" customFormat="1" x14ac:dyDescent="0.2"/>
    <row r="1372" s="2" customFormat="1" x14ac:dyDescent="0.2"/>
    <row r="1373" s="2" customFormat="1" x14ac:dyDescent="0.2"/>
    <row r="1374" s="2" customFormat="1" x14ac:dyDescent="0.2"/>
    <row r="1375" s="2" customFormat="1" x14ac:dyDescent="0.2"/>
    <row r="1376" s="2" customFormat="1" x14ac:dyDescent="0.2"/>
    <row r="1377" s="2" customFormat="1" x14ac:dyDescent="0.2"/>
    <row r="1378" s="2" customFormat="1" x14ac:dyDescent="0.2"/>
    <row r="1379" s="2" customFormat="1" x14ac:dyDescent="0.2"/>
    <row r="1380" s="2" customFormat="1" x14ac:dyDescent="0.2"/>
    <row r="1381" s="2" customFormat="1" x14ac:dyDescent="0.2"/>
    <row r="1382" s="2" customFormat="1" x14ac:dyDescent="0.2"/>
    <row r="1383" s="2" customFormat="1" x14ac:dyDescent="0.2"/>
    <row r="1384" s="2" customFormat="1" x14ac:dyDescent="0.2"/>
    <row r="1385" s="2" customFormat="1" x14ac:dyDescent="0.2"/>
    <row r="1386" s="2" customFormat="1" x14ac:dyDescent="0.2"/>
    <row r="1387" s="2" customFormat="1" x14ac:dyDescent="0.2"/>
    <row r="1388" s="2" customFormat="1" x14ac:dyDescent="0.2"/>
    <row r="1389" s="2" customFormat="1" x14ac:dyDescent="0.2"/>
    <row r="1390" s="2" customFormat="1" x14ac:dyDescent="0.2"/>
    <row r="1391" s="2" customFormat="1" x14ac:dyDescent="0.2"/>
    <row r="1392" s="2" customFormat="1" x14ac:dyDescent="0.2"/>
    <row r="1393" s="2" customFormat="1" x14ac:dyDescent="0.2"/>
    <row r="1394" s="2" customFormat="1" x14ac:dyDescent="0.2"/>
    <row r="1395" s="2" customFormat="1" x14ac:dyDescent="0.2"/>
    <row r="1396" s="2" customFormat="1" x14ac:dyDescent="0.2"/>
    <row r="1397" s="2" customFormat="1" x14ac:dyDescent="0.2"/>
    <row r="1398" s="2" customFormat="1" x14ac:dyDescent="0.2"/>
    <row r="1399" s="2" customFormat="1" x14ac:dyDescent="0.2"/>
    <row r="1400" s="2" customFormat="1" x14ac:dyDescent="0.2"/>
    <row r="1401" s="2" customFormat="1" x14ac:dyDescent="0.2"/>
    <row r="1402" s="2" customFormat="1" x14ac:dyDescent="0.2"/>
    <row r="1403" s="2" customFormat="1" x14ac:dyDescent="0.2"/>
    <row r="1404" s="2" customFormat="1" x14ac:dyDescent="0.2"/>
    <row r="1405" s="2" customFormat="1" x14ac:dyDescent="0.2"/>
    <row r="1406" s="2" customFormat="1" x14ac:dyDescent="0.2"/>
    <row r="1407" s="2" customFormat="1" x14ac:dyDescent="0.2"/>
    <row r="1408" s="2" customFormat="1" x14ac:dyDescent="0.2"/>
    <row r="1409" s="2" customFormat="1" x14ac:dyDescent="0.2"/>
    <row r="1410" s="2" customFormat="1" x14ac:dyDescent="0.2"/>
    <row r="1411" s="2" customFormat="1" x14ac:dyDescent="0.2"/>
    <row r="1412" s="2" customFormat="1" x14ac:dyDescent="0.2"/>
    <row r="1413" s="2" customFormat="1" x14ac:dyDescent="0.2"/>
    <row r="1414" s="2" customFormat="1" x14ac:dyDescent="0.2"/>
    <row r="1415" s="2" customFormat="1" x14ac:dyDescent="0.2"/>
    <row r="1416" s="2" customFormat="1" x14ac:dyDescent="0.2"/>
    <row r="1417" s="2" customFormat="1" x14ac:dyDescent="0.2"/>
    <row r="1418" s="2" customFormat="1" x14ac:dyDescent="0.2"/>
    <row r="1419" s="2" customFormat="1" x14ac:dyDescent="0.2"/>
    <row r="1420" s="2" customFormat="1" x14ac:dyDescent="0.2"/>
    <row r="1421" s="2" customFormat="1" x14ac:dyDescent="0.2"/>
    <row r="1422" s="2" customFormat="1" x14ac:dyDescent="0.2"/>
    <row r="1423" s="2" customFormat="1" x14ac:dyDescent="0.2"/>
    <row r="1424" s="2" customFormat="1" x14ac:dyDescent="0.2"/>
    <row r="1425" s="2" customFormat="1" x14ac:dyDescent="0.2"/>
    <row r="1426" s="2" customFormat="1" x14ac:dyDescent="0.2"/>
    <row r="1427" s="2" customFormat="1" x14ac:dyDescent="0.2"/>
    <row r="1428" s="2" customFormat="1" x14ac:dyDescent="0.2"/>
    <row r="1429" s="2" customFormat="1" x14ac:dyDescent="0.2"/>
    <row r="1430" s="2" customFormat="1" x14ac:dyDescent="0.2"/>
    <row r="1431" s="2" customFormat="1" x14ac:dyDescent="0.2"/>
    <row r="1432" s="2" customFormat="1" x14ac:dyDescent="0.2"/>
    <row r="1433" s="2" customFormat="1" x14ac:dyDescent="0.2"/>
    <row r="1434" s="2" customFormat="1" x14ac:dyDescent="0.2"/>
    <row r="1435" s="2" customFormat="1" x14ac:dyDescent="0.2"/>
    <row r="1436" s="2" customFormat="1" x14ac:dyDescent="0.2"/>
    <row r="1437" s="2" customFormat="1" x14ac:dyDescent="0.2"/>
    <row r="1438" s="2" customFormat="1" x14ac:dyDescent="0.2"/>
    <row r="1439" s="2" customFormat="1" x14ac:dyDescent="0.2"/>
    <row r="1440" s="2" customFormat="1" x14ac:dyDescent="0.2"/>
    <row r="1441" s="2" customFormat="1" x14ac:dyDescent="0.2"/>
    <row r="1442" s="2" customFormat="1" x14ac:dyDescent="0.2"/>
    <row r="1443" s="2" customFormat="1" x14ac:dyDescent="0.2"/>
    <row r="1444" s="2" customFormat="1" x14ac:dyDescent="0.2"/>
    <row r="1445" s="2" customFormat="1" x14ac:dyDescent="0.2"/>
    <row r="1446" s="2" customFormat="1" x14ac:dyDescent="0.2"/>
    <row r="1447" s="2" customFormat="1" x14ac:dyDescent="0.2"/>
    <row r="1448" s="2" customFormat="1" x14ac:dyDescent="0.2"/>
    <row r="1449" s="2" customFormat="1" x14ac:dyDescent="0.2"/>
    <row r="1450" s="2" customFormat="1" x14ac:dyDescent="0.2"/>
    <row r="1451" s="2" customFormat="1" x14ac:dyDescent="0.2"/>
    <row r="1452" s="2" customFormat="1" x14ac:dyDescent="0.2"/>
    <row r="1453" s="2" customFormat="1" x14ac:dyDescent="0.2"/>
    <row r="1454" s="2" customFormat="1" x14ac:dyDescent="0.2"/>
    <row r="1455" s="2" customFormat="1" x14ac:dyDescent="0.2"/>
    <row r="1456" s="2" customFormat="1" x14ac:dyDescent="0.2"/>
    <row r="1457" s="2" customFormat="1" x14ac:dyDescent="0.2"/>
    <row r="1458" s="2" customFormat="1" x14ac:dyDescent="0.2"/>
    <row r="1459" s="2" customFormat="1" x14ac:dyDescent="0.2"/>
    <row r="1460" s="2" customFormat="1" x14ac:dyDescent="0.2"/>
    <row r="1461" s="2" customFormat="1" x14ac:dyDescent="0.2"/>
    <row r="1462" s="2" customFormat="1" x14ac:dyDescent="0.2"/>
    <row r="1463" s="2" customFormat="1" x14ac:dyDescent="0.2"/>
    <row r="1464" s="2" customFormat="1" x14ac:dyDescent="0.2"/>
    <row r="1465" s="2" customFormat="1" x14ac:dyDescent="0.2"/>
    <row r="1466" s="2" customFormat="1" x14ac:dyDescent="0.2"/>
    <row r="1467" s="2" customFormat="1" x14ac:dyDescent="0.2"/>
    <row r="1468" s="2" customFormat="1" x14ac:dyDescent="0.2"/>
    <row r="1469" s="2" customFormat="1" x14ac:dyDescent="0.2"/>
    <row r="1470" s="2" customFormat="1" x14ac:dyDescent="0.2"/>
    <row r="1471" s="2" customFormat="1" x14ac:dyDescent="0.2"/>
    <row r="1472" s="2" customFormat="1" x14ac:dyDescent="0.2"/>
    <row r="1473" s="2" customFormat="1" x14ac:dyDescent="0.2"/>
    <row r="1474" s="2" customFormat="1" x14ac:dyDescent="0.2"/>
    <row r="1475" s="2" customFormat="1" x14ac:dyDescent="0.2"/>
    <row r="1476" s="2" customFormat="1" x14ac:dyDescent="0.2"/>
    <row r="1477" s="2" customFormat="1" x14ac:dyDescent="0.2"/>
    <row r="1478" s="2" customFormat="1" x14ac:dyDescent="0.2"/>
    <row r="1479" s="2" customFormat="1" x14ac:dyDescent="0.2"/>
    <row r="1480" s="2" customFormat="1" x14ac:dyDescent="0.2"/>
    <row r="1481" s="2" customFormat="1" x14ac:dyDescent="0.2"/>
    <row r="1482" s="2" customFormat="1" x14ac:dyDescent="0.2"/>
    <row r="1483" s="2" customFormat="1" x14ac:dyDescent="0.2"/>
    <row r="1484" s="2" customFormat="1" x14ac:dyDescent="0.2"/>
    <row r="1485" s="2" customFormat="1" x14ac:dyDescent="0.2"/>
    <row r="1486" s="2" customFormat="1" x14ac:dyDescent="0.2"/>
    <row r="1487" s="2" customFormat="1" x14ac:dyDescent="0.2"/>
    <row r="1488" s="2" customFormat="1" x14ac:dyDescent="0.2"/>
    <row r="1489" s="2" customFormat="1" x14ac:dyDescent="0.2"/>
    <row r="1490" s="2" customFormat="1" x14ac:dyDescent="0.2"/>
    <row r="1491" s="2" customFormat="1" x14ac:dyDescent="0.2"/>
    <row r="1492" s="2" customFormat="1" x14ac:dyDescent="0.2"/>
    <row r="1493" s="2" customFormat="1" x14ac:dyDescent="0.2"/>
    <row r="1494" s="2" customFormat="1" x14ac:dyDescent="0.2"/>
    <row r="1495" s="2" customFormat="1" x14ac:dyDescent="0.2"/>
    <row r="1496" s="2" customFormat="1" x14ac:dyDescent="0.2"/>
    <row r="1497" s="2" customFormat="1" x14ac:dyDescent="0.2"/>
    <row r="1498" s="2" customFormat="1" x14ac:dyDescent="0.2"/>
    <row r="1499" s="2" customFormat="1" x14ac:dyDescent="0.2"/>
    <row r="1500" s="2" customFormat="1" x14ac:dyDescent="0.2"/>
    <row r="1501" s="2" customFormat="1" x14ac:dyDescent="0.2"/>
    <row r="1502" s="2" customFormat="1" x14ac:dyDescent="0.2"/>
    <row r="1503" s="2" customFormat="1" x14ac:dyDescent="0.2"/>
    <row r="1504" s="2" customFormat="1" x14ac:dyDescent="0.2"/>
    <row r="1505" s="2" customFormat="1" x14ac:dyDescent="0.2"/>
    <row r="1506" s="2" customFormat="1" x14ac:dyDescent="0.2"/>
    <row r="1507" s="2" customFormat="1" x14ac:dyDescent="0.2"/>
    <row r="1508" s="2" customFormat="1" x14ac:dyDescent="0.2"/>
    <row r="1509" s="2" customFormat="1" x14ac:dyDescent="0.2"/>
    <row r="1510" s="2" customFormat="1" x14ac:dyDescent="0.2"/>
    <row r="1511" s="2" customFormat="1" x14ac:dyDescent="0.2"/>
    <row r="1512" s="2" customFormat="1" x14ac:dyDescent="0.2"/>
    <row r="1513" s="2" customFormat="1" x14ac:dyDescent="0.2"/>
    <row r="1514" s="2" customFormat="1" x14ac:dyDescent="0.2"/>
    <row r="1515" s="2" customFormat="1" x14ac:dyDescent="0.2"/>
    <row r="1516" s="2" customFormat="1" x14ac:dyDescent="0.2"/>
    <row r="1517" s="2" customFormat="1" x14ac:dyDescent="0.2"/>
    <row r="1518" s="2" customFormat="1" x14ac:dyDescent="0.2"/>
    <row r="1519" s="2" customFormat="1" x14ac:dyDescent="0.2"/>
    <row r="1520" s="2" customFormat="1" x14ac:dyDescent="0.2"/>
    <row r="1521" s="2" customFormat="1" x14ac:dyDescent="0.2"/>
    <row r="1522" s="2" customFormat="1" x14ac:dyDescent="0.2"/>
    <row r="1523" s="2" customFormat="1" x14ac:dyDescent="0.2"/>
    <row r="1524" s="2" customFormat="1" x14ac:dyDescent="0.2"/>
    <row r="1525" s="2" customFormat="1" x14ac:dyDescent="0.2"/>
    <row r="1526" s="2" customFormat="1" x14ac:dyDescent="0.2"/>
    <row r="1527" s="2" customFormat="1" x14ac:dyDescent="0.2"/>
    <row r="1528" s="2" customFormat="1" x14ac:dyDescent="0.2"/>
    <row r="1529" s="2" customFormat="1" x14ac:dyDescent="0.2"/>
    <row r="1530" s="2" customFormat="1" x14ac:dyDescent="0.2"/>
    <row r="1531" s="2" customFormat="1" x14ac:dyDescent="0.2"/>
    <row r="1532" s="2" customFormat="1" x14ac:dyDescent="0.2"/>
    <row r="1533" s="2" customFormat="1" x14ac:dyDescent="0.2"/>
    <row r="1534" s="2" customFormat="1" x14ac:dyDescent="0.2"/>
    <row r="1535" s="2" customFormat="1" x14ac:dyDescent="0.2"/>
    <row r="1536" s="2" customFormat="1" x14ac:dyDescent="0.2"/>
    <row r="1537" s="2" customFormat="1" x14ac:dyDescent="0.2"/>
    <row r="1538" s="2" customFormat="1" x14ac:dyDescent="0.2"/>
    <row r="1539" s="2" customFormat="1" x14ac:dyDescent="0.2"/>
    <row r="1540" s="2" customFormat="1" x14ac:dyDescent="0.2"/>
    <row r="1541" s="2" customFormat="1" x14ac:dyDescent="0.2"/>
    <row r="1542" s="2" customFormat="1" x14ac:dyDescent="0.2"/>
    <row r="1543" s="2" customFormat="1" x14ac:dyDescent="0.2"/>
    <row r="1544" s="2" customFormat="1" x14ac:dyDescent="0.2"/>
    <row r="1545" s="2" customFormat="1" x14ac:dyDescent="0.2"/>
    <row r="1546" s="2" customFormat="1" x14ac:dyDescent="0.2"/>
    <row r="1547" s="2" customFormat="1" x14ac:dyDescent="0.2"/>
    <row r="1548" s="2" customFormat="1" x14ac:dyDescent="0.2"/>
    <row r="1549" s="2" customFormat="1" x14ac:dyDescent="0.2"/>
    <row r="1550" s="2" customFormat="1" x14ac:dyDescent="0.2"/>
    <row r="1551" s="2" customFormat="1" x14ac:dyDescent="0.2"/>
    <row r="1552" s="2" customFormat="1" x14ac:dyDescent="0.2"/>
    <row r="1553" s="2" customFormat="1" x14ac:dyDescent="0.2"/>
    <row r="1554" s="2" customFormat="1" x14ac:dyDescent="0.2"/>
    <row r="1555" s="2" customFormat="1" x14ac:dyDescent="0.2"/>
    <row r="1556" s="2" customFormat="1" x14ac:dyDescent="0.2"/>
    <row r="1557" s="2" customFormat="1" x14ac:dyDescent="0.2"/>
    <row r="1558" s="2" customFormat="1" x14ac:dyDescent="0.2"/>
    <row r="1559" s="2" customFormat="1" x14ac:dyDescent="0.2"/>
    <row r="1560" s="2" customFormat="1" x14ac:dyDescent="0.2"/>
    <row r="1561" s="2" customFormat="1" x14ac:dyDescent="0.2"/>
    <row r="1562" s="2" customFormat="1" x14ac:dyDescent="0.2"/>
    <row r="1563" s="2" customFormat="1" x14ac:dyDescent="0.2"/>
    <row r="1564" s="2" customFormat="1" x14ac:dyDescent="0.2"/>
    <row r="1565" s="2" customFormat="1" x14ac:dyDescent="0.2"/>
    <row r="1566" s="2" customFormat="1" x14ac:dyDescent="0.2"/>
    <row r="1567" s="2" customFormat="1" x14ac:dyDescent="0.2"/>
    <row r="1568" s="2" customFormat="1" x14ac:dyDescent="0.2"/>
    <row r="1569" s="2" customFormat="1" x14ac:dyDescent="0.2"/>
    <row r="1570" s="2" customFormat="1" x14ac:dyDescent="0.2"/>
    <row r="1571" s="2" customFormat="1" x14ac:dyDescent="0.2"/>
    <row r="1572" s="2" customFormat="1" x14ac:dyDescent="0.2"/>
    <row r="1573" s="2" customFormat="1" x14ac:dyDescent="0.2"/>
    <row r="1574" s="2" customFormat="1" x14ac:dyDescent="0.2"/>
    <row r="1575" s="2" customFormat="1" x14ac:dyDescent="0.2"/>
    <row r="1576" s="2" customFormat="1" x14ac:dyDescent="0.2"/>
    <row r="1577" s="2" customFormat="1" x14ac:dyDescent="0.2"/>
    <row r="1578" s="2" customFormat="1" x14ac:dyDescent="0.2"/>
    <row r="1579" s="2" customFormat="1" x14ac:dyDescent="0.2"/>
    <row r="1580" s="2" customFormat="1" x14ac:dyDescent="0.2"/>
    <row r="1581" s="2" customFormat="1" x14ac:dyDescent="0.2"/>
    <row r="1582" s="2" customFormat="1" x14ac:dyDescent="0.2"/>
    <row r="1583" s="2" customFormat="1" x14ac:dyDescent="0.2"/>
    <row r="1584" s="2" customFormat="1" x14ac:dyDescent="0.2"/>
    <row r="1585" s="2" customFormat="1" x14ac:dyDescent="0.2"/>
    <row r="1586" s="2" customFormat="1" x14ac:dyDescent="0.2"/>
    <row r="1587" s="2" customFormat="1" x14ac:dyDescent="0.2"/>
    <row r="1588" s="2" customFormat="1" x14ac:dyDescent="0.2"/>
    <row r="1589" s="2" customFormat="1" x14ac:dyDescent="0.2"/>
    <row r="1590" s="2" customFormat="1" x14ac:dyDescent="0.2"/>
    <row r="1591" s="2" customFormat="1" x14ac:dyDescent="0.2"/>
    <row r="1592" s="2" customFormat="1" x14ac:dyDescent="0.2"/>
    <row r="1593" s="2" customFormat="1" x14ac:dyDescent="0.2"/>
    <row r="1594" s="2" customFormat="1" x14ac:dyDescent="0.2"/>
    <row r="1595" s="2" customFormat="1" x14ac:dyDescent="0.2"/>
    <row r="1596" s="2" customFormat="1" x14ac:dyDescent="0.2"/>
    <row r="1597" s="2" customFormat="1" x14ac:dyDescent="0.2"/>
    <row r="1598" s="2" customFormat="1" x14ac:dyDescent="0.2"/>
    <row r="1599" s="2" customFormat="1" x14ac:dyDescent="0.2"/>
    <row r="1600" s="2" customFormat="1" x14ac:dyDescent="0.2"/>
    <row r="1601" s="2" customFormat="1" x14ac:dyDescent="0.2"/>
    <row r="1602" s="2" customFormat="1" x14ac:dyDescent="0.2"/>
    <row r="1603" s="2" customFormat="1" x14ac:dyDescent="0.2"/>
    <row r="1604" s="2" customFormat="1" x14ac:dyDescent="0.2"/>
    <row r="1605" s="2" customFormat="1" x14ac:dyDescent="0.2"/>
    <row r="1606" s="2" customFormat="1" x14ac:dyDescent="0.2"/>
    <row r="1607" s="2" customFormat="1" x14ac:dyDescent="0.2"/>
    <row r="1608" s="2" customFormat="1" x14ac:dyDescent="0.2"/>
    <row r="1609" s="2" customFormat="1" x14ac:dyDescent="0.2"/>
    <row r="1610" s="2" customFormat="1" x14ac:dyDescent="0.2"/>
    <row r="1611" s="2" customFormat="1" x14ac:dyDescent="0.2"/>
    <row r="1612" s="2" customFormat="1" x14ac:dyDescent="0.2"/>
    <row r="1613" s="2" customFormat="1" x14ac:dyDescent="0.2"/>
    <row r="1614" s="2" customFormat="1" x14ac:dyDescent="0.2"/>
    <row r="1615" s="2" customFormat="1" x14ac:dyDescent="0.2"/>
    <row r="1616" s="2" customFormat="1" x14ac:dyDescent="0.2"/>
    <row r="1617" s="2" customFormat="1" x14ac:dyDescent="0.2"/>
    <row r="1618" s="2" customFormat="1" x14ac:dyDescent="0.2"/>
    <row r="1619" s="2" customFormat="1" x14ac:dyDescent="0.2"/>
    <row r="1620" s="2" customFormat="1" x14ac:dyDescent="0.2"/>
    <row r="1621" s="2" customFormat="1" x14ac:dyDescent="0.2"/>
    <row r="1622" s="2" customFormat="1" x14ac:dyDescent="0.2"/>
    <row r="1623" s="2" customFormat="1" x14ac:dyDescent="0.2"/>
    <row r="1624" s="2" customFormat="1" x14ac:dyDescent="0.2"/>
    <row r="1625" s="2" customFormat="1" x14ac:dyDescent="0.2"/>
    <row r="1626" s="2" customFormat="1" x14ac:dyDescent="0.2"/>
    <row r="1627" s="2" customFormat="1" x14ac:dyDescent="0.2"/>
    <row r="1628" s="2" customFormat="1" x14ac:dyDescent="0.2"/>
    <row r="1629" s="2" customFormat="1" x14ac:dyDescent="0.2"/>
    <row r="1630" s="2" customFormat="1" x14ac:dyDescent="0.2"/>
    <row r="1631" s="2" customFormat="1" x14ac:dyDescent="0.2"/>
    <row r="1632" s="2" customFormat="1" x14ac:dyDescent="0.2"/>
    <row r="1633" s="2" customFormat="1" x14ac:dyDescent="0.2"/>
    <row r="1634" s="2" customFormat="1" x14ac:dyDescent="0.2"/>
    <row r="1635" s="2" customFormat="1" x14ac:dyDescent="0.2"/>
    <row r="1636" s="2" customFormat="1" x14ac:dyDescent="0.2"/>
    <row r="1637" s="2" customFormat="1" x14ac:dyDescent="0.2"/>
    <row r="1638" s="2" customFormat="1" x14ac:dyDescent="0.2"/>
    <row r="1639" s="2" customFormat="1" x14ac:dyDescent="0.2"/>
    <row r="1640" s="2" customFormat="1" x14ac:dyDescent="0.2"/>
    <row r="1641" s="2" customFormat="1" x14ac:dyDescent="0.2"/>
    <row r="1642" s="2" customFormat="1" x14ac:dyDescent="0.2"/>
    <row r="1643" s="2" customFormat="1" x14ac:dyDescent="0.2"/>
    <row r="1644" s="2" customFormat="1" x14ac:dyDescent="0.2"/>
    <row r="1645" s="2" customFormat="1" x14ac:dyDescent="0.2"/>
    <row r="1646" s="2" customFormat="1" x14ac:dyDescent="0.2"/>
    <row r="1647" s="2" customFormat="1" x14ac:dyDescent="0.2"/>
    <row r="1648" s="2" customFormat="1" x14ac:dyDescent="0.2"/>
    <row r="1649" s="2" customFormat="1" x14ac:dyDescent="0.2"/>
    <row r="1650" s="2" customFormat="1" x14ac:dyDescent="0.2"/>
    <row r="1651" s="2" customFormat="1" x14ac:dyDescent="0.2"/>
    <row r="1652" s="2" customFormat="1" x14ac:dyDescent="0.2"/>
    <row r="1653" s="2" customFormat="1" x14ac:dyDescent="0.2"/>
    <row r="1654" s="2" customFormat="1" x14ac:dyDescent="0.2"/>
    <row r="1655" s="2" customFormat="1" x14ac:dyDescent="0.2"/>
    <row r="1656" s="2" customFormat="1" x14ac:dyDescent="0.2"/>
    <row r="1657" s="2" customFormat="1" x14ac:dyDescent="0.2"/>
    <row r="1658" s="2" customFormat="1" x14ac:dyDescent="0.2"/>
    <row r="1659" s="2" customFormat="1" x14ac:dyDescent="0.2"/>
    <row r="1660" s="2" customFormat="1" x14ac:dyDescent="0.2"/>
    <row r="1661" s="2" customFormat="1" x14ac:dyDescent="0.2"/>
    <row r="1662" s="2" customFormat="1" x14ac:dyDescent="0.2"/>
    <row r="1663" s="2" customFormat="1" x14ac:dyDescent="0.2"/>
    <row r="1664" s="2" customFormat="1" x14ac:dyDescent="0.2"/>
    <row r="1665" s="2" customFormat="1" x14ac:dyDescent="0.2"/>
    <row r="1666" s="2" customFormat="1" x14ac:dyDescent="0.2"/>
    <row r="1667" s="2" customFormat="1" x14ac:dyDescent="0.2"/>
    <row r="1668" s="2" customFormat="1" x14ac:dyDescent="0.2"/>
    <row r="1669" s="2" customFormat="1" x14ac:dyDescent="0.2"/>
    <row r="1670" s="2" customFormat="1" x14ac:dyDescent="0.2"/>
    <row r="1671" s="2" customFormat="1" x14ac:dyDescent="0.2"/>
    <row r="1672" s="2" customFormat="1" x14ac:dyDescent="0.2"/>
    <row r="1673" s="2" customFormat="1" x14ac:dyDescent="0.2"/>
    <row r="1674" s="2" customFormat="1" x14ac:dyDescent="0.2"/>
    <row r="1675" s="2" customFormat="1" x14ac:dyDescent="0.2"/>
    <row r="1676" s="2" customFormat="1" x14ac:dyDescent="0.2"/>
    <row r="1677" s="2" customFormat="1" x14ac:dyDescent="0.2"/>
    <row r="1678" s="2" customFormat="1" x14ac:dyDescent="0.2"/>
    <row r="1679" s="2" customFormat="1" x14ac:dyDescent="0.2"/>
    <row r="1680" s="2" customFormat="1" x14ac:dyDescent="0.2"/>
    <row r="1681" s="2" customFormat="1" x14ac:dyDescent="0.2"/>
    <row r="1682" s="2" customFormat="1" x14ac:dyDescent="0.2"/>
    <row r="1683" s="2" customFormat="1" x14ac:dyDescent="0.2"/>
    <row r="1684" s="2" customFormat="1" x14ac:dyDescent="0.2"/>
    <row r="1685" s="2" customFormat="1" x14ac:dyDescent="0.2"/>
    <row r="1686" s="2" customFormat="1" x14ac:dyDescent="0.2"/>
    <row r="1687" s="2" customFormat="1" x14ac:dyDescent="0.2"/>
    <row r="1688" s="2" customFormat="1" x14ac:dyDescent="0.2"/>
    <row r="1689" s="2" customFormat="1" x14ac:dyDescent="0.2"/>
    <row r="1690" s="2" customFormat="1" x14ac:dyDescent="0.2"/>
    <row r="1691" s="2" customFormat="1" x14ac:dyDescent="0.2"/>
    <row r="1692" s="2" customFormat="1" x14ac:dyDescent="0.2"/>
    <row r="1693" s="2" customFormat="1" x14ac:dyDescent="0.2"/>
    <row r="1694" s="2" customFormat="1" x14ac:dyDescent="0.2"/>
    <row r="1695" s="2" customFormat="1" x14ac:dyDescent="0.2"/>
    <row r="1696" s="2" customFormat="1" x14ac:dyDescent="0.2"/>
    <row r="1697" s="2" customFormat="1" x14ac:dyDescent="0.2"/>
    <row r="1698" s="2" customFormat="1" x14ac:dyDescent="0.2"/>
    <row r="1699" s="2" customFormat="1" x14ac:dyDescent="0.2"/>
    <row r="1700" s="2" customFormat="1" x14ac:dyDescent="0.2"/>
    <row r="1701" s="2" customFormat="1" x14ac:dyDescent="0.2"/>
    <row r="1702" s="2" customFormat="1" x14ac:dyDescent="0.2"/>
    <row r="1703" s="2" customFormat="1" x14ac:dyDescent="0.2"/>
    <row r="1704" s="2" customFormat="1" x14ac:dyDescent="0.2"/>
    <row r="1705" s="2" customFormat="1" x14ac:dyDescent="0.2"/>
    <row r="1706" s="2" customFormat="1" x14ac:dyDescent="0.2"/>
    <row r="1707" s="2" customFormat="1" x14ac:dyDescent="0.2"/>
    <row r="1708" s="2" customFormat="1" x14ac:dyDescent="0.2"/>
    <row r="1709" s="2" customFormat="1" x14ac:dyDescent="0.2"/>
    <row r="1710" s="2" customFormat="1" x14ac:dyDescent="0.2"/>
    <row r="1711" s="2" customFormat="1" x14ac:dyDescent="0.2"/>
    <row r="1712" s="2" customFormat="1" x14ac:dyDescent="0.2"/>
    <row r="1713" s="2" customFormat="1" x14ac:dyDescent="0.2"/>
    <row r="1714" s="2" customFormat="1" x14ac:dyDescent="0.2"/>
    <row r="1715" s="2" customFormat="1" x14ac:dyDescent="0.2"/>
    <row r="1716" s="2" customFormat="1" x14ac:dyDescent="0.2"/>
    <row r="1717" s="2" customFormat="1" x14ac:dyDescent="0.2"/>
    <row r="1718" s="2" customFormat="1" x14ac:dyDescent="0.2"/>
    <row r="1719" s="2" customFormat="1" x14ac:dyDescent="0.2"/>
    <row r="1720" s="2" customFormat="1" x14ac:dyDescent="0.2"/>
    <row r="1721" s="2" customFormat="1" x14ac:dyDescent="0.2"/>
    <row r="1722" s="2" customFormat="1" x14ac:dyDescent="0.2"/>
    <row r="1723" s="2" customFormat="1" x14ac:dyDescent="0.2"/>
    <row r="1724" s="2" customFormat="1" x14ac:dyDescent="0.2"/>
    <row r="1725" s="2" customFormat="1" x14ac:dyDescent="0.2"/>
    <row r="1726" s="2" customFormat="1" x14ac:dyDescent="0.2"/>
    <row r="1727" s="2" customFormat="1" x14ac:dyDescent="0.2"/>
    <row r="1728" s="2" customFormat="1" x14ac:dyDescent="0.2"/>
    <row r="1729" s="2" customFormat="1" x14ac:dyDescent="0.2"/>
    <row r="1730" s="2" customFormat="1" x14ac:dyDescent="0.2"/>
    <row r="1731" s="2" customFormat="1" x14ac:dyDescent="0.2"/>
    <row r="1732" s="2" customFormat="1" x14ac:dyDescent="0.2"/>
    <row r="1733" s="2" customFormat="1" x14ac:dyDescent="0.2"/>
    <row r="1734" s="2" customFormat="1" x14ac:dyDescent="0.2"/>
    <row r="1735" s="2" customFormat="1" x14ac:dyDescent="0.2"/>
    <row r="1736" s="2" customFormat="1" x14ac:dyDescent="0.2"/>
    <row r="1737" s="2" customFormat="1" x14ac:dyDescent="0.2"/>
    <row r="1738" s="2" customFormat="1" x14ac:dyDescent="0.2"/>
    <row r="1739" s="2" customFormat="1" x14ac:dyDescent="0.2"/>
    <row r="1740" s="2" customFormat="1" x14ac:dyDescent="0.2"/>
    <row r="1741" s="2" customFormat="1" x14ac:dyDescent="0.2"/>
    <row r="1742" s="2" customFormat="1" x14ac:dyDescent="0.2"/>
    <row r="1743" s="2" customFormat="1" x14ac:dyDescent="0.2"/>
    <row r="1744" s="2" customFormat="1" x14ac:dyDescent="0.2"/>
    <row r="1745" s="2" customFormat="1" x14ac:dyDescent="0.2"/>
    <row r="1746" s="2" customFormat="1" x14ac:dyDescent="0.2"/>
    <row r="1747" s="2" customFormat="1" x14ac:dyDescent="0.2"/>
    <row r="1748" s="2" customFormat="1" x14ac:dyDescent="0.2"/>
    <row r="1749" s="2" customFormat="1" x14ac:dyDescent="0.2"/>
    <row r="1750" s="2" customFormat="1" x14ac:dyDescent="0.2"/>
    <row r="1751" s="2" customFormat="1" x14ac:dyDescent="0.2"/>
    <row r="1752" s="2" customFormat="1" x14ac:dyDescent="0.2"/>
    <row r="1753" s="2" customFormat="1" x14ac:dyDescent="0.2"/>
    <row r="1754" s="2" customFormat="1" x14ac:dyDescent="0.2"/>
    <row r="1755" s="2" customFormat="1" x14ac:dyDescent="0.2"/>
    <row r="1756" s="2" customFormat="1" x14ac:dyDescent="0.2"/>
    <row r="1757" s="2" customFormat="1" x14ac:dyDescent="0.2"/>
    <row r="1758" s="2" customFormat="1" x14ac:dyDescent="0.2"/>
    <row r="1759" s="2" customFormat="1" x14ac:dyDescent="0.2"/>
    <row r="1760" s="2" customFormat="1" x14ac:dyDescent="0.2"/>
    <row r="1761" s="2" customFormat="1" x14ac:dyDescent="0.2"/>
    <row r="1762" s="2" customFormat="1" x14ac:dyDescent="0.2"/>
    <row r="1763" s="2" customFormat="1" x14ac:dyDescent="0.2"/>
    <row r="1764" s="2" customFormat="1" x14ac:dyDescent="0.2"/>
    <row r="1765" s="2" customFormat="1" x14ac:dyDescent="0.2"/>
    <row r="1766" s="2" customFormat="1" x14ac:dyDescent="0.2"/>
    <row r="1767" s="2" customFormat="1" x14ac:dyDescent="0.2"/>
    <row r="1768" s="2" customFormat="1" x14ac:dyDescent="0.2"/>
    <row r="1769" s="2" customFormat="1" x14ac:dyDescent="0.2"/>
    <row r="1770" s="2" customFormat="1" x14ac:dyDescent="0.2"/>
    <row r="1771" s="2" customFormat="1" x14ac:dyDescent="0.2"/>
    <row r="1772" s="2" customFormat="1" x14ac:dyDescent="0.2"/>
    <row r="1773" s="2" customFormat="1" x14ac:dyDescent="0.2"/>
    <row r="1774" s="2" customFormat="1" x14ac:dyDescent="0.2"/>
    <row r="1775" s="2" customFormat="1" x14ac:dyDescent="0.2"/>
    <row r="1776" s="2" customFormat="1" x14ac:dyDescent="0.2"/>
    <row r="1777" s="2" customFormat="1" x14ac:dyDescent="0.2"/>
    <row r="1778" s="2" customFormat="1" x14ac:dyDescent="0.2"/>
    <row r="1779" s="2" customFormat="1" x14ac:dyDescent="0.2"/>
    <row r="1780" s="2" customFormat="1" x14ac:dyDescent="0.2"/>
    <row r="1781" s="2" customFormat="1" x14ac:dyDescent="0.2"/>
    <row r="1782" s="2" customFormat="1" x14ac:dyDescent="0.2"/>
    <row r="1783" s="2" customFormat="1" x14ac:dyDescent="0.2"/>
    <row r="1784" s="2" customFormat="1" x14ac:dyDescent="0.2"/>
    <row r="1785" s="2" customFormat="1" x14ac:dyDescent="0.2"/>
    <row r="1786" s="2" customFormat="1" x14ac:dyDescent="0.2"/>
    <row r="1787" s="2" customFormat="1" x14ac:dyDescent="0.2"/>
    <row r="1788" s="2" customFormat="1" x14ac:dyDescent="0.2"/>
    <row r="1789" s="2" customFormat="1" x14ac:dyDescent="0.2"/>
    <row r="1790" s="2" customFormat="1" x14ac:dyDescent="0.2"/>
    <row r="1791" s="2" customFormat="1" x14ac:dyDescent="0.2"/>
    <row r="1792" s="2" customFormat="1" x14ac:dyDescent="0.2"/>
    <row r="1793" s="2" customFormat="1" x14ac:dyDescent="0.2"/>
    <row r="1794" s="2" customFormat="1" x14ac:dyDescent="0.2"/>
    <row r="1795" s="2" customFormat="1" x14ac:dyDescent="0.2"/>
    <row r="1796" s="2" customFormat="1" x14ac:dyDescent="0.2"/>
    <row r="1797" s="2" customFormat="1" x14ac:dyDescent="0.2"/>
    <row r="1798" s="2" customFormat="1" x14ac:dyDescent="0.2"/>
    <row r="1799" s="2" customFormat="1" x14ac:dyDescent="0.2"/>
    <row r="1800" s="2" customFormat="1" x14ac:dyDescent="0.2"/>
    <row r="1801" s="2" customFormat="1" x14ac:dyDescent="0.2"/>
    <row r="1802" s="2" customFormat="1" x14ac:dyDescent="0.2"/>
    <row r="1803" s="2" customFormat="1" x14ac:dyDescent="0.2"/>
    <row r="1804" s="2" customFormat="1" x14ac:dyDescent="0.2"/>
    <row r="1805" s="2" customFormat="1" x14ac:dyDescent="0.2"/>
    <row r="1806" s="2" customFormat="1" x14ac:dyDescent="0.2"/>
    <row r="1807" s="2" customFormat="1" x14ac:dyDescent="0.2"/>
    <row r="1808" s="2" customFormat="1" x14ac:dyDescent="0.2"/>
    <row r="1809" s="2" customFormat="1" x14ac:dyDescent="0.2"/>
    <row r="1810" s="2" customFormat="1" x14ac:dyDescent="0.2"/>
    <row r="1811" s="2" customFormat="1" x14ac:dyDescent="0.2"/>
    <row r="1812" s="2" customFormat="1" x14ac:dyDescent="0.2"/>
    <row r="1813" s="2" customFormat="1" x14ac:dyDescent="0.2"/>
    <row r="1814" s="2" customFormat="1" x14ac:dyDescent="0.2"/>
    <row r="1815" s="2" customFormat="1" x14ac:dyDescent="0.2"/>
    <row r="1816" s="2" customFormat="1" x14ac:dyDescent="0.2"/>
    <row r="1817" s="2" customFormat="1" x14ac:dyDescent="0.2"/>
    <row r="1818" s="2" customFormat="1" x14ac:dyDescent="0.2"/>
    <row r="1819" s="2" customFormat="1" x14ac:dyDescent="0.2"/>
    <row r="1820" s="2" customFormat="1" x14ac:dyDescent="0.2"/>
    <row r="1821" s="2" customFormat="1" x14ac:dyDescent="0.2"/>
    <row r="1822" s="2" customFormat="1" x14ac:dyDescent="0.2"/>
    <row r="1823" s="2" customFormat="1" x14ac:dyDescent="0.2"/>
    <row r="1824" s="2" customFormat="1" x14ac:dyDescent="0.2"/>
    <row r="1825" s="2" customFormat="1" x14ac:dyDescent="0.2"/>
    <row r="1826" s="2" customFormat="1" x14ac:dyDescent="0.2"/>
    <row r="1827" s="2" customFormat="1" x14ac:dyDescent="0.2"/>
    <row r="1828" s="2" customFormat="1" x14ac:dyDescent="0.2"/>
    <row r="1829" s="2" customFormat="1" x14ac:dyDescent="0.2"/>
    <row r="1830" s="2" customFormat="1" x14ac:dyDescent="0.2"/>
    <row r="1831" s="2" customFormat="1" x14ac:dyDescent="0.2"/>
    <row r="1832" s="2" customFormat="1" x14ac:dyDescent="0.2"/>
    <row r="1833" s="2" customFormat="1" x14ac:dyDescent="0.2"/>
    <row r="1834" s="2" customFormat="1" x14ac:dyDescent="0.2"/>
    <row r="1835" s="2" customFormat="1" x14ac:dyDescent="0.2"/>
    <row r="1836" s="2" customFormat="1" x14ac:dyDescent="0.2"/>
    <row r="1837" s="2" customFormat="1" x14ac:dyDescent="0.2"/>
    <row r="1838" s="2" customFormat="1" x14ac:dyDescent="0.2"/>
    <row r="1839" s="2" customFormat="1" x14ac:dyDescent="0.2"/>
    <row r="1840" s="2" customFormat="1" x14ac:dyDescent="0.2"/>
    <row r="1841" s="2" customFormat="1" x14ac:dyDescent="0.2"/>
    <row r="1842" s="2" customFormat="1" x14ac:dyDescent="0.2"/>
    <row r="1843" s="2" customFormat="1" x14ac:dyDescent="0.2"/>
    <row r="1844" s="2" customFormat="1" x14ac:dyDescent="0.2"/>
    <row r="1845" s="2" customFormat="1" x14ac:dyDescent="0.2"/>
    <row r="1846" s="2" customFormat="1" x14ac:dyDescent="0.2"/>
    <row r="1847" s="2" customFormat="1" x14ac:dyDescent="0.2"/>
    <row r="1848" s="2" customFormat="1" x14ac:dyDescent="0.2"/>
    <row r="1849" s="2" customFormat="1" x14ac:dyDescent="0.2"/>
    <row r="1850" s="2" customFormat="1" x14ac:dyDescent="0.2"/>
    <row r="1851" s="2" customFormat="1" x14ac:dyDescent="0.2"/>
    <row r="1852" s="2" customFormat="1" x14ac:dyDescent="0.2"/>
    <row r="1853" s="2" customFormat="1" x14ac:dyDescent="0.2"/>
    <row r="1854" s="2" customFormat="1" x14ac:dyDescent="0.2"/>
    <row r="1855" s="2" customFormat="1" x14ac:dyDescent="0.2"/>
    <row r="1856" s="2" customFormat="1" x14ac:dyDescent="0.2"/>
    <row r="1857" s="2" customFormat="1" x14ac:dyDescent="0.2"/>
    <row r="1858" s="2" customFormat="1" x14ac:dyDescent="0.2"/>
    <row r="1859" s="2" customFormat="1" x14ac:dyDescent="0.2"/>
    <row r="1860" s="2" customFormat="1" x14ac:dyDescent="0.2"/>
    <row r="1861" s="2" customFormat="1" x14ac:dyDescent="0.2"/>
    <row r="1862" s="2" customFormat="1" x14ac:dyDescent="0.2"/>
    <row r="1863" s="2" customFormat="1" x14ac:dyDescent="0.2"/>
    <row r="1864" s="2" customFormat="1" x14ac:dyDescent="0.2"/>
    <row r="1865" s="2" customFormat="1" x14ac:dyDescent="0.2"/>
    <row r="1866" s="2" customFormat="1" x14ac:dyDescent="0.2"/>
    <row r="1867" s="2" customFormat="1" x14ac:dyDescent="0.2"/>
    <row r="1868" s="2" customFormat="1" x14ac:dyDescent="0.2"/>
    <row r="1869" s="2" customFormat="1" x14ac:dyDescent="0.2"/>
    <row r="1870" s="2" customFormat="1" x14ac:dyDescent="0.2"/>
    <row r="1871" s="2" customFormat="1" x14ac:dyDescent="0.2"/>
    <row r="1872" s="2" customFormat="1" x14ac:dyDescent="0.2"/>
    <row r="1873" s="2" customFormat="1" x14ac:dyDescent="0.2"/>
    <row r="1874" s="2" customFormat="1" x14ac:dyDescent="0.2"/>
    <row r="1875" s="2" customFormat="1" x14ac:dyDescent="0.2"/>
    <row r="1876" s="2" customFormat="1" x14ac:dyDescent="0.2"/>
    <row r="1877" s="2" customFormat="1" x14ac:dyDescent="0.2"/>
    <row r="1878" s="2" customFormat="1" x14ac:dyDescent="0.2"/>
    <row r="1879" s="2" customFormat="1" x14ac:dyDescent="0.2"/>
    <row r="1880" s="2" customFormat="1" x14ac:dyDescent="0.2"/>
    <row r="1881" s="2" customFormat="1" x14ac:dyDescent="0.2"/>
    <row r="1882" s="2" customFormat="1" x14ac:dyDescent="0.2"/>
    <row r="1883" s="2" customFormat="1" x14ac:dyDescent="0.2"/>
    <row r="1884" s="2" customFormat="1" x14ac:dyDescent="0.2"/>
    <row r="1885" s="2" customFormat="1" x14ac:dyDescent="0.2"/>
    <row r="1886" s="2" customFormat="1" x14ac:dyDescent="0.2"/>
    <row r="1887" s="2" customFormat="1" x14ac:dyDescent="0.2"/>
    <row r="1888" s="2" customFormat="1" x14ac:dyDescent="0.2"/>
    <row r="1889" s="2" customFormat="1" x14ac:dyDescent="0.2"/>
    <row r="1890" s="2" customFormat="1" x14ac:dyDescent="0.2"/>
    <row r="1891" s="2" customFormat="1" x14ac:dyDescent="0.2"/>
    <row r="1892" s="2" customFormat="1" x14ac:dyDescent="0.2"/>
    <row r="1893" s="2" customFormat="1" x14ac:dyDescent="0.2"/>
    <row r="1894" s="2" customFormat="1" x14ac:dyDescent="0.2"/>
    <row r="1895" s="2" customFormat="1" x14ac:dyDescent="0.2"/>
    <row r="1896" s="2" customFormat="1" x14ac:dyDescent="0.2"/>
    <row r="1897" s="2" customFormat="1" x14ac:dyDescent="0.2"/>
    <row r="1898" s="2" customFormat="1" x14ac:dyDescent="0.2"/>
    <row r="1899" s="2" customFormat="1" x14ac:dyDescent="0.2"/>
    <row r="1900" s="2" customFormat="1" x14ac:dyDescent="0.2"/>
    <row r="1901" s="2" customFormat="1" x14ac:dyDescent="0.2"/>
    <row r="1902" s="2" customFormat="1" x14ac:dyDescent="0.2"/>
    <row r="1903" s="2" customFormat="1" x14ac:dyDescent="0.2"/>
    <row r="1904" s="2" customFormat="1" x14ac:dyDescent="0.2"/>
    <row r="1905" s="2" customFormat="1" x14ac:dyDescent="0.2"/>
    <row r="1906" s="2" customFormat="1" x14ac:dyDescent="0.2"/>
    <row r="1907" s="2" customFormat="1" x14ac:dyDescent="0.2"/>
    <row r="1908" s="2" customFormat="1" x14ac:dyDescent="0.2"/>
    <row r="1909" s="2" customFormat="1" x14ac:dyDescent="0.2"/>
    <row r="1910" s="2" customFormat="1" x14ac:dyDescent="0.2"/>
    <row r="1911" s="2" customFormat="1" x14ac:dyDescent="0.2"/>
    <row r="1912" s="2" customFormat="1" x14ac:dyDescent="0.2"/>
    <row r="1913" s="2" customFormat="1" x14ac:dyDescent="0.2"/>
    <row r="1914" s="2" customFormat="1" x14ac:dyDescent="0.2"/>
    <row r="1915" s="2" customFormat="1" x14ac:dyDescent="0.2"/>
    <row r="1916" s="2" customFormat="1" x14ac:dyDescent="0.2"/>
    <row r="1917" s="2" customFormat="1" x14ac:dyDescent="0.2"/>
    <row r="1918" s="2" customFormat="1" x14ac:dyDescent="0.2"/>
    <row r="1919" s="2" customFormat="1" x14ac:dyDescent="0.2"/>
    <row r="1920" s="2" customFormat="1" x14ac:dyDescent="0.2"/>
    <row r="1921" s="2" customFormat="1" x14ac:dyDescent="0.2"/>
    <row r="1922" s="2" customFormat="1" x14ac:dyDescent="0.2"/>
    <row r="1923" s="2" customFormat="1" x14ac:dyDescent="0.2"/>
    <row r="1924" s="2" customFormat="1" x14ac:dyDescent="0.2"/>
    <row r="1925" s="2" customFormat="1" x14ac:dyDescent="0.2"/>
    <row r="1926" s="2" customFormat="1" x14ac:dyDescent="0.2"/>
    <row r="1927" s="2" customFormat="1" x14ac:dyDescent="0.2"/>
    <row r="1928" s="2" customFormat="1" x14ac:dyDescent="0.2"/>
    <row r="1929" s="2" customFormat="1" x14ac:dyDescent="0.2"/>
    <row r="1930" s="2" customFormat="1" x14ac:dyDescent="0.2"/>
    <row r="1931" s="2" customFormat="1" x14ac:dyDescent="0.2"/>
    <row r="1932" s="2" customFormat="1" x14ac:dyDescent="0.2"/>
    <row r="1933" s="2" customFormat="1" x14ac:dyDescent="0.2"/>
    <row r="1934" s="2" customFormat="1" x14ac:dyDescent="0.2"/>
    <row r="1935" s="2" customFormat="1" x14ac:dyDescent="0.2"/>
    <row r="1936" s="2" customFormat="1" x14ac:dyDescent="0.2"/>
    <row r="1937" s="2" customFormat="1" x14ac:dyDescent="0.2"/>
    <row r="1938" s="2" customFormat="1" x14ac:dyDescent="0.2"/>
    <row r="1939" s="2" customFormat="1" x14ac:dyDescent="0.2"/>
    <row r="1940" s="2" customFormat="1" x14ac:dyDescent="0.2"/>
    <row r="1941" s="2" customFormat="1" x14ac:dyDescent="0.2"/>
    <row r="1942" s="2" customFormat="1" x14ac:dyDescent="0.2"/>
    <row r="1943" s="2" customFormat="1" x14ac:dyDescent="0.2"/>
    <row r="1944" s="2" customFormat="1" x14ac:dyDescent="0.2"/>
    <row r="1945" s="2" customFormat="1" x14ac:dyDescent="0.2"/>
    <row r="1946" s="2" customFormat="1" x14ac:dyDescent="0.2"/>
    <row r="1947" s="2" customFormat="1" x14ac:dyDescent="0.2"/>
    <row r="1948" s="2" customFormat="1" x14ac:dyDescent="0.2"/>
    <row r="1949" s="2" customFormat="1" x14ac:dyDescent="0.2"/>
    <row r="1950" s="2" customFormat="1" x14ac:dyDescent="0.2"/>
    <row r="1951" s="2" customFormat="1" x14ac:dyDescent="0.2"/>
    <row r="1952" s="2" customFormat="1" x14ac:dyDescent="0.2"/>
    <row r="1953" s="2" customFormat="1" x14ac:dyDescent="0.2"/>
    <row r="1954" s="2" customFormat="1" x14ac:dyDescent="0.2"/>
    <row r="1955" s="2" customFormat="1" x14ac:dyDescent="0.2"/>
    <row r="1956" s="2" customFormat="1" x14ac:dyDescent="0.2"/>
    <row r="1957" s="2" customFormat="1" x14ac:dyDescent="0.2"/>
    <row r="1958" s="2" customFormat="1" x14ac:dyDescent="0.2"/>
    <row r="1959" s="2" customFormat="1" x14ac:dyDescent="0.2"/>
    <row r="1960" s="2" customFormat="1" x14ac:dyDescent="0.2"/>
    <row r="1961" s="2" customFormat="1" x14ac:dyDescent="0.2"/>
    <row r="1962" s="2" customFormat="1" x14ac:dyDescent="0.2"/>
    <row r="1963" s="2" customFormat="1" x14ac:dyDescent="0.2"/>
    <row r="1964" s="2" customFormat="1" x14ac:dyDescent="0.2"/>
    <row r="1965" s="2" customFormat="1" x14ac:dyDescent="0.2"/>
    <row r="1966" s="2" customFormat="1" x14ac:dyDescent="0.2"/>
    <row r="1967" s="2" customFormat="1" x14ac:dyDescent="0.2"/>
    <row r="1968" s="2" customFormat="1" x14ac:dyDescent="0.2"/>
    <row r="1969" s="2" customFormat="1" x14ac:dyDescent="0.2"/>
    <row r="1970" s="2" customFormat="1" x14ac:dyDescent="0.2"/>
    <row r="1971" s="2" customFormat="1" x14ac:dyDescent="0.2"/>
    <row r="1972" s="2" customFormat="1" x14ac:dyDescent="0.2"/>
    <row r="1973" s="2" customFormat="1" x14ac:dyDescent="0.2"/>
    <row r="1974" s="2" customFormat="1" x14ac:dyDescent="0.2"/>
    <row r="1975" s="2" customFormat="1" x14ac:dyDescent="0.2"/>
    <row r="1976" s="2" customFormat="1" x14ac:dyDescent="0.2"/>
    <row r="1977" s="2" customFormat="1" x14ac:dyDescent="0.2"/>
    <row r="1978" s="2" customFormat="1" x14ac:dyDescent="0.2"/>
    <row r="1979" s="2" customFormat="1" x14ac:dyDescent="0.2"/>
    <row r="1980" s="2" customFormat="1" x14ac:dyDescent="0.2"/>
    <row r="1981" s="2" customFormat="1" x14ac:dyDescent="0.2"/>
    <row r="1982" s="2" customFormat="1" x14ac:dyDescent="0.2"/>
    <row r="1983" s="2" customFormat="1" x14ac:dyDescent="0.2"/>
    <row r="1984" s="2" customFormat="1" x14ac:dyDescent="0.2"/>
    <row r="1985" s="2" customFormat="1" x14ac:dyDescent="0.2"/>
    <row r="1986" s="2" customFormat="1" x14ac:dyDescent="0.2"/>
    <row r="1987" s="2" customFormat="1" x14ac:dyDescent="0.2"/>
    <row r="1988" s="2" customFormat="1" x14ac:dyDescent="0.2"/>
    <row r="1989" s="2" customFormat="1" x14ac:dyDescent="0.2"/>
    <row r="1990" s="2" customFormat="1" x14ac:dyDescent="0.2"/>
    <row r="1991" s="2" customFormat="1" x14ac:dyDescent="0.2"/>
    <row r="1992" s="2" customFormat="1" x14ac:dyDescent="0.2"/>
    <row r="1993" s="2" customFormat="1" x14ac:dyDescent="0.2"/>
    <row r="1994" s="2" customFormat="1" x14ac:dyDescent="0.2"/>
    <row r="1995" s="2" customFormat="1" x14ac:dyDescent="0.2"/>
    <row r="1996" s="2" customFormat="1" x14ac:dyDescent="0.2"/>
    <row r="1997" s="2" customFormat="1" x14ac:dyDescent="0.2"/>
    <row r="1998" s="2" customFormat="1" x14ac:dyDescent="0.2"/>
    <row r="1999" s="2" customFormat="1" x14ac:dyDescent="0.2"/>
    <row r="2000" s="2" customFormat="1" x14ac:dyDescent="0.2"/>
    <row r="2001" s="2" customFormat="1" x14ac:dyDescent="0.2"/>
    <row r="2002" s="2" customFormat="1" x14ac:dyDescent="0.2"/>
    <row r="2003" s="2" customFormat="1" x14ac:dyDescent="0.2"/>
    <row r="2004" s="2" customFormat="1" x14ac:dyDescent="0.2"/>
    <row r="2005" s="2" customFormat="1" x14ac:dyDescent="0.2"/>
    <row r="2006" s="2" customFormat="1" x14ac:dyDescent="0.2"/>
    <row r="2007" s="2" customFormat="1" x14ac:dyDescent="0.2"/>
    <row r="2008" s="2" customFormat="1" x14ac:dyDescent="0.2"/>
    <row r="2009" s="2" customFormat="1" x14ac:dyDescent="0.2"/>
    <row r="2010" s="2" customFormat="1" x14ac:dyDescent="0.2"/>
    <row r="2011" s="2" customFormat="1" x14ac:dyDescent="0.2"/>
    <row r="2012" s="2" customFormat="1" x14ac:dyDescent="0.2"/>
    <row r="2013" s="2" customFormat="1" x14ac:dyDescent="0.2"/>
    <row r="2014" s="2" customFormat="1" x14ac:dyDescent="0.2"/>
    <row r="2015" s="2" customFormat="1" x14ac:dyDescent="0.2"/>
    <row r="2016" s="2" customFormat="1" x14ac:dyDescent="0.2"/>
    <row r="2017" s="2" customFormat="1" x14ac:dyDescent="0.2"/>
    <row r="2018" s="2" customFormat="1" x14ac:dyDescent="0.2"/>
    <row r="2019" s="2" customFormat="1" x14ac:dyDescent="0.2"/>
    <row r="2020" s="2" customFormat="1" x14ac:dyDescent="0.2"/>
    <row r="2021" s="2" customFormat="1" x14ac:dyDescent="0.2"/>
    <row r="2022" s="2" customFormat="1" x14ac:dyDescent="0.2"/>
    <row r="2023" s="2" customFormat="1" x14ac:dyDescent="0.2"/>
    <row r="2024" s="2" customFormat="1" x14ac:dyDescent="0.2"/>
    <row r="2025" s="2" customFormat="1" x14ac:dyDescent="0.2"/>
    <row r="2026" s="2" customFormat="1" x14ac:dyDescent="0.2"/>
    <row r="2027" s="2" customFormat="1" x14ac:dyDescent="0.2"/>
    <row r="2028" s="2" customFormat="1" x14ac:dyDescent="0.2"/>
    <row r="2029" s="2" customFormat="1" x14ac:dyDescent="0.2"/>
    <row r="2030" s="2" customFormat="1" x14ac:dyDescent="0.2"/>
    <row r="2031" s="2" customFormat="1" x14ac:dyDescent="0.2"/>
    <row r="2032" s="2" customFormat="1" x14ac:dyDescent="0.2"/>
    <row r="2033" s="2" customFormat="1" x14ac:dyDescent="0.2"/>
    <row r="2034" s="2" customFormat="1" x14ac:dyDescent="0.2"/>
    <row r="2035" s="2" customFormat="1" x14ac:dyDescent="0.2"/>
    <row r="2036" s="2" customFormat="1" x14ac:dyDescent="0.2"/>
    <row r="2037" s="2" customFormat="1" x14ac:dyDescent="0.2"/>
    <row r="2038" s="2" customFormat="1" x14ac:dyDescent="0.2"/>
    <row r="2039" s="2" customFormat="1" x14ac:dyDescent="0.2"/>
    <row r="2040" s="2" customFormat="1" x14ac:dyDescent="0.2"/>
    <row r="2041" s="2" customFormat="1" x14ac:dyDescent="0.2"/>
    <row r="2042" s="2" customFormat="1" x14ac:dyDescent="0.2"/>
    <row r="2043" s="2" customFormat="1" x14ac:dyDescent="0.2"/>
    <row r="2044" s="2" customFormat="1" x14ac:dyDescent="0.2"/>
    <row r="2045" s="2" customFormat="1" x14ac:dyDescent="0.2"/>
    <row r="2046" s="2" customFormat="1" x14ac:dyDescent="0.2"/>
    <row r="2047" s="2" customFormat="1" x14ac:dyDescent="0.2"/>
    <row r="2048" s="2" customFormat="1" x14ac:dyDescent="0.2"/>
    <row r="2049" s="2" customFormat="1" x14ac:dyDescent="0.2"/>
    <row r="2050" s="2" customFormat="1" x14ac:dyDescent="0.2"/>
    <row r="2051" s="2" customFormat="1" x14ac:dyDescent="0.2"/>
    <row r="2052" s="2" customFormat="1" x14ac:dyDescent="0.2"/>
    <row r="2053" s="2" customFormat="1" x14ac:dyDescent="0.2"/>
    <row r="2054" s="2" customFormat="1" x14ac:dyDescent="0.2"/>
    <row r="2055" s="2" customFormat="1" x14ac:dyDescent="0.2"/>
    <row r="2056" s="2" customFormat="1" x14ac:dyDescent="0.2"/>
    <row r="2057" s="2" customFormat="1" x14ac:dyDescent="0.2"/>
    <row r="2058" s="2" customFormat="1" x14ac:dyDescent="0.2"/>
    <row r="2059" s="2" customFormat="1" x14ac:dyDescent="0.2"/>
    <row r="2060" s="2" customFormat="1" x14ac:dyDescent="0.2"/>
    <row r="2061" s="2" customFormat="1" x14ac:dyDescent="0.2"/>
    <row r="2062" s="2" customFormat="1" x14ac:dyDescent="0.2"/>
    <row r="2063" s="2" customFormat="1" x14ac:dyDescent="0.2"/>
    <row r="2064" s="2" customFormat="1" x14ac:dyDescent="0.2"/>
    <row r="2065" s="2" customFormat="1" x14ac:dyDescent="0.2"/>
    <row r="2066" s="2" customFormat="1" x14ac:dyDescent="0.2"/>
    <row r="2067" s="2" customFormat="1" x14ac:dyDescent="0.2"/>
    <row r="2068" s="2" customFormat="1" x14ac:dyDescent="0.2"/>
    <row r="2069" s="2" customFormat="1" x14ac:dyDescent="0.2"/>
    <row r="2070" s="2" customFormat="1" x14ac:dyDescent="0.2"/>
    <row r="2071" s="2" customFormat="1" x14ac:dyDescent="0.2"/>
    <row r="2072" s="2" customFormat="1" x14ac:dyDescent="0.2"/>
    <row r="2073" s="2" customFormat="1" x14ac:dyDescent="0.2"/>
    <row r="2074" s="2" customFormat="1" x14ac:dyDescent="0.2"/>
    <row r="2075" s="2" customFormat="1" x14ac:dyDescent="0.2"/>
    <row r="2076" s="2" customFormat="1" x14ac:dyDescent="0.2"/>
    <row r="2077" s="2" customFormat="1" x14ac:dyDescent="0.2"/>
    <row r="2078" s="2" customFormat="1" x14ac:dyDescent="0.2"/>
    <row r="2079" s="2" customFormat="1" x14ac:dyDescent="0.2"/>
    <row r="2080" s="2" customFormat="1" x14ac:dyDescent="0.2"/>
    <row r="2081" s="2" customFormat="1" x14ac:dyDescent="0.2"/>
    <row r="2082" s="2" customFormat="1" x14ac:dyDescent="0.2"/>
    <row r="2083" s="2" customFormat="1" x14ac:dyDescent="0.2"/>
    <row r="2084" s="2" customFormat="1" x14ac:dyDescent="0.2"/>
    <row r="2085" s="2" customFormat="1" x14ac:dyDescent="0.2"/>
    <row r="2086" s="2" customFormat="1" x14ac:dyDescent="0.2"/>
    <row r="2087" s="2" customFormat="1" x14ac:dyDescent="0.2"/>
    <row r="2088" s="2" customFormat="1" x14ac:dyDescent="0.2"/>
    <row r="2089" s="2" customFormat="1" x14ac:dyDescent="0.2"/>
    <row r="2090" s="2" customFormat="1" x14ac:dyDescent="0.2"/>
    <row r="2091" s="2" customFormat="1" x14ac:dyDescent="0.2"/>
    <row r="2092" s="2" customFormat="1" x14ac:dyDescent="0.2"/>
    <row r="2093" s="2" customFormat="1" x14ac:dyDescent="0.2"/>
    <row r="2094" s="2" customFormat="1" x14ac:dyDescent="0.2"/>
    <row r="2095" s="2" customFormat="1" x14ac:dyDescent="0.2"/>
    <row r="2096" s="2" customFormat="1" x14ac:dyDescent="0.2"/>
    <row r="2097" s="2" customFormat="1" x14ac:dyDescent="0.2"/>
    <row r="2098" s="2" customFormat="1" x14ac:dyDescent="0.2"/>
    <row r="2099" s="2" customFormat="1" x14ac:dyDescent="0.2"/>
    <row r="2100" s="2" customFormat="1" x14ac:dyDescent="0.2"/>
    <row r="2101" s="2" customFormat="1" x14ac:dyDescent="0.2"/>
    <row r="2102" s="2" customFormat="1" x14ac:dyDescent="0.2"/>
    <row r="2103" s="2" customFormat="1" x14ac:dyDescent="0.2"/>
    <row r="2104" s="2" customFormat="1" x14ac:dyDescent="0.2"/>
    <row r="2105" s="2" customFormat="1" x14ac:dyDescent="0.2"/>
    <row r="2106" s="2" customFormat="1" x14ac:dyDescent="0.2"/>
    <row r="2107" s="2" customFormat="1" x14ac:dyDescent="0.2"/>
    <row r="2108" s="2" customFormat="1" x14ac:dyDescent="0.2"/>
    <row r="2109" s="2" customFormat="1" x14ac:dyDescent="0.2"/>
    <row r="2110" s="2" customFormat="1" x14ac:dyDescent="0.2"/>
    <row r="2111" s="2" customFormat="1" x14ac:dyDescent="0.2"/>
    <row r="2112" s="2" customFormat="1" x14ac:dyDescent="0.2"/>
    <row r="2113" s="2" customFormat="1" x14ac:dyDescent="0.2"/>
    <row r="2114" s="2" customFormat="1" x14ac:dyDescent="0.2"/>
    <row r="2115" s="2" customFormat="1" x14ac:dyDescent="0.2"/>
    <row r="2116" s="2" customFormat="1" x14ac:dyDescent="0.2"/>
    <row r="2117" s="2" customFormat="1" x14ac:dyDescent="0.2"/>
    <row r="2118" s="2" customFormat="1" x14ac:dyDescent="0.2"/>
    <row r="2119" s="2" customFormat="1" x14ac:dyDescent="0.2"/>
    <row r="2120" s="2" customFormat="1" x14ac:dyDescent="0.2"/>
    <row r="2121" s="2" customFormat="1" x14ac:dyDescent="0.2"/>
    <row r="2122" s="2" customFormat="1" x14ac:dyDescent="0.2"/>
    <row r="2123" s="2" customFormat="1" x14ac:dyDescent="0.2"/>
    <row r="2124" s="2" customFormat="1" x14ac:dyDescent="0.2"/>
    <row r="2125" s="2" customFormat="1" x14ac:dyDescent="0.2"/>
    <row r="2126" s="2" customFormat="1" x14ac:dyDescent="0.2"/>
    <row r="2127" s="2" customFormat="1" x14ac:dyDescent="0.2"/>
    <row r="2128" s="2" customFormat="1" x14ac:dyDescent="0.2"/>
    <row r="2129" s="2" customFormat="1" x14ac:dyDescent="0.2"/>
    <row r="2130" s="2" customFormat="1" x14ac:dyDescent="0.2"/>
    <row r="2131" s="2" customFormat="1" x14ac:dyDescent="0.2"/>
    <row r="2132" s="2" customFormat="1" x14ac:dyDescent="0.2"/>
    <row r="2133" s="2" customFormat="1" x14ac:dyDescent="0.2"/>
    <row r="2134" s="2" customFormat="1" x14ac:dyDescent="0.2"/>
    <row r="2135" s="2" customFormat="1" x14ac:dyDescent="0.2"/>
    <row r="2136" s="2" customFormat="1" x14ac:dyDescent="0.2"/>
    <row r="2137" s="2" customFormat="1" x14ac:dyDescent="0.2"/>
    <row r="2138" s="2" customFormat="1" x14ac:dyDescent="0.2"/>
    <row r="2139" s="2" customFormat="1" x14ac:dyDescent="0.2"/>
    <row r="2140" s="2" customFormat="1" x14ac:dyDescent="0.2"/>
    <row r="2141" s="2" customFormat="1" x14ac:dyDescent="0.2"/>
    <row r="2142" s="2" customFormat="1" x14ac:dyDescent="0.2"/>
    <row r="2143" s="2" customFormat="1" x14ac:dyDescent="0.2"/>
    <row r="2144" s="2" customFormat="1" x14ac:dyDescent="0.2"/>
    <row r="2145" s="2" customFormat="1" x14ac:dyDescent="0.2"/>
    <row r="2146" s="2" customFormat="1" x14ac:dyDescent="0.2"/>
    <row r="2147" s="2" customFormat="1" x14ac:dyDescent="0.2"/>
    <row r="2148" s="2" customFormat="1" x14ac:dyDescent="0.2"/>
    <row r="2149" s="2" customFormat="1" x14ac:dyDescent="0.2"/>
    <row r="2150" s="2" customFormat="1" x14ac:dyDescent="0.2"/>
    <row r="2151" s="2" customFormat="1" x14ac:dyDescent="0.2"/>
    <row r="2152" s="2" customFormat="1" x14ac:dyDescent="0.2"/>
    <row r="2153" s="2" customFormat="1" x14ac:dyDescent="0.2"/>
    <row r="2154" s="2" customFormat="1" x14ac:dyDescent="0.2"/>
    <row r="2155" s="2" customFormat="1" x14ac:dyDescent="0.2"/>
    <row r="2156" s="2" customFormat="1" x14ac:dyDescent="0.2"/>
    <row r="2157" s="2" customFormat="1" x14ac:dyDescent="0.2"/>
    <row r="2158" s="2" customFormat="1" x14ac:dyDescent="0.2"/>
    <row r="2159" s="2" customFormat="1" x14ac:dyDescent="0.2"/>
    <row r="2160" s="2" customFormat="1" x14ac:dyDescent="0.2"/>
    <row r="2161" s="2" customFormat="1" x14ac:dyDescent="0.2"/>
    <row r="2162" s="2" customFormat="1" x14ac:dyDescent="0.2"/>
    <row r="2163" s="2" customFormat="1" x14ac:dyDescent="0.2"/>
    <row r="2164" s="2" customFormat="1" x14ac:dyDescent="0.2"/>
    <row r="2165" s="2" customFormat="1" x14ac:dyDescent="0.2"/>
    <row r="2166" s="2" customFormat="1" x14ac:dyDescent="0.2"/>
    <row r="2167" s="2" customFormat="1" x14ac:dyDescent="0.2"/>
    <row r="2168" s="2" customFormat="1" x14ac:dyDescent="0.2"/>
    <row r="2169" s="2" customFormat="1" x14ac:dyDescent="0.2"/>
    <row r="2170" s="2" customFormat="1" x14ac:dyDescent="0.2"/>
    <row r="2171" s="2" customFormat="1" x14ac:dyDescent="0.2"/>
    <row r="2172" s="2" customFormat="1" x14ac:dyDescent="0.2"/>
    <row r="2173" s="2" customFormat="1" x14ac:dyDescent="0.2"/>
    <row r="2174" s="2" customFormat="1" x14ac:dyDescent="0.2"/>
    <row r="2175" s="2" customFormat="1" x14ac:dyDescent="0.2"/>
    <row r="2176" s="2" customFormat="1" x14ac:dyDescent="0.2"/>
    <row r="2177" s="2" customFormat="1" x14ac:dyDescent="0.2"/>
    <row r="2178" s="2" customFormat="1" x14ac:dyDescent="0.2"/>
    <row r="2179" s="2" customFormat="1" x14ac:dyDescent="0.2"/>
    <row r="2180" s="2" customFormat="1" x14ac:dyDescent="0.2"/>
    <row r="2181" s="2" customFormat="1" x14ac:dyDescent="0.2"/>
    <row r="2182" s="2" customFormat="1" x14ac:dyDescent="0.2"/>
    <row r="2183" s="2" customFormat="1" x14ac:dyDescent="0.2"/>
    <row r="2184" s="2" customFormat="1" x14ac:dyDescent="0.2"/>
    <row r="2185" s="2" customFormat="1" x14ac:dyDescent="0.2"/>
    <row r="2186" s="2" customFormat="1" x14ac:dyDescent="0.2"/>
    <row r="2187" s="2" customFormat="1" x14ac:dyDescent="0.2"/>
    <row r="2188" s="2" customFormat="1" x14ac:dyDescent="0.2"/>
    <row r="2189" s="2" customFormat="1" x14ac:dyDescent="0.2"/>
    <row r="2190" s="2" customFormat="1" x14ac:dyDescent="0.2"/>
    <row r="2191" s="2" customFormat="1" x14ac:dyDescent="0.2"/>
    <row r="2192" s="2" customFormat="1" x14ac:dyDescent="0.2"/>
    <row r="2193" s="2" customFormat="1" x14ac:dyDescent="0.2"/>
    <row r="2194" s="2" customFormat="1" x14ac:dyDescent="0.2"/>
    <row r="2195" s="2" customFormat="1" x14ac:dyDescent="0.2"/>
    <row r="2196" s="2" customFormat="1" x14ac:dyDescent="0.2"/>
    <row r="2197" s="2" customFormat="1" x14ac:dyDescent="0.2"/>
    <row r="2198" s="2" customFormat="1" x14ac:dyDescent="0.2"/>
    <row r="2199" s="2" customFormat="1" x14ac:dyDescent="0.2"/>
    <row r="2200" s="2" customFormat="1" x14ac:dyDescent="0.2"/>
    <row r="2201" s="2" customFormat="1" x14ac:dyDescent="0.2"/>
    <row r="2202" s="2" customFormat="1" x14ac:dyDescent="0.2"/>
    <row r="2203" s="2" customFormat="1" x14ac:dyDescent="0.2"/>
    <row r="2204" s="2" customFormat="1" x14ac:dyDescent="0.2"/>
    <row r="2205" s="2" customFormat="1" x14ac:dyDescent="0.2"/>
    <row r="2206" s="2" customFormat="1" x14ac:dyDescent="0.2"/>
    <row r="2207" s="2" customFormat="1" x14ac:dyDescent="0.2"/>
    <row r="2208" s="2" customFormat="1" x14ac:dyDescent="0.2"/>
    <row r="2209" s="2" customFormat="1" x14ac:dyDescent="0.2"/>
    <row r="2210" s="2" customFormat="1" x14ac:dyDescent="0.2"/>
    <row r="2211" s="2" customFormat="1" x14ac:dyDescent="0.2"/>
    <row r="2212" s="2" customFormat="1" x14ac:dyDescent="0.2"/>
    <row r="2213" s="2" customFormat="1" x14ac:dyDescent="0.2"/>
    <row r="2214" s="2" customFormat="1" x14ac:dyDescent="0.2"/>
    <row r="2215" s="2" customFormat="1" x14ac:dyDescent="0.2"/>
    <row r="2216" s="2" customFormat="1" x14ac:dyDescent="0.2"/>
    <row r="2217" s="2" customFormat="1" x14ac:dyDescent="0.2"/>
    <row r="2218" s="2" customFormat="1" x14ac:dyDescent="0.2"/>
    <row r="2219" s="2" customFormat="1" x14ac:dyDescent="0.2"/>
    <row r="2220" s="2" customFormat="1" x14ac:dyDescent="0.2"/>
    <row r="2221" s="2" customFormat="1" x14ac:dyDescent="0.2"/>
    <row r="2222" s="2" customFormat="1" x14ac:dyDescent="0.2"/>
    <row r="2223" s="2" customFormat="1" x14ac:dyDescent="0.2"/>
    <row r="2224" s="2" customFormat="1" x14ac:dyDescent="0.2"/>
    <row r="2225" s="2" customFormat="1" x14ac:dyDescent="0.2"/>
    <row r="2226" s="2" customFormat="1" x14ac:dyDescent="0.2"/>
    <row r="2227" s="2" customFormat="1" x14ac:dyDescent="0.2"/>
    <row r="2228" s="2" customFormat="1" x14ac:dyDescent="0.2"/>
    <row r="2229" s="2" customFormat="1" x14ac:dyDescent="0.2"/>
    <row r="2230" s="2" customFormat="1" x14ac:dyDescent="0.2"/>
    <row r="2231" s="2" customFormat="1" x14ac:dyDescent="0.2"/>
    <row r="2232" s="2" customFormat="1" x14ac:dyDescent="0.2"/>
    <row r="2233" s="2" customFormat="1" x14ac:dyDescent="0.2"/>
    <row r="2234" s="2" customFormat="1" x14ac:dyDescent="0.2"/>
    <row r="2235" s="2" customFormat="1" x14ac:dyDescent="0.2"/>
    <row r="2236" s="2" customFormat="1" x14ac:dyDescent="0.2"/>
    <row r="2237" s="2" customFormat="1" x14ac:dyDescent="0.2"/>
    <row r="2238" s="2" customFormat="1" x14ac:dyDescent="0.2"/>
    <row r="2239" s="2" customFormat="1" x14ac:dyDescent="0.2"/>
    <row r="2240" s="2" customFormat="1" x14ac:dyDescent="0.2"/>
    <row r="2241" s="2" customFormat="1" x14ac:dyDescent="0.2"/>
    <row r="2242" s="2" customFormat="1" x14ac:dyDescent="0.2"/>
    <row r="2243" s="2" customFormat="1" x14ac:dyDescent="0.2"/>
    <row r="2244" s="2" customFormat="1" x14ac:dyDescent="0.2"/>
    <row r="2245" s="2" customFormat="1" x14ac:dyDescent="0.2"/>
    <row r="2246" s="2" customFormat="1" x14ac:dyDescent="0.2"/>
    <row r="2247" s="2" customFormat="1" x14ac:dyDescent="0.2"/>
    <row r="2248" s="2" customFormat="1" x14ac:dyDescent="0.2"/>
    <row r="2249" s="2" customFormat="1" x14ac:dyDescent="0.2"/>
    <row r="2250" s="2" customFormat="1" x14ac:dyDescent="0.2"/>
    <row r="2251" s="2" customFormat="1" x14ac:dyDescent="0.2"/>
    <row r="2252" s="2" customFormat="1" x14ac:dyDescent="0.2"/>
    <row r="2253" s="2" customFormat="1" x14ac:dyDescent="0.2"/>
    <row r="2254" s="2" customFormat="1" x14ac:dyDescent="0.2"/>
    <row r="2255" s="2" customFormat="1" x14ac:dyDescent="0.2"/>
    <row r="2256" s="2" customFormat="1" x14ac:dyDescent="0.2"/>
    <row r="2257" s="2" customFormat="1" x14ac:dyDescent="0.2"/>
    <row r="2258" s="2" customFormat="1" x14ac:dyDescent="0.2"/>
    <row r="2259" s="2" customFormat="1" x14ac:dyDescent="0.2"/>
    <row r="2260" s="2" customFormat="1" x14ac:dyDescent="0.2"/>
    <row r="2261" s="2" customFormat="1" x14ac:dyDescent="0.2"/>
    <row r="2262" s="2" customFormat="1" x14ac:dyDescent="0.2"/>
    <row r="2263" s="2" customFormat="1" x14ac:dyDescent="0.2"/>
    <row r="2264" s="2" customFormat="1" x14ac:dyDescent="0.2"/>
    <row r="2265" s="2" customFormat="1" x14ac:dyDescent="0.2"/>
    <row r="2266" s="2" customFormat="1" x14ac:dyDescent="0.2"/>
    <row r="2267" s="2" customFormat="1" x14ac:dyDescent="0.2"/>
    <row r="2268" s="2" customFormat="1" x14ac:dyDescent="0.2"/>
    <row r="2269" s="2" customFormat="1" x14ac:dyDescent="0.2"/>
    <row r="2270" s="2" customFormat="1" x14ac:dyDescent="0.2"/>
    <row r="2271" s="2" customFormat="1" x14ac:dyDescent="0.2"/>
    <row r="2272" s="2" customFormat="1" x14ac:dyDescent="0.2"/>
    <row r="2273" s="2" customFormat="1" x14ac:dyDescent="0.2"/>
    <row r="2274" s="2" customFormat="1" x14ac:dyDescent="0.2"/>
    <row r="2275" s="2" customFormat="1" x14ac:dyDescent="0.2"/>
    <row r="2276" s="2" customFormat="1" x14ac:dyDescent="0.2"/>
    <row r="2277" s="2" customFormat="1" x14ac:dyDescent="0.2"/>
    <row r="2278" s="2" customFormat="1" x14ac:dyDescent="0.2"/>
    <row r="2279" s="2" customFormat="1" x14ac:dyDescent="0.2"/>
    <row r="2280" s="2" customFormat="1" x14ac:dyDescent="0.2"/>
    <row r="2281" s="2" customFormat="1" x14ac:dyDescent="0.2"/>
    <row r="2282" s="2" customFormat="1" x14ac:dyDescent="0.2"/>
    <row r="2283" s="2" customFormat="1" x14ac:dyDescent="0.2"/>
    <row r="2284" s="2" customFormat="1" x14ac:dyDescent="0.2"/>
    <row r="2285" s="2" customFormat="1" x14ac:dyDescent="0.2"/>
    <row r="2286" s="2" customFormat="1" x14ac:dyDescent="0.2"/>
    <row r="2287" s="2" customFormat="1" x14ac:dyDescent="0.2"/>
    <row r="2288" s="2" customFormat="1" x14ac:dyDescent="0.2"/>
    <row r="2289" s="2" customFormat="1" x14ac:dyDescent="0.2"/>
    <row r="2290" s="2" customFormat="1" x14ac:dyDescent="0.2"/>
    <row r="2291" s="2" customFormat="1" x14ac:dyDescent="0.2"/>
    <row r="2292" s="2" customFormat="1" x14ac:dyDescent="0.2"/>
    <row r="2293" s="2" customFormat="1" x14ac:dyDescent="0.2"/>
    <row r="2294" s="2" customFormat="1" x14ac:dyDescent="0.2"/>
    <row r="2295" s="2" customFormat="1" x14ac:dyDescent="0.2"/>
    <row r="2296" s="2" customFormat="1" x14ac:dyDescent="0.2"/>
    <row r="2297" s="2" customFormat="1" x14ac:dyDescent="0.2"/>
    <row r="2298" s="2" customFormat="1" x14ac:dyDescent="0.2"/>
    <row r="2299" s="2" customFormat="1" x14ac:dyDescent="0.2"/>
    <row r="2300" s="2" customFormat="1" x14ac:dyDescent="0.2"/>
    <row r="2301" s="2" customFormat="1" x14ac:dyDescent="0.2"/>
    <row r="2302" s="2" customFormat="1" x14ac:dyDescent="0.2"/>
    <row r="2303" s="2" customFormat="1" x14ac:dyDescent="0.2"/>
    <row r="2304" s="2" customFormat="1" x14ac:dyDescent="0.2"/>
    <row r="2305" s="2" customFormat="1" x14ac:dyDescent="0.2"/>
    <row r="2306" s="2" customFormat="1" x14ac:dyDescent="0.2"/>
    <row r="2307" s="2" customFormat="1" x14ac:dyDescent="0.2"/>
    <row r="2308" s="2" customFormat="1" x14ac:dyDescent="0.2"/>
    <row r="2309" s="2" customFormat="1" x14ac:dyDescent="0.2"/>
    <row r="2310" s="2" customFormat="1" x14ac:dyDescent="0.2"/>
    <row r="2311" s="2" customFormat="1" x14ac:dyDescent="0.2"/>
    <row r="2312" s="2" customFormat="1" x14ac:dyDescent="0.2"/>
    <row r="2313" s="2" customFormat="1" x14ac:dyDescent="0.2"/>
    <row r="2314" s="2" customFormat="1" x14ac:dyDescent="0.2"/>
    <row r="2315" s="2" customFormat="1" x14ac:dyDescent="0.2"/>
    <row r="2316" s="2" customFormat="1" x14ac:dyDescent="0.2"/>
    <row r="2317" s="2" customFormat="1" x14ac:dyDescent="0.2"/>
    <row r="2318" s="2" customFormat="1" x14ac:dyDescent="0.2"/>
    <row r="2319" s="2" customFormat="1" x14ac:dyDescent="0.2"/>
    <row r="2320" s="2" customFormat="1" x14ac:dyDescent="0.2"/>
    <row r="2321" s="2" customFormat="1" x14ac:dyDescent="0.2"/>
    <row r="2322" s="2" customFormat="1" x14ac:dyDescent="0.2"/>
    <row r="2323" s="2" customFormat="1" x14ac:dyDescent="0.2"/>
    <row r="2324" s="2" customFormat="1" x14ac:dyDescent="0.2"/>
    <row r="2325" s="2" customFormat="1" x14ac:dyDescent="0.2"/>
    <row r="2326" s="2" customFormat="1" x14ac:dyDescent="0.2"/>
    <row r="2327" s="2" customFormat="1" x14ac:dyDescent="0.2"/>
    <row r="2328" s="2" customFormat="1" x14ac:dyDescent="0.2"/>
    <row r="2329" s="2" customFormat="1" x14ac:dyDescent="0.2"/>
    <row r="2330" s="2" customFormat="1" x14ac:dyDescent="0.2"/>
    <row r="2331" s="2" customFormat="1" x14ac:dyDescent="0.2"/>
    <row r="2332" s="2" customFormat="1" x14ac:dyDescent="0.2"/>
    <row r="2333" s="2" customFormat="1" x14ac:dyDescent="0.2"/>
    <row r="2334" s="2" customFormat="1" x14ac:dyDescent="0.2"/>
    <row r="2335" s="2" customFormat="1" x14ac:dyDescent="0.2"/>
    <row r="2336" s="2" customFormat="1" x14ac:dyDescent="0.2"/>
    <row r="2337" s="2" customFormat="1" x14ac:dyDescent="0.2"/>
    <row r="2338" s="2" customFormat="1" x14ac:dyDescent="0.2"/>
    <row r="2339" s="2" customFormat="1" x14ac:dyDescent="0.2"/>
    <row r="2340" s="2" customFormat="1" x14ac:dyDescent="0.2"/>
    <row r="2341" s="2" customFormat="1" x14ac:dyDescent="0.2"/>
    <row r="2342" s="2" customFormat="1" x14ac:dyDescent="0.2"/>
    <row r="2343" s="2" customFormat="1" x14ac:dyDescent="0.2"/>
    <row r="2344" s="2" customFormat="1" x14ac:dyDescent="0.2"/>
    <row r="2345" s="2" customFormat="1" x14ac:dyDescent="0.2"/>
    <row r="2346" s="2" customFormat="1" x14ac:dyDescent="0.2"/>
    <row r="2347" s="2" customFormat="1" x14ac:dyDescent="0.2"/>
    <row r="2348" s="2" customFormat="1" x14ac:dyDescent="0.2"/>
    <row r="2349" s="2" customFormat="1" x14ac:dyDescent="0.2"/>
    <row r="2350" s="2" customFormat="1" x14ac:dyDescent="0.2"/>
    <row r="2351" s="2" customFormat="1" x14ac:dyDescent="0.2"/>
    <row r="2352" s="2" customFormat="1" x14ac:dyDescent="0.2"/>
    <row r="2353" s="2" customFormat="1" x14ac:dyDescent="0.2"/>
    <row r="2354" s="2" customFormat="1" x14ac:dyDescent="0.2"/>
    <row r="2355" s="2" customFormat="1" x14ac:dyDescent="0.2"/>
    <row r="2356" s="2" customFormat="1" x14ac:dyDescent="0.2"/>
    <row r="2357" s="2" customFormat="1" x14ac:dyDescent="0.2"/>
    <row r="2358" s="2" customFormat="1" x14ac:dyDescent="0.2"/>
    <row r="2359" s="2" customFormat="1" x14ac:dyDescent="0.2"/>
    <row r="2360" s="2" customFormat="1" x14ac:dyDescent="0.2"/>
    <row r="2361" s="2" customFormat="1" x14ac:dyDescent="0.2"/>
    <row r="2362" s="2" customFormat="1" x14ac:dyDescent="0.2"/>
    <row r="2363" s="2" customFormat="1" x14ac:dyDescent="0.2"/>
    <row r="2364" s="2" customFormat="1" x14ac:dyDescent="0.2"/>
    <row r="2365" s="2" customFormat="1" x14ac:dyDescent="0.2"/>
    <row r="2366" s="2" customFormat="1" x14ac:dyDescent="0.2"/>
    <row r="2367" s="2" customFormat="1" x14ac:dyDescent="0.2"/>
    <row r="2368" s="2" customFormat="1" x14ac:dyDescent="0.2"/>
    <row r="2369" s="2" customFormat="1" x14ac:dyDescent="0.2"/>
    <row r="2370" s="2" customFormat="1" x14ac:dyDescent="0.2"/>
    <row r="2371" s="2" customFormat="1" x14ac:dyDescent="0.2"/>
    <row r="2372" s="2" customFormat="1" x14ac:dyDescent="0.2"/>
    <row r="2373" s="2" customFormat="1" x14ac:dyDescent="0.2"/>
    <row r="2374" s="2" customFormat="1" x14ac:dyDescent="0.2"/>
    <row r="2375" s="2" customFormat="1" x14ac:dyDescent="0.2"/>
    <row r="2376" s="2" customFormat="1" x14ac:dyDescent="0.2"/>
    <row r="2377" s="2" customFormat="1" x14ac:dyDescent="0.2"/>
    <row r="2378" s="2" customFormat="1" x14ac:dyDescent="0.2"/>
    <row r="2379" s="2" customFormat="1" x14ac:dyDescent="0.2"/>
    <row r="2380" s="2" customFormat="1" x14ac:dyDescent="0.2"/>
    <row r="2381" s="2" customFormat="1" x14ac:dyDescent="0.2"/>
    <row r="2382" s="2" customFormat="1" x14ac:dyDescent="0.2"/>
    <row r="2383" s="2" customFormat="1" x14ac:dyDescent="0.2"/>
    <row r="2384" s="2" customFormat="1" x14ac:dyDescent="0.2"/>
    <row r="2385" s="2" customFormat="1" x14ac:dyDescent="0.2"/>
    <row r="2386" s="2" customFormat="1" x14ac:dyDescent="0.2"/>
    <row r="2387" s="2" customFormat="1" x14ac:dyDescent="0.2"/>
    <row r="2388" s="2" customFormat="1" x14ac:dyDescent="0.2"/>
    <row r="2389" s="2" customFormat="1" x14ac:dyDescent="0.2"/>
    <row r="2390" s="2" customFormat="1" x14ac:dyDescent="0.2"/>
    <row r="2391" s="2" customFormat="1" x14ac:dyDescent="0.2"/>
    <row r="2392" s="2" customFormat="1" x14ac:dyDescent="0.2"/>
    <row r="2393" s="2" customFormat="1" x14ac:dyDescent="0.2"/>
    <row r="2394" s="2" customFormat="1" x14ac:dyDescent="0.2"/>
    <row r="2395" s="2" customFormat="1" x14ac:dyDescent="0.2"/>
    <row r="2396" s="2" customFormat="1" x14ac:dyDescent="0.2"/>
    <row r="2397" s="2" customFormat="1" x14ac:dyDescent="0.2"/>
    <row r="2398" s="2" customFormat="1" x14ac:dyDescent="0.2"/>
    <row r="2399" s="2" customFormat="1" x14ac:dyDescent="0.2"/>
    <row r="2400" s="2" customFormat="1" x14ac:dyDescent="0.2"/>
    <row r="2401" s="2" customFormat="1" x14ac:dyDescent="0.2"/>
    <row r="2402" s="2" customFormat="1" x14ac:dyDescent="0.2"/>
    <row r="2403" s="2" customFormat="1" x14ac:dyDescent="0.2"/>
    <row r="2404" s="2" customFormat="1" x14ac:dyDescent="0.2"/>
    <row r="2405" s="2" customFormat="1" x14ac:dyDescent="0.2"/>
    <row r="2406" s="2" customFormat="1" x14ac:dyDescent="0.2"/>
    <row r="2407" s="2" customFormat="1" x14ac:dyDescent="0.2"/>
    <row r="2408" s="2" customFormat="1" x14ac:dyDescent="0.2"/>
    <row r="2409" s="2" customFormat="1" x14ac:dyDescent="0.2"/>
    <row r="2410" s="2" customFormat="1" x14ac:dyDescent="0.2"/>
    <row r="2411" s="2" customFormat="1" x14ac:dyDescent="0.2"/>
    <row r="2412" s="2" customFormat="1" x14ac:dyDescent="0.2"/>
    <row r="2413" s="2" customFormat="1" x14ac:dyDescent="0.2"/>
    <row r="2414" s="2" customFormat="1" x14ac:dyDescent="0.2"/>
    <row r="2415" s="2" customFormat="1" x14ac:dyDescent="0.2"/>
    <row r="2416" s="2" customFormat="1" x14ac:dyDescent="0.2"/>
    <row r="2417" s="2" customFormat="1" x14ac:dyDescent="0.2"/>
    <row r="2418" s="2" customFormat="1" x14ac:dyDescent="0.2"/>
    <row r="2419" s="2" customFormat="1" x14ac:dyDescent="0.2"/>
    <row r="2420" s="2" customFormat="1" x14ac:dyDescent="0.2"/>
    <row r="2421" s="2" customFormat="1" x14ac:dyDescent="0.2"/>
    <row r="2422" s="2" customFormat="1" x14ac:dyDescent="0.2"/>
    <row r="2423" s="2" customFormat="1" x14ac:dyDescent="0.2"/>
    <row r="2424" s="2" customFormat="1" x14ac:dyDescent="0.2"/>
    <row r="2425" s="2" customFormat="1" x14ac:dyDescent="0.2"/>
    <row r="2426" s="2" customFormat="1" x14ac:dyDescent="0.2"/>
    <row r="2427" s="2" customFormat="1" x14ac:dyDescent="0.2"/>
    <row r="2428" s="2" customFormat="1" x14ac:dyDescent="0.2"/>
    <row r="2429" s="2" customFormat="1" x14ac:dyDescent="0.2"/>
    <row r="2430" s="2" customFormat="1" x14ac:dyDescent="0.2"/>
    <row r="2431" s="2" customFormat="1" x14ac:dyDescent="0.2"/>
    <row r="2432" s="2" customFormat="1" x14ac:dyDescent="0.2"/>
    <row r="2433" s="2" customFormat="1" x14ac:dyDescent="0.2"/>
    <row r="2434" s="2" customFormat="1" x14ac:dyDescent="0.2"/>
    <row r="2435" s="2" customFormat="1" x14ac:dyDescent="0.2"/>
    <row r="2436" s="2" customFormat="1" x14ac:dyDescent="0.2"/>
    <row r="2437" s="2" customFormat="1" x14ac:dyDescent="0.2"/>
    <row r="2438" s="2" customFormat="1" x14ac:dyDescent="0.2"/>
    <row r="2439" s="2" customFormat="1" x14ac:dyDescent="0.2"/>
    <row r="2440" s="2" customFormat="1" x14ac:dyDescent="0.2"/>
    <row r="2441" s="2" customFormat="1" x14ac:dyDescent="0.2"/>
    <row r="2442" s="2" customFormat="1" x14ac:dyDescent="0.2"/>
    <row r="2443" s="2" customFormat="1" x14ac:dyDescent="0.2"/>
    <row r="2444" s="2" customFormat="1" x14ac:dyDescent="0.2"/>
    <row r="2445" s="2" customFormat="1" x14ac:dyDescent="0.2"/>
    <row r="2446" s="2" customFormat="1" x14ac:dyDescent="0.2"/>
    <row r="2447" s="2" customFormat="1" x14ac:dyDescent="0.2"/>
    <row r="2448" s="2" customFormat="1" x14ac:dyDescent="0.2"/>
    <row r="2449" s="2" customFormat="1" x14ac:dyDescent="0.2"/>
    <row r="2450" s="2" customFormat="1" x14ac:dyDescent="0.2"/>
    <row r="2451" s="2" customFormat="1" x14ac:dyDescent="0.2"/>
    <row r="2452" s="2" customFormat="1" x14ac:dyDescent="0.2"/>
    <row r="2453" s="2" customFormat="1" x14ac:dyDescent="0.2"/>
    <row r="2454" s="2" customFormat="1" x14ac:dyDescent="0.2"/>
    <row r="2455" s="2" customFormat="1" x14ac:dyDescent="0.2"/>
    <row r="2456" s="2" customFormat="1" x14ac:dyDescent="0.2"/>
    <row r="2457" s="2" customFormat="1" x14ac:dyDescent="0.2"/>
    <row r="2458" s="2" customFormat="1" x14ac:dyDescent="0.2"/>
    <row r="2459" s="2" customFormat="1" x14ac:dyDescent="0.2"/>
    <row r="2460" s="2" customFormat="1" x14ac:dyDescent="0.2"/>
    <row r="2461" s="2" customFormat="1" x14ac:dyDescent="0.2"/>
    <row r="2462" s="2" customFormat="1" x14ac:dyDescent="0.2"/>
    <row r="2463" s="2" customFormat="1" x14ac:dyDescent="0.2"/>
    <row r="2464" s="2" customFormat="1" x14ac:dyDescent="0.2"/>
    <row r="2465" s="2" customFormat="1" x14ac:dyDescent="0.2"/>
    <row r="2466" s="2" customFormat="1" x14ac:dyDescent="0.2"/>
    <row r="2467" s="2" customFormat="1" x14ac:dyDescent="0.2"/>
    <row r="2468" s="2" customFormat="1" x14ac:dyDescent="0.2"/>
    <row r="2469" s="2" customFormat="1" x14ac:dyDescent="0.2"/>
    <row r="2470" s="2" customFormat="1" x14ac:dyDescent="0.2"/>
    <row r="2471" s="2" customFormat="1" x14ac:dyDescent="0.2"/>
    <row r="2472" s="2" customFormat="1" x14ac:dyDescent="0.2"/>
    <row r="2473" s="2" customFormat="1" x14ac:dyDescent="0.2"/>
    <row r="2474" s="2" customFormat="1" x14ac:dyDescent="0.2"/>
    <row r="2475" s="2" customFormat="1" x14ac:dyDescent="0.2"/>
    <row r="2476" s="2" customFormat="1" x14ac:dyDescent="0.2"/>
    <row r="2477" s="2" customFormat="1" x14ac:dyDescent="0.2"/>
    <row r="2478" s="2" customFormat="1" x14ac:dyDescent="0.2"/>
    <row r="2479" s="2" customFormat="1" x14ac:dyDescent="0.2"/>
    <row r="2480" s="2" customFormat="1" x14ac:dyDescent="0.2"/>
    <row r="2481" s="2" customFormat="1" x14ac:dyDescent="0.2"/>
    <row r="2482" s="2" customFormat="1" x14ac:dyDescent="0.2"/>
    <row r="2483" s="2" customFormat="1" x14ac:dyDescent="0.2"/>
    <row r="2484" s="2" customFormat="1" x14ac:dyDescent="0.2"/>
    <row r="2485" s="2" customFormat="1" x14ac:dyDescent="0.2"/>
    <row r="2486" s="2" customFormat="1" x14ac:dyDescent="0.2"/>
    <row r="2487" s="2" customFormat="1" x14ac:dyDescent="0.2"/>
    <row r="2488" s="2" customFormat="1" x14ac:dyDescent="0.2"/>
    <row r="2489" s="2" customFormat="1" x14ac:dyDescent="0.2"/>
    <row r="2490" s="2" customFormat="1" x14ac:dyDescent="0.2"/>
    <row r="2491" s="2" customFormat="1" x14ac:dyDescent="0.2"/>
    <row r="2492" s="2" customFormat="1" x14ac:dyDescent="0.2"/>
    <row r="2493" s="2" customFormat="1" x14ac:dyDescent="0.2"/>
    <row r="2494" s="2" customFormat="1" x14ac:dyDescent="0.2"/>
    <row r="2495" s="2" customFormat="1" x14ac:dyDescent="0.2"/>
    <row r="2496" s="2" customFormat="1" x14ac:dyDescent="0.2"/>
    <row r="2497" s="2" customFormat="1" x14ac:dyDescent="0.2"/>
    <row r="2498" s="2" customFormat="1" x14ac:dyDescent="0.2"/>
    <row r="2499" s="2" customFormat="1" x14ac:dyDescent="0.2"/>
    <row r="2500" s="2" customFormat="1" x14ac:dyDescent="0.2"/>
    <row r="2501" s="2" customFormat="1" x14ac:dyDescent="0.2"/>
    <row r="2502" s="2" customFormat="1" x14ac:dyDescent="0.2"/>
    <row r="2503" s="2" customFormat="1" x14ac:dyDescent="0.2"/>
    <row r="2504" s="2" customFormat="1" x14ac:dyDescent="0.2"/>
    <row r="2505" s="2" customFormat="1" x14ac:dyDescent="0.2"/>
    <row r="2506" s="2" customFormat="1" x14ac:dyDescent="0.2"/>
    <row r="2507" s="2" customFormat="1" x14ac:dyDescent="0.2"/>
    <row r="2508" s="2" customFormat="1" x14ac:dyDescent="0.2"/>
    <row r="2509" s="2" customFormat="1" x14ac:dyDescent="0.2"/>
    <row r="2510" s="2" customFormat="1" x14ac:dyDescent="0.2"/>
    <row r="2511" s="2" customFormat="1" x14ac:dyDescent="0.2"/>
    <row r="2512" s="2" customFormat="1" x14ac:dyDescent="0.2"/>
    <row r="2513" s="2" customFormat="1" x14ac:dyDescent="0.2"/>
    <row r="2514" s="2" customFormat="1" x14ac:dyDescent="0.2"/>
    <row r="2515" s="2" customFormat="1" x14ac:dyDescent="0.2"/>
    <row r="2516" s="2" customFormat="1" x14ac:dyDescent="0.2"/>
    <row r="2517" s="2" customFormat="1" x14ac:dyDescent="0.2"/>
    <row r="2518" s="2" customFormat="1" x14ac:dyDescent="0.2"/>
    <row r="2519" s="2" customFormat="1" x14ac:dyDescent="0.2"/>
    <row r="2520" s="2" customFormat="1" x14ac:dyDescent="0.2"/>
    <row r="2521" s="2" customFormat="1" x14ac:dyDescent="0.2"/>
    <row r="2522" s="2" customFormat="1" x14ac:dyDescent="0.2"/>
    <row r="2523" s="2" customFormat="1" x14ac:dyDescent="0.2"/>
    <row r="2524" s="2" customFormat="1" x14ac:dyDescent="0.2"/>
    <row r="2525" s="2" customFormat="1" x14ac:dyDescent="0.2"/>
    <row r="2526" s="2" customFormat="1" x14ac:dyDescent="0.2"/>
    <row r="2527" s="2" customFormat="1" x14ac:dyDescent="0.2"/>
    <row r="2528" s="2" customFormat="1" x14ac:dyDescent="0.2"/>
    <row r="2529" s="2" customFormat="1" x14ac:dyDescent="0.2"/>
    <row r="2530" s="2" customFormat="1" x14ac:dyDescent="0.2"/>
    <row r="2531" s="2" customFormat="1" x14ac:dyDescent="0.2"/>
    <row r="2532" s="2" customFormat="1" x14ac:dyDescent="0.2"/>
    <row r="2533" s="2" customFormat="1" x14ac:dyDescent="0.2"/>
    <row r="2534" s="2" customFormat="1" x14ac:dyDescent="0.2"/>
    <row r="2535" s="2" customFormat="1" x14ac:dyDescent="0.2"/>
    <row r="2536" s="2" customFormat="1" x14ac:dyDescent="0.2"/>
    <row r="2537" s="2" customFormat="1" x14ac:dyDescent="0.2"/>
    <row r="2538" s="2" customFormat="1" x14ac:dyDescent="0.2"/>
    <row r="2539" s="2" customFormat="1" x14ac:dyDescent="0.2"/>
    <row r="2540" s="2" customFormat="1" x14ac:dyDescent="0.2"/>
    <row r="2541" s="2" customFormat="1" x14ac:dyDescent="0.2"/>
    <row r="2542" s="2" customFormat="1" x14ac:dyDescent="0.2"/>
    <row r="2543" s="2" customFormat="1" x14ac:dyDescent="0.2"/>
    <row r="2544" s="2" customFormat="1" x14ac:dyDescent="0.2"/>
    <row r="2545" s="2" customFormat="1" x14ac:dyDescent="0.2"/>
    <row r="2546" s="2" customFormat="1" x14ac:dyDescent="0.2"/>
    <row r="2547" s="2" customFormat="1" x14ac:dyDescent="0.2"/>
    <row r="2548" s="2" customFormat="1" x14ac:dyDescent="0.2"/>
    <row r="2549" s="2" customFormat="1" x14ac:dyDescent="0.2"/>
    <row r="2550" s="2" customFormat="1" x14ac:dyDescent="0.2"/>
    <row r="2551" s="2" customFormat="1" x14ac:dyDescent="0.2"/>
    <row r="2552" s="2" customFormat="1" x14ac:dyDescent="0.2"/>
    <row r="2553" s="2" customFormat="1" x14ac:dyDescent="0.2"/>
    <row r="2554" s="2" customFormat="1" x14ac:dyDescent="0.2"/>
    <row r="2555" s="2" customFormat="1" x14ac:dyDescent="0.2"/>
    <row r="2556" s="2" customFormat="1" x14ac:dyDescent="0.2"/>
    <row r="2557" s="2" customFormat="1" x14ac:dyDescent="0.2"/>
    <row r="2558" s="2" customFormat="1" x14ac:dyDescent="0.2"/>
    <row r="2559" s="2" customFormat="1" x14ac:dyDescent="0.2"/>
    <row r="2560" s="2" customFormat="1" x14ac:dyDescent="0.2"/>
    <row r="2561" s="2" customFormat="1" x14ac:dyDescent="0.2"/>
    <row r="2562" s="2" customFormat="1" x14ac:dyDescent="0.2"/>
    <row r="2563" s="2" customFormat="1" x14ac:dyDescent="0.2"/>
    <row r="2564" s="2" customFormat="1" x14ac:dyDescent="0.2"/>
    <row r="2565" s="2" customFormat="1" x14ac:dyDescent="0.2"/>
    <row r="2566" s="2" customFormat="1" x14ac:dyDescent="0.2"/>
    <row r="2567" s="2" customFormat="1" x14ac:dyDescent="0.2"/>
    <row r="2568" s="2" customFormat="1" x14ac:dyDescent="0.2"/>
    <row r="2569" s="2" customFormat="1" x14ac:dyDescent="0.2"/>
    <row r="2570" s="2" customFormat="1" x14ac:dyDescent="0.2"/>
    <row r="2571" s="2" customFormat="1" x14ac:dyDescent="0.2"/>
    <row r="2572" s="2" customFormat="1" x14ac:dyDescent="0.2"/>
    <row r="2573" s="2" customFormat="1" x14ac:dyDescent="0.2"/>
    <row r="2574" s="2" customFormat="1" x14ac:dyDescent="0.2"/>
    <row r="2575" s="2" customFormat="1" x14ac:dyDescent="0.2"/>
    <row r="2576" s="2" customFormat="1" x14ac:dyDescent="0.2"/>
    <row r="2577" s="2" customFormat="1" x14ac:dyDescent="0.2"/>
    <row r="2578" s="2" customFormat="1" x14ac:dyDescent="0.2"/>
    <row r="2579" s="2" customFormat="1" x14ac:dyDescent="0.2"/>
    <row r="2580" s="2" customFormat="1" x14ac:dyDescent="0.2"/>
    <row r="2581" s="2" customFormat="1" x14ac:dyDescent="0.2"/>
    <row r="2582" s="2" customFormat="1" x14ac:dyDescent="0.2"/>
    <row r="2583" s="2" customFormat="1" x14ac:dyDescent="0.2"/>
    <row r="2584" s="2" customFormat="1" x14ac:dyDescent="0.2"/>
    <row r="2585" s="2" customFormat="1" x14ac:dyDescent="0.2"/>
    <row r="2586" s="2" customFormat="1" x14ac:dyDescent="0.2"/>
    <row r="2587" s="2" customFormat="1" x14ac:dyDescent="0.2"/>
    <row r="2588" s="2" customFormat="1" x14ac:dyDescent="0.2"/>
    <row r="2589" s="2" customFormat="1" x14ac:dyDescent="0.2"/>
    <row r="2590" s="2" customFormat="1" x14ac:dyDescent="0.2"/>
    <row r="2591" s="2" customFormat="1" x14ac:dyDescent="0.2"/>
    <row r="2592" s="2" customFormat="1" x14ac:dyDescent="0.2"/>
    <row r="2593" s="2" customFormat="1" x14ac:dyDescent="0.2"/>
    <row r="2594" s="2" customFormat="1" x14ac:dyDescent="0.2"/>
    <row r="2595" s="2" customFormat="1" x14ac:dyDescent="0.2"/>
    <row r="2596" s="2" customFormat="1" x14ac:dyDescent="0.2"/>
    <row r="2597" s="2" customFormat="1" x14ac:dyDescent="0.2"/>
    <row r="2598" s="2" customFormat="1" x14ac:dyDescent="0.2"/>
    <row r="2599" s="2" customFormat="1" x14ac:dyDescent="0.2"/>
    <row r="2600" s="2" customFormat="1" x14ac:dyDescent="0.2"/>
    <row r="2601" s="2" customFormat="1" x14ac:dyDescent="0.2"/>
    <row r="2602" s="2" customFormat="1" x14ac:dyDescent="0.2"/>
    <row r="2603" s="2" customFormat="1" x14ac:dyDescent="0.2"/>
    <row r="2604" s="2" customFormat="1" x14ac:dyDescent="0.2"/>
    <row r="2605" s="2" customFormat="1" x14ac:dyDescent="0.2"/>
    <row r="2606" s="2" customFormat="1" x14ac:dyDescent="0.2"/>
    <row r="2607" s="2" customFormat="1" x14ac:dyDescent="0.2"/>
    <row r="2608" s="2" customFormat="1" x14ac:dyDescent="0.2"/>
    <row r="2609" s="2" customFormat="1" x14ac:dyDescent="0.2"/>
    <row r="2610" s="2" customFormat="1" x14ac:dyDescent="0.2"/>
    <row r="2611" s="2" customFormat="1" x14ac:dyDescent="0.2"/>
    <row r="2612" s="2" customFormat="1" x14ac:dyDescent="0.2"/>
    <row r="2613" s="2" customFormat="1" x14ac:dyDescent="0.2"/>
    <row r="2614" s="2" customFormat="1" x14ac:dyDescent="0.2"/>
    <row r="2615" s="2" customFormat="1" x14ac:dyDescent="0.2"/>
    <row r="2616" s="2" customFormat="1" x14ac:dyDescent="0.2"/>
    <row r="2617" s="2" customFormat="1" x14ac:dyDescent="0.2"/>
    <row r="2618" s="2" customFormat="1" x14ac:dyDescent="0.2"/>
    <row r="2619" s="2" customFormat="1" x14ac:dyDescent="0.2"/>
    <row r="2620" s="2" customFormat="1" x14ac:dyDescent="0.2"/>
    <row r="2621" s="2" customFormat="1" x14ac:dyDescent="0.2"/>
    <row r="2622" s="2" customFormat="1" x14ac:dyDescent="0.2"/>
    <row r="2623" s="2" customFormat="1" x14ac:dyDescent="0.2"/>
    <row r="2624" s="2" customFormat="1" x14ac:dyDescent="0.2"/>
    <row r="2625" s="2" customFormat="1" x14ac:dyDescent="0.2"/>
    <row r="2626" s="2" customFormat="1" x14ac:dyDescent="0.2"/>
    <row r="2627" s="2" customFormat="1" x14ac:dyDescent="0.2"/>
    <row r="2628" s="2" customFormat="1" x14ac:dyDescent="0.2"/>
    <row r="2629" s="2" customFormat="1" x14ac:dyDescent="0.2"/>
    <row r="2630" s="2" customFormat="1" x14ac:dyDescent="0.2"/>
    <row r="2631" s="2" customFormat="1" x14ac:dyDescent="0.2"/>
    <row r="2632" s="2" customFormat="1" x14ac:dyDescent="0.2"/>
    <row r="2633" s="2" customFormat="1" x14ac:dyDescent="0.2"/>
    <row r="2634" s="2" customFormat="1" x14ac:dyDescent="0.2"/>
    <row r="2635" s="2" customFormat="1" x14ac:dyDescent="0.2"/>
    <row r="2636" s="2" customFormat="1" x14ac:dyDescent="0.2"/>
    <row r="2637" s="2" customFormat="1" x14ac:dyDescent="0.2"/>
    <row r="2638" s="2" customFormat="1" x14ac:dyDescent="0.2"/>
    <row r="2639" s="2" customFormat="1" x14ac:dyDescent="0.2"/>
    <row r="2640" s="2" customFormat="1" x14ac:dyDescent="0.2"/>
    <row r="2641" s="2" customFormat="1" x14ac:dyDescent="0.2"/>
    <row r="2642" s="2" customFormat="1" x14ac:dyDescent="0.2"/>
    <row r="2643" s="2" customFormat="1" x14ac:dyDescent="0.2"/>
    <row r="2644" s="2" customFormat="1" x14ac:dyDescent="0.2"/>
    <row r="2645" s="2" customFormat="1" x14ac:dyDescent="0.2"/>
    <row r="2646" s="2" customFormat="1" x14ac:dyDescent="0.2"/>
    <row r="2647" s="2" customFormat="1" x14ac:dyDescent="0.2"/>
    <row r="2648" s="2" customFormat="1" x14ac:dyDescent="0.2"/>
    <row r="2649" s="2" customFormat="1" x14ac:dyDescent="0.2"/>
    <row r="2650" s="2" customFormat="1" x14ac:dyDescent="0.2"/>
    <row r="2651" s="2" customFormat="1" x14ac:dyDescent="0.2"/>
    <row r="2652" s="2" customFormat="1" x14ac:dyDescent="0.2"/>
    <row r="2653" s="2" customFormat="1" x14ac:dyDescent="0.2"/>
    <row r="2654" s="2" customFormat="1" x14ac:dyDescent="0.2"/>
    <row r="2655" s="2" customFormat="1" x14ac:dyDescent="0.2"/>
    <row r="2656" s="2" customFormat="1" x14ac:dyDescent="0.2"/>
    <row r="2657" s="2" customFormat="1" x14ac:dyDescent="0.2"/>
    <row r="2658" s="2" customFormat="1" x14ac:dyDescent="0.2"/>
    <row r="2659" s="2" customFormat="1" x14ac:dyDescent="0.2"/>
    <row r="2660" s="2" customFormat="1" x14ac:dyDescent="0.2"/>
    <row r="2661" s="2" customFormat="1" x14ac:dyDescent="0.2"/>
    <row r="2662" s="2" customFormat="1" x14ac:dyDescent="0.2"/>
    <row r="2663" s="2" customFormat="1" x14ac:dyDescent="0.2"/>
    <row r="2664" s="2" customFormat="1" x14ac:dyDescent="0.2"/>
    <row r="2665" s="2" customFormat="1" x14ac:dyDescent="0.2"/>
    <row r="2666" s="2" customFormat="1" x14ac:dyDescent="0.2"/>
    <row r="2667" s="2" customFormat="1" x14ac:dyDescent="0.2"/>
    <row r="2668" s="2" customFormat="1" x14ac:dyDescent="0.2"/>
    <row r="2669" s="2" customFormat="1" x14ac:dyDescent="0.2"/>
    <row r="2670" s="2" customFormat="1" x14ac:dyDescent="0.2"/>
    <row r="2671" s="2" customFormat="1" x14ac:dyDescent="0.2"/>
    <row r="2672" s="2" customFormat="1" x14ac:dyDescent="0.2"/>
    <row r="2673" s="2" customFormat="1" x14ac:dyDescent="0.2"/>
    <row r="2674" s="2" customFormat="1" x14ac:dyDescent="0.2"/>
    <row r="2675" s="2" customFormat="1" x14ac:dyDescent="0.2"/>
    <row r="2676" s="2" customFormat="1" x14ac:dyDescent="0.2"/>
    <row r="2677" s="2" customFormat="1" x14ac:dyDescent="0.2"/>
    <row r="2678" s="2" customFormat="1" x14ac:dyDescent="0.2"/>
    <row r="2679" s="2" customFormat="1" x14ac:dyDescent="0.2"/>
    <row r="2680" s="2" customFormat="1" x14ac:dyDescent="0.2"/>
    <row r="2681" s="2" customFormat="1" x14ac:dyDescent="0.2"/>
    <row r="2682" s="2" customFormat="1" x14ac:dyDescent="0.2"/>
    <row r="2683" s="2" customFormat="1" x14ac:dyDescent="0.2"/>
    <row r="2684" s="2" customFormat="1" x14ac:dyDescent="0.2"/>
    <row r="2685" s="2" customFormat="1" x14ac:dyDescent="0.2"/>
    <row r="2686" s="2" customFormat="1" x14ac:dyDescent="0.2"/>
    <row r="2687" s="2" customFormat="1" x14ac:dyDescent="0.2"/>
    <row r="2688" s="2" customFormat="1" x14ac:dyDescent="0.2"/>
    <row r="2689" s="2" customFormat="1" x14ac:dyDescent="0.2"/>
    <row r="2690" s="2" customFormat="1" x14ac:dyDescent="0.2"/>
    <row r="2691" s="2" customFormat="1" x14ac:dyDescent="0.2"/>
    <row r="2692" s="2" customFormat="1" x14ac:dyDescent="0.2"/>
    <row r="2693" s="2" customFormat="1" x14ac:dyDescent="0.2"/>
    <row r="2694" s="2" customFormat="1" x14ac:dyDescent="0.2"/>
    <row r="2695" s="2" customFormat="1" x14ac:dyDescent="0.2"/>
    <row r="2696" s="2" customFormat="1" x14ac:dyDescent="0.2"/>
    <row r="2697" s="2" customFormat="1" x14ac:dyDescent="0.2"/>
    <row r="2698" s="2" customFormat="1" x14ac:dyDescent="0.2"/>
    <row r="2699" s="2" customFormat="1" x14ac:dyDescent="0.2"/>
    <row r="2700" s="2" customFormat="1" x14ac:dyDescent="0.2"/>
    <row r="2701" s="2" customFormat="1" x14ac:dyDescent="0.2"/>
    <row r="2702" s="2" customFormat="1" x14ac:dyDescent="0.2"/>
    <row r="2703" s="2" customFormat="1" x14ac:dyDescent="0.2"/>
    <row r="2704" s="2" customFormat="1" x14ac:dyDescent="0.2"/>
    <row r="2705" s="2" customFormat="1" x14ac:dyDescent="0.2"/>
    <row r="2706" s="2" customFormat="1" x14ac:dyDescent="0.2"/>
    <row r="2707" s="2" customFormat="1" x14ac:dyDescent="0.2"/>
    <row r="2708" s="2" customFormat="1" x14ac:dyDescent="0.2"/>
    <row r="2709" s="2" customFormat="1" x14ac:dyDescent="0.2"/>
    <row r="2710" s="2" customFormat="1" x14ac:dyDescent="0.2"/>
    <row r="2711" s="2" customFormat="1" x14ac:dyDescent="0.2"/>
    <row r="2712" s="2" customFormat="1" x14ac:dyDescent="0.2"/>
    <row r="2713" s="2" customFormat="1" x14ac:dyDescent="0.2"/>
    <row r="2714" s="2" customFormat="1" x14ac:dyDescent="0.2"/>
    <row r="2715" s="2" customFormat="1" x14ac:dyDescent="0.2"/>
    <row r="2716" s="2" customFormat="1" x14ac:dyDescent="0.2"/>
    <row r="2717" s="2" customFormat="1" x14ac:dyDescent="0.2"/>
    <row r="2718" s="2" customFormat="1" x14ac:dyDescent="0.2"/>
    <row r="2719" s="2" customFormat="1" x14ac:dyDescent="0.2"/>
    <row r="2720" s="2" customFormat="1" x14ac:dyDescent="0.2"/>
    <row r="2721" s="2" customFormat="1" x14ac:dyDescent="0.2"/>
    <row r="2722" s="2" customFormat="1" x14ac:dyDescent="0.2"/>
    <row r="2723" s="2" customFormat="1" x14ac:dyDescent="0.2"/>
    <row r="2724" s="2" customFormat="1" x14ac:dyDescent="0.2"/>
    <row r="2725" s="2" customFormat="1" x14ac:dyDescent="0.2"/>
    <row r="2726" s="2" customFormat="1" x14ac:dyDescent="0.2"/>
    <row r="2727" s="2" customFormat="1" x14ac:dyDescent="0.2"/>
    <row r="2728" s="2" customFormat="1" x14ac:dyDescent="0.2"/>
    <row r="2729" s="2" customFormat="1" x14ac:dyDescent="0.2"/>
    <row r="2730" s="2" customFormat="1" x14ac:dyDescent="0.2"/>
    <row r="2731" s="2" customFormat="1" x14ac:dyDescent="0.2"/>
    <row r="2732" s="2" customFormat="1" x14ac:dyDescent="0.2"/>
    <row r="2733" s="2" customFormat="1" x14ac:dyDescent="0.2"/>
    <row r="2734" s="2" customFormat="1" x14ac:dyDescent="0.2"/>
    <row r="2735" s="2" customFormat="1" x14ac:dyDescent="0.2"/>
    <row r="2736" s="2" customFormat="1" x14ac:dyDescent="0.2"/>
    <row r="2737" s="2" customFormat="1" x14ac:dyDescent="0.2"/>
    <row r="2738" s="2" customFormat="1" x14ac:dyDescent="0.2"/>
    <row r="2739" s="2" customFormat="1" x14ac:dyDescent="0.2"/>
    <row r="2740" s="2" customFormat="1" x14ac:dyDescent="0.2"/>
    <row r="2741" s="2" customFormat="1" x14ac:dyDescent="0.2"/>
    <row r="2742" s="2" customFormat="1" x14ac:dyDescent="0.2"/>
    <row r="2743" s="2" customFormat="1" x14ac:dyDescent="0.2"/>
    <row r="2744" s="2" customFormat="1" x14ac:dyDescent="0.2"/>
    <row r="2745" s="2" customFormat="1" x14ac:dyDescent="0.2"/>
    <row r="2746" s="2" customFormat="1" x14ac:dyDescent="0.2"/>
    <row r="2747" s="2" customFormat="1" x14ac:dyDescent="0.2"/>
    <row r="2748" s="2" customFormat="1" x14ac:dyDescent="0.2"/>
    <row r="2749" s="2" customFormat="1" x14ac:dyDescent="0.2"/>
    <row r="2750" s="2" customFormat="1" x14ac:dyDescent="0.2"/>
    <row r="2751" s="2" customFormat="1" x14ac:dyDescent="0.2"/>
    <row r="2752" s="2" customFormat="1" x14ac:dyDescent="0.2"/>
    <row r="2753" s="2" customFormat="1" x14ac:dyDescent="0.2"/>
    <row r="2754" s="2" customFormat="1" x14ac:dyDescent="0.2"/>
    <row r="2755" s="2" customFormat="1" x14ac:dyDescent="0.2"/>
    <row r="2756" s="2" customFormat="1" x14ac:dyDescent="0.2"/>
    <row r="2757" s="2" customFormat="1" x14ac:dyDescent="0.2"/>
    <row r="2758" s="2" customFormat="1" x14ac:dyDescent="0.2"/>
    <row r="2759" s="2" customFormat="1" x14ac:dyDescent="0.2"/>
    <row r="2760" s="2" customFormat="1" x14ac:dyDescent="0.2"/>
    <row r="2761" s="2" customFormat="1" x14ac:dyDescent="0.2"/>
    <row r="2762" s="2" customFormat="1" x14ac:dyDescent="0.2"/>
    <row r="2763" s="2" customFormat="1" x14ac:dyDescent="0.2"/>
    <row r="2764" s="2" customFormat="1" x14ac:dyDescent="0.2"/>
    <row r="2765" s="2" customFormat="1" x14ac:dyDescent="0.2"/>
    <row r="2766" s="2" customFormat="1" x14ac:dyDescent="0.2"/>
    <row r="2767" s="2" customFormat="1" x14ac:dyDescent="0.2"/>
    <row r="2768" s="2" customFormat="1" x14ac:dyDescent="0.2"/>
    <row r="2769" s="2" customFormat="1" x14ac:dyDescent="0.2"/>
    <row r="2770" s="2" customFormat="1" x14ac:dyDescent="0.2"/>
    <row r="2771" s="2" customFormat="1" x14ac:dyDescent="0.2"/>
    <row r="2772" s="2" customFormat="1" x14ac:dyDescent="0.2"/>
    <row r="2773" s="2" customFormat="1" x14ac:dyDescent="0.2"/>
    <row r="2774" s="2" customFormat="1" x14ac:dyDescent="0.2"/>
    <row r="2775" s="2" customFormat="1" x14ac:dyDescent="0.2"/>
    <row r="2776" s="2" customFormat="1" x14ac:dyDescent="0.2"/>
    <row r="2777" s="2" customFormat="1" x14ac:dyDescent="0.2"/>
    <row r="2778" s="2" customFormat="1" x14ac:dyDescent="0.2"/>
    <row r="2779" s="2" customFormat="1" x14ac:dyDescent="0.2"/>
    <row r="2780" s="2" customFormat="1" x14ac:dyDescent="0.2"/>
    <row r="2781" s="2" customFormat="1" x14ac:dyDescent="0.2"/>
    <row r="2782" s="2" customFormat="1" x14ac:dyDescent="0.2"/>
    <row r="2783" s="2" customFormat="1" x14ac:dyDescent="0.2"/>
    <row r="2784" s="2" customFormat="1" x14ac:dyDescent="0.2"/>
    <row r="2785" s="2" customFormat="1" x14ac:dyDescent="0.2"/>
    <row r="2786" s="2" customFormat="1" x14ac:dyDescent="0.2"/>
    <row r="2787" s="2" customFormat="1" x14ac:dyDescent="0.2"/>
    <row r="2788" s="2" customFormat="1" x14ac:dyDescent="0.2"/>
    <row r="2789" s="2" customFormat="1" x14ac:dyDescent="0.2"/>
    <row r="2790" s="2" customFormat="1" x14ac:dyDescent="0.2"/>
    <row r="2791" s="2" customFormat="1" x14ac:dyDescent="0.2"/>
    <row r="2792" s="2" customFormat="1" x14ac:dyDescent="0.2"/>
    <row r="2793" s="2" customFormat="1" x14ac:dyDescent="0.2"/>
    <row r="2794" s="2" customFormat="1" x14ac:dyDescent="0.2"/>
    <row r="2795" s="2" customFormat="1" x14ac:dyDescent="0.2"/>
    <row r="2796" s="2" customFormat="1" x14ac:dyDescent="0.2"/>
    <row r="2797" s="2" customFormat="1" x14ac:dyDescent="0.2"/>
    <row r="2798" s="2" customFormat="1" x14ac:dyDescent="0.2"/>
    <row r="2799" s="2" customFormat="1" x14ac:dyDescent="0.2"/>
    <row r="2800" s="2" customFormat="1" x14ac:dyDescent="0.2"/>
    <row r="2801" s="2" customFormat="1" x14ac:dyDescent="0.2"/>
    <row r="2802" s="2" customFormat="1" x14ac:dyDescent="0.2"/>
    <row r="2803" s="2" customFormat="1" x14ac:dyDescent="0.2"/>
    <row r="2804" s="2" customFormat="1" x14ac:dyDescent="0.2"/>
    <row r="2805" s="2" customFormat="1" x14ac:dyDescent="0.2"/>
    <row r="2806" s="2" customFormat="1" x14ac:dyDescent="0.2"/>
    <row r="2807" s="2" customFormat="1" x14ac:dyDescent="0.2"/>
    <row r="2808" s="2" customFormat="1" x14ac:dyDescent="0.2"/>
    <row r="2809" s="2" customFormat="1" x14ac:dyDescent="0.2"/>
    <row r="2810" s="2" customFormat="1" x14ac:dyDescent="0.2"/>
    <row r="2811" s="2" customFormat="1" x14ac:dyDescent="0.2"/>
    <row r="2812" s="2" customFormat="1" x14ac:dyDescent="0.2"/>
    <row r="2813" s="2" customFormat="1" x14ac:dyDescent="0.2"/>
    <row r="2814" s="2" customFormat="1" x14ac:dyDescent="0.2"/>
    <row r="2815" s="2" customFormat="1" x14ac:dyDescent="0.2"/>
    <row r="2816" s="2" customFormat="1" x14ac:dyDescent="0.2"/>
    <row r="2817" s="2" customFormat="1" x14ac:dyDescent="0.2"/>
    <row r="2818" s="2" customFormat="1" x14ac:dyDescent="0.2"/>
    <row r="2819" s="2" customFormat="1" x14ac:dyDescent="0.2"/>
    <row r="2820" s="2" customFormat="1" x14ac:dyDescent="0.2"/>
    <row r="2821" s="2" customFormat="1" x14ac:dyDescent="0.2"/>
    <row r="2822" s="2" customFormat="1" x14ac:dyDescent="0.2"/>
    <row r="2823" s="2" customFormat="1" x14ac:dyDescent="0.2"/>
    <row r="2824" s="2" customFormat="1" x14ac:dyDescent="0.2"/>
    <row r="2825" s="2" customFormat="1" x14ac:dyDescent="0.2"/>
    <row r="2826" s="2" customFormat="1" x14ac:dyDescent="0.2"/>
    <row r="2827" s="2" customFormat="1" x14ac:dyDescent="0.2"/>
    <row r="2828" s="2" customFormat="1" x14ac:dyDescent="0.2"/>
    <row r="2829" s="2" customFormat="1" x14ac:dyDescent="0.2"/>
    <row r="2830" s="2" customFormat="1" x14ac:dyDescent="0.2"/>
    <row r="2831" s="2" customFormat="1" x14ac:dyDescent="0.2"/>
    <row r="2832" s="2" customFormat="1" x14ac:dyDescent="0.2"/>
    <row r="2833" s="2" customFormat="1" x14ac:dyDescent="0.2"/>
    <row r="2834" s="2" customFormat="1" x14ac:dyDescent="0.2"/>
    <row r="2835" s="2" customFormat="1" x14ac:dyDescent="0.2"/>
    <row r="2836" s="2" customFormat="1" x14ac:dyDescent="0.2"/>
    <row r="2837" s="2" customFormat="1" x14ac:dyDescent="0.2"/>
    <row r="2838" s="2" customFormat="1" x14ac:dyDescent="0.2"/>
    <row r="2839" s="2" customFormat="1" x14ac:dyDescent="0.2"/>
    <row r="2840" s="2" customFormat="1" x14ac:dyDescent="0.2"/>
    <row r="2841" s="2" customFormat="1" x14ac:dyDescent="0.2"/>
    <row r="2842" s="2" customFormat="1" x14ac:dyDescent="0.2"/>
    <row r="2843" s="2" customFormat="1" x14ac:dyDescent="0.2"/>
    <row r="2844" s="2" customFormat="1" x14ac:dyDescent="0.2"/>
    <row r="2845" s="2" customFormat="1" x14ac:dyDescent="0.2"/>
    <row r="2846" s="2" customFormat="1" x14ac:dyDescent="0.2"/>
    <row r="2847" s="2" customFormat="1" x14ac:dyDescent="0.2"/>
    <row r="2848" s="2" customFormat="1" x14ac:dyDescent="0.2"/>
    <row r="2849" s="2" customFormat="1" x14ac:dyDescent="0.2"/>
    <row r="2850" s="2" customFormat="1" x14ac:dyDescent="0.2"/>
    <row r="2851" s="2" customFormat="1" x14ac:dyDescent="0.2"/>
    <row r="2852" s="2" customFormat="1" x14ac:dyDescent="0.2"/>
    <row r="2853" s="2" customFormat="1" x14ac:dyDescent="0.2"/>
    <row r="2854" s="2" customFormat="1" x14ac:dyDescent="0.2"/>
    <row r="2855" s="2" customFormat="1" x14ac:dyDescent="0.2"/>
    <row r="2856" s="2" customFormat="1" x14ac:dyDescent="0.2"/>
    <row r="2857" s="2" customFormat="1" x14ac:dyDescent="0.2"/>
    <row r="2858" s="2" customFormat="1" x14ac:dyDescent="0.2"/>
    <row r="2859" s="2" customFormat="1" x14ac:dyDescent="0.2"/>
    <row r="2860" s="2" customFormat="1" x14ac:dyDescent="0.2"/>
    <row r="2861" s="2" customFormat="1" x14ac:dyDescent="0.2"/>
    <row r="2862" s="2" customFormat="1" x14ac:dyDescent="0.2"/>
    <row r="2863" s="2" customFormat="1" x14ac:dyDescent="0.2"/>
    <row r="2864" s="2" customFormat="1" x14ac:dyDescent="0.2"/>
    <row r="2865" s="2" customFormat="1" x14ac:dyDescent="0.2"/>
    <row r="2866" s="2" customFormat="1" x14ac:dyDescent="0.2"/>
    <row r="2867" s="2" customFormat="1" x14ac:dyDescent="0.2"/>
    <row r="2868" s="2" customFormat="1" x14ac:dyDescent="0.2"/>
    <row r="2869" s="2" customFormat="1" x14ac:dyDescent="0.2"/>
    <row r="2870" s="2" customFormat="1" x14ac:dyDescent="0.2"/>
    <row r="2871" s="2" customFormat="1" x14ac:dyDescent="0.2"/>
    <row r="2872" s="2" customFormat="1" x14ac:dyDescent="0.2"/>
    <row r="2873" s="2" customFormat="1" x14ac:dyDescent="0.2"/>
    <row r="2874" s="2" customFormat="1" x14ac:dyDescent="0.2"/>
    <row r="2875" s="2" customFormat="1" x14ac:dyDescent="0.2"/>
    <row r="2876" s="2" customFormat="1" x14ac:dyDescent="0.2"/>
    <row r="2877" s="2" customFormat="1" x14ac:dyDescent="0.2"/>
    <row r="2878" s="2" customFormat="1" x14ac:dyDescent="0.2"/>
    <row r="2879" s="2" customFormat="1" x14ac:dyDescent="0.2"/>
    <row r="2880" s="2" customFormat="1" x14ac:dyDescent="0.2"/>
    <row r="2881" s="2" customFormat="1" x14ac:dyDescent="0.2"/>
    <row r="2882" s="2" customFormat="1" x14ac:dyDescent="0.2"/>
    <row r="2883" s="2" customFormat="1" x14ac:dyDescent="0.2"/>
    <row r="2884" s="2" customFormat="1" x14ac:dyDescent="0.2"/>
    <row r="2885" s="2" customFormat="1" x14ac:dyDescent="0.2"/>
    <row r="2886" s="2" customFormat="1" x14ac:dyDescent="0.2"/>
    <row r="2887" s="2" customFormat="1" x14ac:dyDescent="0.2"/>
    <row r="2888" s="2" customFormat="1" x14ac:dyDescent="0.2"/>
    <row r="2889" s="2" customFormat="1" x14ac:dyDescent="0.2"/>
    <row r="2890" s="2" customFormat="1" x14ac:dyDescent="0.2"/>
    <row r="2891" s="2" customFormat="1" x14ac:dyDescent="0.2"/>
    <row r="2892" s="2" customFormat="1" x14ac:dyDescent="0.2"/>
    <row r="2893" s="2" customFormat="1" x14ac:dyDescent="0.2"/>
    <row r="2894" s="2" customFormat="1" x14ac:dyDescent="0.2"/>
    <row r="2895" s="2" customFormat="1" x14ac:dyDescent="0.2"/>
    <row r="2896" s="2" customFormat="1" x14ac:dyDescent="0.2"/>
    <row r="2897" s="2" customFormat="1" x14ac:dyDescent="0.2"/>
    <row r="2898" s="2" customFormat="1" x14ac:dyDescent="0.2"/>
    <row r="2899" s="2" customFormat="1" x14ac:dyDescent="0.2"/>
    <row r="2900" s="2" customFormat="1" x14ac:dyDescent="0.2"/>
    <row r="2901" s="2" customFormat="1" x14ac:dyDescent="0.2"/>
    <row r="2902" s="2" customFormat="1" x14ac:dyDescent="0.2"/>
    <row r="2903" s="2" customFormat="1" x14ac:dyDescent="0.2"/>
    <row r="2904" s="2" customFormat="1" x14ac:dyDescent="0.2"/>
    <row r="2905" s="2" customFormat="1" x14ac:dyDescent="0.2"/>
    <row r="2906" s="2" customFormat="1" x14ac:dyDescent="0.2"/>
    <row r="2907" s="2" customFormat="1" x14ac:dyDescent="0.2"/>
    <row r="2908" s="2" customFormat="1" x14ac:dyDescent="0.2"/>
    <row r="2909" s="2" customFormat="1" x14ac:dyDescent="0.2"/>
    <row r="2910" s="2" customFormat="1" x14ac:dyDescent="0.2"/>
    <row r="2911" s="2" customFormat="1" x14ac:dyDescent="0.2"/>
    <row r="2912" s="2" customFormat="1" x14ac:dyDescent="0.2"/>
    <row r="2913" s="2" customFormat="1" x14ac:dyDescent="0.2"/>
    <row r="2914" s="2" customFormat="1" x14ac:dyDescent="0.2"/>
    <row r="2915" s="2" customFormat="1" x14ac:dyDescent="0.2"/>
    <row r="2916" s="2" customFormat="1" x14ac:dyDescent="0.2"/>
    <row r="2917" s="2" customFormat="1" x14ac:dyDescent="0.2"/>
    <row r="2918" s="2" customFormat="1" x14ac:dyDescent="0.2"/>
    <row r="2919" s="2" customFormat="1" x14ac:dyDescent="0.2"/>
    <row r="2920" s="2" customFormat="1" x14ac:dyDescent="0.2"/>
    <row r="2921" s="2" customFormat="1" x14ac:dyDescent="0.2"/>
    <row r="2922" s="2" customFormat="1" x14ac:dyDescent="0.2"/>
    <row r="2923" s="2" customFormat="1" x14ac:dyDescent="0.2"/>
    <row r="2924" s="2" customFormat="1" x14ac:dyDescent="0.2"/>
    <row r="2925" s="2" customFormat="1" x14ac:dyDescent="0.2"/>
    <row r="2926" s="2" customFormat="1" x14ac:dyDescent="0.2"/>
    <row r="2927" s="2" customFormat="1" x14ac:dyDescent="0.2"/>
    <row r="2928" s="2" customFormat="1" x14ac:dyDescent="0.2"/>
    <row r="2929" s="2" customFormat="1" x14ac:dyDescent="0.2"/>
    <row r="2930" s="2" customFormat="1" x14ac:dyDescent="0.2"/>
    <row r="2931" s="2" customFormat="1" x14ac:dyDescent="0.2"/>
    <row r="2932" s="2" customFormat="1" x14ac:dyDescent="0.2"/>
    <row r="2933" s="2" customFormat="1" x14ac:dyDescent="0.2"/>
    <row r="2934" s="2" customFormat="1" x14ac:dyDescent="0.2"/>
    <row r="2935" s="2" customFormat="1" x14ac:dyDescent="0.2"/>
    <row r="2936" s="2" customFormat="1" x14ac:dyDescent="0.2"/>
    <row r="2937" s="2" customFormat="1" x14ac:dyDescent="0.2"/>
    <row r="2938" s="2" customFormat="1" x14ac:dyDescent="0.2"/>
    <row r="2939" s="2" customFormat="1" x14ac:dyDescent="0.2"/>
    <row r="2940" s="2" customFormat="1" x14ac:dyDescent="0.2"/>
    <row r="2941" s="2" customFormat="1" x14ac:dyDescent="0.2"/>
    <row r="2942" s="2" customFormat="1" x14ac:dyDescent="0.2"/>
    <row r="2943" s="2" customFormat="1" x14ac:dyDescent="0.2"/>
    <row r="2944" s="2" customFormat="1" x14ac:dyDescent="0.2"/>
    <row r="2945" s="2" customFormat="1" x14ac:dyDescent="0.2"/>
    <row r="2946" s="2" customFormat="1" x14ac:dyDescent="0.2"/>
    <row r="2947" s="2" customFormat="1" x14ac:dyDescent="0.2"/>
    <row r="2948" s="2" customFormat="1" x14ac:dyDescent="0.2"/>
    <row r="2949" s="2" customFormat="1" x14ac:dyDescent="0.2"/>
    <row r="2950" s="2" customFormat="1" x14ac:dyDescent="0.2"/>
    <row r="2951" s="2" customFormat="1" x14ac:dyDescent="0.2"/>
    <row r="2952" s="2" customFormat="1" x14ac:dyDescent="0.2"/>
    <row r="2953" s="2" customFormat="1" x14ac:dyDescent="0.2"/>
    <row r="2954" s="2" customFormat="1" x14ac:dyDescent="0.2"/>
    <row r="2955" s="2" customFormat="1" x14ac:dyDescent="0.2"/>
    <row r="2956" s="2" customFormat="1" x14ac:dyDescent="0.2"/>
    <row r="2957" s="2" customFormat="1" x14ac:dyDescent="0.2"/>
    <row r="2958" s="2" customFormat="1" x14ac:dyDescent="0.2"/>
    <row r="2959" s="2" customFormat="1" x14ac:dyDescent="0.2"/>
    <row r="2960" s="2" customFormat="1" x14ac:dyDescent="0.2"/>
    <row r="2961" s="2" customFormat="1" x14ac:dyDescent="0.2"/>
    <row r="2962" s="2" customFormat="1" x14ac:dyDescent="0.2"/>
    <row r="2963" s="2" customFormat="1" x14ac:dyDescent="0.2"/>
    <row r="2964" s="2" customFormat="1" x14ac:dyDescent="0.2"/>
    <row r="2965" s="2" customFormat="1" x14ac:dyDescent="0.2"/>
    <row r="2966" s="2" customFormat="1" x14ac:dyDescent="0.2"/>
    <row r="2967" s="2" customFormat="1" x14ac:dyDescent="0.2"/>
    <row r="2968" s="2" customFormat="1" x14ac:dyDescent="0.2"/>
    <row r="2969" s="2" customFormat="1" x14ac:dyDescent="0.2"/>
    <row r="2970" s="2" customFormat="1" x14ac:dyDescent="0.2"/>
    <row r="2971" s="2" customFormat="1" x14ac:dyDescent="0.2"/>
    <row r="2972" s="2" customFormat="1" x14ac:dyDescent="0.2"/>
    <row r="2973" s="2" customFormat="1" x14ac:dyDescent="0.2"/>
    <row r="2974" s="2" customFormat="1" x14ac:dyDescent="0.2"/>
    <row r="2975" s="2" customFormat="1" x14ac:dyDescent="0.2"/>
    <row r="2976" s="2" customFormat="1" x14ac:dyDescent="0.2"/>
    <row r="2977" s="2" customFormat="1" x14ac:dyDescent="0.2"/>
    <row r="2978" s="2" customFormat="1" x14ac:dyDescent="0.2"/>
    <row r="2979" s="2" customFormat="1" x14ac:dyDescent="0.2"/>
    <row r="2980" s="2" customFormat="1" x14ac:dyDescent="0.2"/>
    <row r="2981" s="2" customFormat="1" x14ac:dyDescent="0.2"/>
    <row r="2982" s="2" customFormat="1" x14ac:dyDescent="0.2"/>
    <row r="2983" s="2" customFormat="1" x14ac:dyDescent="0.2"/>
    <row r="2984" s="2" customFormat="1" x14ac:dyDescent="0.2"/>
    <row r="2985" s="2" customFormat="1" x14ac:dyDescent="0.2"/>
    <row r="2986" s="2" customFormat="1" x14ac:dyDescent="0.2"/>
    <row r="2987" s="2" customFormat="1" x14ac:dyDescent="0.2"/>
    <row r="2988" s="2" customFormat="1" x14ac:dyDescent="0.2"/>
    <row r="2989" s="2" customFormat="1" x14ac:dyDescent="0.2"/>
    <row r="2990" s="2" customFormat="1" x14ac:dyDescent="0.2"/>
    <row r="2991" s="2" customFormat="1" x14ac:dyDescent="0.2"/>
    <row r="2992" s="2" customFormat="1" x14ac:dyDescent="0.2"/>
    <row r="2993" s="2" customFormat="1" x14ac:dyDescent="0.2"/>
    <row r="2994" s="2" customFormat="1" x14ac:dyDescent="0.2"/>
    <row r="2995" s="2" customFormat="1" x14ac:dyDescent="0.2"/>
    <row r="2996" s="2" customFormat="1" x14ac:dyDescent="0.2"/>
    <row r="2997" s="2" customFormat="1" x14ac:dyDescent="0.2"/>
    <row r="2998" s="2" customFormat="1" x14ac:dyDescent="0.2"/>
    <row r="2999" s="2" customFormat="1" x14ac:dyDescent="0.2"/>
    <row r="3000" s="2" customFormat="1" x14ac:dyDescent="0.2"/>
    <row r="3001" s="2" customFormat="1" x14ac:dyDescent="0.2"/>
    <row r="3002" s="2" customFormat="1" x14ac:dyDescent="0.2"/>
    <row r="3003" s="2" customFormat="1" x14ac:dyDescent="0.2"/>
    <row r="3004" s="2" customFormat="1" x14ac:dyDescent="0.2"/>
    <row r="3005" s="2" customFormat="1" x14ac:dyDescent="0.2"/>
    <row r="3006" s="2" customFormat="1" x14ac:dyDescent="0.2"/>
    <row r="3007" s="2" customFormat="1" x14ac:dyDescent="0.2"/>
    <row r="3008" s="2" customFormat="1" x14ac:dyDescent="0.2"/>
    <row r="3009" s="2" customFormat="1" x14ac:dyDescent="0.2"/>
    <row r="3010" s="2" customFormat="1" x14ac:dyDescent="0.2"/>
    <row r="3011" s="2" customFormat="1" x14ac:dyDescent="0.2"/>
    <row r="3012" s="2" customFormat="1" x14ac:dyDescent="0.2"/>
    <row r="3013" s="2" customFormat="1" x14ac:dyDescent="0.2"/>
    <row r="3014" s="2" customFormat="1" x14ac:dyDescent="0.2"/>
    <row r="3015" s="2" customFormat="1" x14ac:dyDescent="0.2"/>
    <row r="3016" s="2" customFormat="1" x14ac:dyDescent="0.2"/>
    <row r="3017" s="2" customFormat="1" x14ac:dyDescent="0.2"/>
    <row r="3018" s="2" customFormat="1" x14ac:dyDescent="0.2"/>
    <row r="3019" s="2" customFormat="1" x14ac:dyDescent="0.2"/>
    <row r="3020" s="2" customFormat="1" x14ac:dyDescent="0.2"/>
    <row r="3021" s="2" customFormat="1" x14ac:dyDescent="0.2"/>
    <row r="3022" s="2" customFormat="1" x14ac:dyDescent="0.2"/>
    <row r="3023" s="2" customFormat="1" x14ac:dyDescent="0.2"/>
    <row r="3024" s="2" customFormat="1" x14ac:dyDescent="0.2"/>
    <row r="3025" s="2" customFormat="1" x14ac:dyDescent="0.2"/>
    <row r="3026" s="2" customFormat="1" x14ac:dyDescent="0.2"/>
    <row r="3027" s="2" customFormat="1" x14ac:dyDescent="0.2"/>
    <row r="3028" s="2" customFormat="1" x14ac:dyDescent="0.2"/>
    <row r="3029" s="2" customFormat="1" x14ac:dyDescent="0.2"/>
    <row r="3030" s="2" customFormat="1" x14ac:dyDescent="0.2"/>
    <row r="3031" s="2" customFormat="1" x14ac:dyDescent="0.2"/>
    <row r="3032" s="2" customFormat="1" x14ac:dyDescent="0.2"/>
    <row r="3033" s="2" customFormat="1" x14ac:dyDescent="0.2"/>
    <row r="3034" s="2" customFormat="1" x14ac:dyDescent="0.2"/>
    <row r="3035" s="2" customFormat="1" x14ac:dyDescent="0.2"/>
    <row r="3036" s="2" customFormat="1" x14ac:dyDescent="0.2"/>
    <row r="3037" s="2" customFormat="1" x14ac:dyDescent="0.2"/>
    <row r="3038" s="2" customFormat="1" x14ac:dyDescent="0.2"/>
    <row r="3039" s="2" customFormat="1" x14ac:dyDescent="0.2"/>
    <row r="3040" s="2" customFormat="1" x14ac:dyDescent="0.2"/>
    <row r="3041" s="2" customFormat="1" x14ac:dyDescent="0.2"/>
    <row r="3042" s="2" customFormat="1" x14ac:dyDescent="0.2"/>
    <row r="3043" s="2" customFormat="1" x14ac:dyDescent="0.2"/>
    <row r="3044" s="2" customFormat="1" x14ac:dyDescent="0.2"/>
    <row r="3045" s="2" customFormat="1" x14ac:dyDescent="0.2"/>
    <row r="3046" s="2" customFormat="1" x14ac:dyDescent="0.2"/>
    <row r="3047" s="2" customFormat="1" x14ac:dyDescent="0.2"/>
    <row r="3048" s="2" customFormat="1" x14ac:dyDescent="0.2"/>
    <row r="3049" s="2" customFormat="1" x14ac:dyDescent="0.2"/>
    <row r="3050" s="2" customFormat="1" x14ac:dyDescent="0.2"/>
    <row r="3051" s="2" customFormat="1" x14ac:dyDescent="0.2"/>
    <row r="3052" s="2" customFormat="1" x14ac:dyDescent="0.2"/>
    <row r="3053" s="2" customFormat="1" x14ac:dyDescent="0.2"/>
    <row r="3054" s="2" customFormat="1" x14ac:dyDescent="0.2"/>
    <row r="3055" s="2" customFormat="1" x14ac:dyDescent="0.2"/>
    <row r="3056" s="2" customFormat="1" x14ac:dyDescent="0.2"/>
    <row r="3057" s="2" customFormat="1" x14ac:dyDescent="0.2"/>
    <row r="3058" s="2" customFormat="1" x14ac:dyDescent="0.2"/>
    <row r="3059" s="2" customFormat="1" x14ac:dyDescent="0.2"/>
    <row r="3060" s="2" customFormat="1" x14ac:dyDescent="0.2"/>
    <row r="3061" s="2" customFormat="1" x14ac:dyDescent="0.2"/>
    <row r="3062" s="2" customFormat="1" x14ac:dyDescent="0.2"/>
    <row r="3063" s="2" customFormat="1" x14ac:dyDescent="0.2"/>
    <row r="3064" s="2" customFormat="1" x14ac:dyDescent="0.2"/>
    <row r="3065" s="2" customFormat="1" x14ac:dyDescent="0.2"/>
    <row r="3066" s="2" customFormat="1" x14ac:dyDescent="0.2"/>
    <row r="3067" s="2" customFormat="1" x14ac:dyDescent="0.2"/>
    <row r="3068" s="2" customFormat="1" x14ac:dyDescent="0.2"/>
    <row r="3069" s="2" customFormat="1" x14ac:dyDescent="0.2"/>
    <row r="3070" s="2" customFormat="1" x14ac:dyDescent="0.2"/>
    <row r="3071" s="2" customFormat="1" x14ac:dyDescent="0.2"/>
    <row r="3072" s="2" customFormat="1" x14ac:dyDescent="0.2"/>
    <row r="3073" s="2" customFormat="1" x14ac:dyDescent="0.2"/>
    <row r="3074" s="2" customFormat="1" x14ac:dyDescent="0.2"/>
    <row r="3075" s="2" customFormat="1" x14ac:dyDescent="0.2"/>
    <row r="3076" s="2" customFormat="1" x14ac:dyDescent="0.2"/>
    <row r="3077" s="2" customFormat="1" x14ac:dyDescent="0.2"/>
    <row r="3078" s="2" customFormat="1" x14ac:dyDescent="0.2"/>
    <row r="3079" s="2" customFormat="1" x14ac:dyDescent="0.2"/>
    <row r="3080" s="2" customFormat="1" x14ac:dyDescent="0.2"/>
    <row r="3081" s="2" customFormat="1" x14ac:dyDescent="0.2"/>
    <row r="3082" s="2" customFormat="1" x14ac:dyDescent="0.2"/>
    <row r="3083" s="2" customFormat="1" x14ac:dyDescent="0.2"/>
    <row r="3084" s="2" customFormat="1" x14ac:dyDescent="0.2"/>
    <row r="3085" s="2" customFormat="1" x14ac:dyDescent="0.2"/>
    <row r="3086" s="2" customFormat="1" x14ac:dyDescent="0.2"/>
    <row r="3087" s="2" customFormat="1" x14ac:dyDescent="0.2"/>
    <row r="3088" s="2" customFormat="1" x14ac:dyDescent="0.2"/>
    <row r="3089" s="2" customFormat="1" x14ac:dyDescent="0.2"/>
    <row r="3090" s="2" customFormat="1" x14ac:dyDescent="0.2"/>
    <row r="3091" s="2" customFormat="1" x14ac:dyDescent="0.2"/>
    <row r="3092" s="2" customFormat="1" x14ac:dyDescent="0.2"/>
    <row r="3093" s="2" customFormat="1" x14ac:dyDescent="0.2"/>
    <row r="3094" s="2" customFormat="1" x14ac:dyDescent="0.2"/>
    <row r="3095" s="2" customFormat="1" x14ac:dyDescent="0.2"/>
    <row r="3096" s="2" customFormat="1" x14ac:dyDescent="0.2"/>
    <row r="3097" s="2" customFormat="1" x14ac:dyDescent="0.2"/>
    <row r="3098" s="2" customFormat="1" x14ac:dyDescent="0.2"/>
    <row r="3099" s="2" customFormat="1" x14ac:dyDescent="0.2"/>
    <row r="3100" s="2" customFormat="1" x14ac:dyDescent="0.2"/>
    <row r="3101" s="2" customFormat="1" x14ac:dyDescent="0.2"/>
    <row r="3102" s="2" customFormat="1" x14ac:dyDescent="0.2"/>
    <row r="3103" s="2" customFormat="1" x14ac:dyDescent="0.2"/>
    <row r="3104" s="2" customFormat="1" x14ac:dyDescent="0.2"/>
    <row r="3105" s="2" customFormat="1" x14ac:dyDescent="0.2"/>
    <row r="3106" s="2" customFormat="1" x14ac:dyDescent="0.2"/>
    <row r="3107" s="2" customFormat="1" x14ac:dyDescent="0.2"/>
    <row r="3108" s="2" customFormat="1" x14ac:dyDescent="0.2"/>
    <row r="3109" s="2" customFormat="1" x14ac:dyDescent="0.2"/>
    <row r="3110" s="2" customFormat="1" x14ac:dyDescent="0.2"/>
    <row r="3111" s="2" customFormat="1" x14ac:dyDescent="0.2"/>
    <row r="3112" s="2" customFormat="1" x14ac:dyDescent="0.2"/>
    <row r="3113" s="2" customFormat="1" x14ac:dyDescent="0.2"/>
    <row r="3114" s="2" customFormat="1" x14ac:dyDescent="0.2"/>
    <row r="3115" s="2" customFormat="1" x14ac:dyDescent="0.2"/>
    <row r="3116" s="2" customFormat="1" x14ac:dyDescent="0.2"/>
    <row r="3117" s="2" customFormat="1" x14ac:dyDescent="0.2"/>
    <row r="3118" s="2" customFormat="1" x14ac:dyDescent="0.2"/>
    <row r="3119" s="2" customFormat="1" x14ac:dyDescent="0.2"/>
    <row r="3120" s="2" customFormat="1" x14ac:dyDescent="0.2"/>
    <row r="3121" s="2" customFormat="1" x14ac:dyDescent="0.2"/>
    <row r="3122" s="2" customFormat="1" x14ac:dyDescent="0.2"/>
    <row r="3123" s="2" customFormat="1" x14ac:dyDescent="0.2"/>
    <row r="3124" s="2" customFormat="1" x14ac:dyDescent="0.2"/>
    <row r="3125" s="2" customFormat="1" x14ac:dyDescent="0.2"/>
    <row r="3126" s="2" customFormat="1" x14ac:dyDescent="0.2"/>
    <row r="3127" s="2" customFormat="1" x14ac:dyDescent="0.2"/>
    <row r="3128" s="2" customFormat="1" x14ac:dyDescent="0.2"/>
    <row r="3129" s="2" customFormat="1" x14ac:dyDescent="0.2"/>
    <row r="3130" s="2" customFormat="1" x14ac:dyDescent="0.2"/>
    <row r="3131" s="2" customFormat="1" x14ac:dyDescent="0.2"/>
    <row r="3132" s="2" customFormat="1" x14ac:dyDescent="0.2"/>
    <row r="3133" s="2" customFormat="1" x14ac:dyDescent="0.2"/>
    <row r="3134" s="2" customFormat="1" x14ac:dyDescent="0.2"/>
    <row r="3135" s="2" customFormat="1" x14ac:dyDescent="0.2"/>
    <row r="3136" s="2" customFormat="1" x14ac:dyDescent="0.2"/>
    <row r="3137" s="2" customFormat="1" x14ac:dyDescent="0.2"/>
    <row r="3138" s="2" customFormat="1" x14ac:dyDescent="0.2"/>
    <row r="3139" s="2" customFormat="1" x14ac:dyDescent="0.2"/>
    <row r="3140" s="2" customFormat="1" x14ac:dyDescent="0.2"/>
    <row r="3141" s="2" customFormat="1" x14ac:dyDescent="0.2"/>
    <row r="3142" s="2" customFormat="1" x14ac:dyDescent="0.2"/>
    <row r="3143" s="2" customFormat="1" x14ac:dyDescent="0.2"/>
    <row r="3144" s="2" customFormat="1" x14ac:dyDescent="0.2"/>
    <row r="3145" s="2" customFormat="1" x14ac:dyDescent="0.2"/>
    <row r="3146" s="2" customFormat="1" x14ac:dyDescent="0.2"/>
    <row r="3147" s="2" customFormat="1" x14ac:dyDescent="0.2"/>
    <row r="3148" s="2" customFormat="1" x14ac:dyDescent="0.2"/>
    <row r="3149" s="2" customFormat="1" x14ac:dyDescent="0.2"/>
    <row r="3150" s="2" customFormat="1" x14ac:dyDescent="0.2"/>
    <row r="3151" s="2" customFormat="1" x14ac:dyDescent="0.2"/>
    <row r="3152" s="2" customFormat="1" x14ac:dyDescent="0.2"/>
    <row r="3153" s="2" customFormat="1" x14ac:dyDescent="0.2"/>
    <row r="3154" s="2" customFormat="1" x14ac:dyDescent="0.2"/>
    <row r="3155" s="2" customFormat="1" x14ac:dyDescent="0.2"/>
    <row r="3156" s="2" customFormat="1" x14ac:dyDescent="0.2"/>
    <row r="3157" s="2" customFormat="1" x14ac:dyDescent="0.2"/>
    <row r="3158" s="2" customFormat="1" x14ac:dyDescent="0.2"/>
    <row r="3159" s="2" customFormat="1" x14ac:dyDescent="0.2"/>
    <row r="3160" s="2" customFormat="1" x14ac:dyDescent="0.2"/>
    <row r="3161" s="2" customFormat="1" x14ac:dyDescent="0.2"/>
    <row r="3162" s="2" customFormat="1" x14ac:dyDescent="0.2"/>
    <row r="3163" s="2" customFormat="1" x14ac:dyDescent="0.2"/>
    <row r="3164" s="2" customFormat="1" x14ac:dyDescent="0.2"/>
    <row r="3165" s="2" customFormat="1" x14ac:dyDescent="0.2"/>
    <row r="3166" s="2" customFormat="1" x14ac:dyDescent="0.2"/>
    <row r="3167" s="2" customFormat="1" x14ac:dyDescent="0.2"/>
    <row r="3168" s="2" customFormat="1" x14ac:dyDescent="0.2"/>
    <row r="3169" s="2" customFormat="1" x14ac:dyDescent="0.2"/>
    <row r="3170" s="2" customFormat="1" x14ac:dyDescent="0.2"/>
    <row r="3171" s="2" customFormat="1" x14ac:dyDescent="0.2"/>
    <row r="3172" s="2" customFormat="1" x14ac:dyDescent="0.2"/>
    <row r="3173" s="2" customFormat="1" x14ac:dyDescent="0.2"/>
    <row r="3174" s="2" customFormat="1" x14ac:dyDescent="0.2"/>
    <row r="3175" s="2" customFormat="1" x14ac:dyDescent="0.2"/>
    <row r="3176" s="2" customFormat="1" x14ac:dyDescent="0.2"/>
    <row r="3177" s="2" customFormat="1" x14ac:dyDescent="0.2"/>
    <row r="3178" s="2" customFormat="1" x14ac:dyDescent="0.2"/>
    <row r="3179" s="2" customFormat="1" x14ac:dyDescent="0.2"/>
    <row r="3180" s="2" customFormat="1" x14ac:dyDescent="0.2"/>
    <row r="3181" s="2" customFormat="1" x14ac:dyDescent="0.2"/>
    <row r="3182" s="2" customFormat="1" x14ac:dyDescent="0.2"/>
    <row r="3183" s="2" customFormat="1" x14ac:dyDescent="0.2"/>
    <row r="3184" s="2" customFormat="1" x14ac:dyDescent="0.2"/>
    <row r="3185" s="2" customFormat="1" x14ac:dyDescent="0.2"/>
    <row r="3186" s="2" customFormat="1" x14ac:dyDescent="0.2"/>
    <row r="3187" s="2" customFormat="1" x14ac:dyDescent="0.2"/>
    <row r="3188" s="2" customFormat="1" x14ac:dyDescent="0.2"/>
    <row r="3189" s="2" customFormat="1" x14ac:dyDescent="0.2"/>
    <row r="3190" s="2" customFormat="1" x14ac:dyDescent="0.2"/>
    <row r="3191" s="2" customFormat="1" x14ac:dyDescent="0.2"/>
    <row r="3192" s="2" customFormat="1" x14ac:dyDescent="0.2"/>
    <row r="3193" s="2" customFormat="1" x14ac:dyDescent="0.2"/>
    <row r="3194" s="2" customFormat="1" x14ac:dyDescent="0.2"/>
    <row r="3195" s="2" customFormat="1" x14ac:dyDescent="0.2"/>
    <row r="3196" s="2" customFormat="1" x14ac:dyDescent="0.2"/>
    <row r="3197" s="2" customFormat="1" x14ac:dyDescent="0.2"/>
    <row r="3198" s="2" customFormat="1" x14ac:dyDescent="0.2"/>
    <row r="3199" s="2" customFormat="1" x14ac:dyDescent="0.2"/>
    <row r="3200" s="2" customFormat="1" x14ac:dyDescent="0.2"/>
    <row r="3201" s="2" customFormat="1" x14ac:dyDescent="0.2"/>
    <row r="3202" s="2" customFormat="1" x14ac:dyDescent="0.2"/>
    <row r="3203" s="2" customFormat="1" x14ac:dyDescent="0.2"/>
    <row r="3204" s="2" customFormat="1" x14ac:dyDescent="0.2"/>
    <row r="3205" s="2" customFormat="1" x14ac:dyDescent="0.2"/>
    <row r="3206" s="2" customFormat="1" x14ac:dyDescent="0.2"/>
    <row r="3207" s="2" customFormat="1" x14ac:dyDescent="0.2"/>
    <row r="3208" s="2" customFormat="1" x14ac:dyDescent="0.2"/>
    <row r="3209" s="2" customFormat="1" x14ac:dyDescent="0.2"/>
    <row r="3210" s="2" customFormat="1" x14ac:dyDescent="0.2"/>
    <row r="3211" s="2" customFormat="1" x14ac:dyDescent="0.2"/>
    <row r="3212" s="2" customFormat="1" x14ac:dyDescent="0.2"/>
    <row r="3213" s="2" customFormat="1" x14ac:dyDescent="0.2"/>
    <row r="3214" s="2" customFormat="1" x14ac:dyDescent="0.2"/>
    <row r="3215" s="2" customFormat="1" x14ac:dyDescent="0.2"/>
    <row r="3216" s="2" customFormat="1" x14ac:dyDescent="0.2"/>
    <row r="3217" s="2" customFormat="1" x14ac:dyDescent="0.2"/>
    <row r="3218" s="2" customFormat="1" x14ac:dyDescent="0.2"/>
    <row r="3219" s="2" customFormat="1" x14ac:dyDescent="0.2"/>
    <row r="3220" s="2" customFormat="1" x14ac:dyDescent="0.2"/>
    <row r="3221" s="2" customFormat="1" x14ac:dyDescent="0.2"/>
    <row r="3222" s="2" customFormat="1" x14ac:dyDescent="0.2"/>
    <row r="3223" s="2" customFormat="1" x14ac:dyDescent="0.2"/>
    <row r="3224" s="2" customFormat="1" x14ac:dyDescent="0.2"/>
    <row r="3225" s="2" customFormat="1" x14ac:dyDescent="0.2"/>
    <row r="3226" s="2" customFormat="1" x14ac:dyDescent="0.2"/>
    <row r="3227" s="2" customFormat="1" x14ac:dyDescent="0.2"/>
    <row r="3228" s="2" customFormat="1" x14ac:dyDescent="0.2"/>
    <row r="3229" s="2" customFormat="1" x14ac:dyDescent="0.2"/>
    <row r="3230" s="2" customFormat="1" x14ac:dyDescent="0.2"/>
    <row r="3231" s="2" customFormat="1" x14ac:dyDescent="0.2"/>
    <row r="3232" s="2" customFormat="1" x14ac:dyDescent="0.2"/>
    <row r="3233" s="2" customFormat="1" x14ac:dyDescent="0.2"/>
    <row r="3234" s="2" customFormat="1" x14ac:dyDescent="0.2"/>
    <row r="3235" s="2" customFormat="1" x14ac:dyDescent="0.2"/>
    <row r="3236" s="2" customFormat="1" x14ac:dyDescent="0.2"/>
    <row r="3237" s="2" customFormat="1" x14ac:dyDescent="0.2"/>
    <row r="3238" s="2" customFormat="1" x14ac:dyDescent="0.2"/>
    <row r="3239" s="2" customFormat="1" x14ac:dyDescent="0.2"/>
    <row r="3240" s="2" customFormat="1" x14ac:dyDescent="0.2"/>
    <row r="3241" s="2" customFormat="1" x14ac:dyDescent="0.2"/>
    <row r="3242" s="2" customFormat="1" x14ac:dyDescent="0.2"/>
    <row r="3243" s="2" customFormat="1" x14ac:dyDescent="0.2"/>
    <row r="3244" s="2" customFormat="1" x14ac:dyDescent="0.2"/>
    <row r="3245" s="2" customFormat="1" x14ac:dyDescent="0.2"/>
    <row r="3246" s="2" customFormat="1" x14ac:dyDescent="0.2"/>
    <row r="3247" s="2" customFormat="1" x14ac:dyDescent="0.2"/>
    <row r="3248" s="2" customFormat="1" x14ac:dyDescent="0.2"/>
    <row r="3249" s="2" customFormat="1" x14ac:dyDescent="0.2"/>
    <row r="3250" s="2" customFormat="1" x14ac:dyDescent="0.2"/>
    <row r="3251" s="2" customFormat="1" x14ac:dyDescent="0.2"/>
    <row r="3252" s="2" customFormat="1" x14ac:dyDescent="0.2"/>
    <row r="3253" s="2" customFormat="1" x14ac:dyDescent="0.2"/>
    <row r="3254" s="2" customFormat="1" x14ac:dyDescent="0.2"/>
    <row r="3255" s="2" customFormat="1" x14ac:dyDescent="0.2"/>
    <row r="3256" s="2" customFormat="1" x14ac:dyDescent="0.2"/>
    <row r="3257" s="2" customFormat="1" x14ac:dyDescent="0.2"/>
    <row r="3258" s="2" customFormat="1" x14ac:dyDescent="0.2"/>
    <row r="3259" s="2" customFormat="1" x14ac:dyDescent="0.2"/>
    <row r="3260" s="2" customFormat="1" x14ac:dyDescent="0.2"/>
    <row r="3261" s="2" customFormat="1" x14ac:dyDescent="0.2"/>
    <row r="3262" s="2" customFormat="1" x14ac:dyDescent="0.2"/>
    <row r="3263" s="2" customFormat="1" x14ac:dyDescent="0.2"/>
    <row r="3264" s="2" customFormat="1" x14ac:dyDescent="0.2"/>
    <row r="3265" s="2" customFormat="1" x14ac:dyDescent="0.2"/>
    <row r="3266" s="2" customFormat="1" x14ac:dyDescent="0.2"/>
    <row r="3267" s="2" customFormat="1" x14ac:dyDescent="0.2"/>
    <row r="3268" s="2" customFormat="1" x14ac:dyDescent="0.2"/>
    <row r="3269" s="2" customFormat="1" x14ac:dyDescent="0.2"/>
    <row r="3270" s="2" customFormat="1" x14ac:dyDescent="0.2"/>
    <row r="3271" s="2" customFormat="1" x14ac:dyDescent="0.2"/>
    <row r="3272" s="2" customFormat="1" x14ac:dyDescent="0.2"/>
    <row r="3273" s="2" customFormat="1" x14ac:dyDescent="0.2"/>
    <row r="3274" s="2" customFormat="1" x14ac:dyDescent="0.2"/>
    <row r="3275" s="2" customFormat="1" x14ac:dyDescent="0.2"/>
    <row r="3276" s="2" customFormat="1" x14ac:dyDescent="0.2"/>
    <row r="3277" s="2" customFormat="1" x14ac:dyDescent="0.2"/>
    <row r="3278" s="2" customFormat="1" x14ac:dyDescent="0.2"/>
    <row r="3279" s="2" customFormat="1" x14ac:dyDescent="0.2"/>
    <row r="3280" s="2" customFormat="1" x14ac:dyDescent="0.2"/>
    <row r="3281" s="2" customFormat="1" x14ac:dyDescent="0.2"/>
    <row r="3282" s="2" customFormat="1" x14ac:dyDescent="0.2"/>
    <row r="3283" s="2" customFormat="1" x14ac:dyDescent="0.2"/>
    <row r="3284" s="2" customFormat="1" x14ac:dyDescent="0.2"/>
    <row r="3285" s="2" customFormat="1" x14ac:dyDescent="0.2"/>
    <row r="3286" s="2" customFormat="1" x14ac:dyDescent="0.2"/>
    <row r="3287" s="2" customFormat="1" x14ac:dyDescent="0.2"/>
    <row r="3288" s="2" customFormat="1" x14ac:dyDescent="0.2"/>
    <row r="3289" s="2" customFormat="1" x14ac:dyDescent="0.2"/>
    <row r="3290" s="2" customFormat="1" x14ac:dyDescent="0.2"/>
    <row r="3291" s="2" customFormat="1" x14ac:dyDescent="0.2"/>
    <row r="3292" s="2" customFormat="1" x14ac:dyDescent="0.2"/>
    <row r="3293" s="2" customFormat="1" x14ac:dyDescent="0.2"/>
    <row r="3294" s="2" customFormat="1" x14ac:dyDescent="0.2"/>
    <row r="3295" s="2" customFormat="1" x14ac:dyDescent="0.2"/>
    <row r="3296" s="2" customFormat="1" x14ac:dyDescent="0.2"/>
    <row r="3297" s="2" customFormat="1" x14ac:dyDescent="0.2"/>
    <row r="3298" s="2" customFormat="1" x14ac:dyDescent="0.2"/>
    <row r="3299" s="2" customFormat="1" x14ac:dyDescent="0.2"/>
    <row r="3300" s="2" customFormat="1" x14ac:dyDescent="0.2"/>
    <row r="3301" s="2" customFormat="1" x14ac:dyDescent="0.2"/>
    <row r="3302" s="2" customFormat="1" x14ac:dyDescent="0.2"/>
    <row r="3303" s="2" customFormat="1" x14ac:dyDescent="0.2"/>
    <row r="3304" s="2" customFormat="1" x14ac:dyDescent="0.2"/>
    <row r="3305" s="2" customFormat="1" x14ac:dyDescent="0.2"/>
    <row r="3306" s="2" customFormat="1" x14ac:dyDescent="0.2"/>
    <row r="3307" s="2" customFormat="1" x14ac:dyDescent="0.2"/>
    <row r="3308" s="2" customFormat="1" x14ac:dyDescent="0.2"/>
    <row r="3309" s="2" customFormat="1" x14ac:dyDescent="0.2"/>
    <row r="3310" s="2" customFormat="1" x14ac:dyDescent="0.2"/>
    <row r="3311" s="2" customFormat="1" x14ac:dyDescent="0.2"/>
    <row r="3312" s="2" customFormat="1" x14ac:dyDescent="0.2"/>
    <row r="3313" s="2" customFormat="1" x14ac:dyDescent="0.2"/>
    <row r="3314" s="2" customFormat="1" x14ac:dyDescent="0.2"/>
    <row r="3315" s="2" customFormat="1" x14ac:dyDescent="0.2"/>
    <row r="3316" s="2" customFormat="1" x14ac:dyDescent="0.2"/>
    <row r="3317" s="2" customFormat="1" x14ac:dyDescent="0.2"/>
    <row r="3318" s="2" customFormat="1" x14ac:dyDescent="0.2"/>
    <row r="3319" s="2" customFormat="1" x14ac:dyDescent="0.2"/>
    <row r="3320" s="2" customFormat="1" x14ac:dyDescent="0.2"/>
    <row r="3321" s="2" customFormat="1" x14ac:dyDescent="0.2"/>
    <row r="3322" s="2" customFormat="1" x14ac:dyDescent="0.2"/>
    <row r="3323" s="2" customFormat="1" x14ac:dyDescent="0.2"/>
    <row r="3324" s="2" customFormat="1" x14ac:dyDescent="0.2"/>
    <row r="3325" s="2" customFormat="1" x14ac:dyDescent="0.2"/>
    <row r="3326" s="2" customFormat="1" x14ac:dyDescent="0.2"/>
    <row r="3327" s="2" customFormat="1" x14ac:dyDescent="0.2"/>
    <row r="3328" s="2" customFormat="1" x14ac:dyDescent="0.2"/>
    <row r="3329" s="2" customFormat="1" x14ac:dyDescent="0.2"/>
    <row r="3330" s="2" customFormat="1" x14ac:dyDescent="0.2"/>
    <row r="3331" s="2" customFormat="1" x14ac:dyDescent="0.2"/>
    <row r="3332" s="2" customFormat="1" x14ac:dyDescent="0.2"/>
    <row r="3333" s="2" customFormat="1" x14ac:dyDescent="0.2"/>
    <row r="3334" s="2" customFormat="1" x14ac:dyDescent="0.2"/>
    <row r="3335" s="2" customFormat="1" x14ac:dyDescent="0.2"/>
    <row r="3336" s="2" customFormat="1" x14ac:dyDescent="0.2"/>
    <row r="3337" s="2" customFormat="1" x14ac:dyDescent="0.2"/>
    <row r="3338" s="2" customFormat="1" x14ac:dyDescent="0.2"/>
    <row r="3339" s="2" customFormat="1" x14ac:dyDescent="0.2"/>
    <row r="3340" s="2" customFormat="1" x14ac:dyDescent="0.2"/>
    <row r="3341" s="2" customFormat="1" x14ac:dyDescent="0.2"/>
    <row r="3342" s="2" customFormat="1" x14ac:dyDescent="0.2"/>
    <row r="3343" s="2" customFormat="1" x14ac:dyDescent="0.2"/>
    <row r="3344" s="2" customFormat="1" x14ac:dyDescent="0.2"/>
    <row r="3345" s="2" customFormat="1" x14ac:dyDescent="0.2"/>
    <row r="3346" s="2" customFormat="1" x14ac:dyDescent="0.2"/>
    <row r="3347" s="2" customFormat="1" x14ac:dyDescent="0.2"/>
    <row r="3348" s="2" customFormat="1" x14ac:dyDescent="0.2"/>
    <row r="3349" s="2" customFormat="1" x14ac:dyDescent="0.2"/>
    <row r="3350" s="2" customFormat="1" x14ac:dyDescent="0.2"/>
    <row r="3351" s="2" customFormat="1" x14ac:dyDescent="0.2"/>
    <row r="3352" s="2" customFormat="1" x14ac:dyDescent="0.2"/>
    <row r="3353" s="2" customFormat="1" x14ac:dyDescent="0.2"/>
    <row r="3354" s="2" customFormat="1" x14ac:dyDescent="0.2"/>
    <row r="3355" s="2" customFormat="1" x14ac:dyDescent="0.2"/>
    <row r="3356" s="2" customFormat="1" x14ac:dyDescent="0.2"/>
    <row r="3357" s="2" customFormat="1" x14ac:dyDescent="0.2"/>
    <row r="3358" s="2" customFormat="1" x14ac:dyDescent="0.2"/>
    <row r="3359" s="2" customFormat="1" x14ac:dyDescent="0.2"/>
    <row r="3360" s="2" customFormat="1" x14ac:dyDescent="0.2"/>
    <row r="3361" s="2" customFormat="1" x14ac:dyDescent="0.2"/>
    <row r="3362" s="2" customFormat="1" x14ac:dyDescent="0.2"/>
    <row r="3363" s="2" customFormat="1" x14ac:dyDescent="0.2"/>
    <row r="3364" s="2" customFormat="1" x14ac:dyDescent="0.2"/>
    <row r="3365" s="2" customFormat="1" x14ac:dyDescent="0.2"/>
    <row r="3366" s="2" customFormat="1" x14ac:dyDescent="0.2"/>
    <row r="3367" s="2" customFormat="1" x14ac:dyDescent="0.2"/>
    <row r="3368" s="2" customFormat="1" x14ac:dyDescent="0.2"/>
    <row r="3369" s="2" customFormat="1" x14ac:dyDescent="0.2"/>
    <row r="3370" s="2" customFormat="1" x14ac:dyDescent="0.2"/>
    <row r="3371" s="2" customFormat="1" x14ac:dyDescent="0.2"/>
    <row r="3372" s="2" customFormat="1" x14ac:dyDescent="0.2"/>
    <row r="3373" s="2" customFormat="1" x14ac:dyDescent="0.2"/>
    <row r="3374" s="2" customFormat="1" x14ac:dyDescent="0.2"/>
    <row r="3375" s="2" customFormat="1" x14ac:dyDescent="0.2"/>
    <row r="3376" s="2" customFormat="1" x14ac:dyDescent="0.2"/>
    <row r="3377" s="2" customFormat="1" x14ac:dyDescent="0.2"/>
    <row r="3378" s="2" customFormat="1" x14ac:dyDescent="0.2"/>
    <row r="3379" s="2" customFormat="1" x14ac:dyDescent="0.2"/>
    <row r="3380" s="2" customFormat="1" x14ac:dyDescent="0.2"/>
    <row r="3381" s="2" customFormat="1" x14ac:dyDescent="0.2"/>
    <row r="3382" s="2" customFormat="1" x14ac:dyDescent="0.2"/>
    <row r="3383" s="2" customFormat="1" x14ac:dyDescent="0.2"/>
    <row r="3384" s="2" customFormat="1" x14ac:dyDescent="0.2"/>
    <row r="3385" s="2" customFormat="1" x14ac:dyDescent="0.2"/>
    <row r="3386" s="2" customFormat="1" x14ac:dyDescent="0.2"/>
    <row r="3387" s="2" customFormat="1" x14ac:dyDescent="0.2"/>
    <row r="3388" s="2" customFormat="1" x14ac:dyDescent="0.2"/>
    <row r="3389" s="2" customFormat="1" x14ac:dyDescent="0.2"/>
    <row r="3390" s="2" customFormat="1" x14ac:dyDescent="0.2"/>
    <row r="3391" s="2" customFormat="1" x14ac:dyDescent="0.2"/>
    <row r="3392" s="2" customFormat="1" x14ac:dyDescent="0.2"/>
    <row r="3393" s="2" customFormat="1" x14ac:dyDescent="0.2"/>
    <row r="3394" s="2" customFormat="1" x14ac:dyDescent="0.2"/>
    <row r="3395" s="2" customFormat="1" x14ac:dyDescent="0.2"/>
    <row r="3396" s="2" customFormat="1" x14ac:dyDescent="0.2"/>
    <row r="3397" s="2" customFormat="1" x14ac:dyDescent="0.2"/>
    <row r="3398" s="2" customFormat="1" x14ac:dyDescent="0.2"/>
    <row r="3399" s="2" customFormat="1" x14ac:dyDescent="0.2"/>
    <row r="3400" s="2" customFormat="1" x14ac:dyDescent="0.2"/>
    <row r="3401" s="2" customFormat="1" x14ac:dyDescent="0.2"/>
    <row r="3402" s="2" customFormat="1" x14ac:dyDescent="0.2"/>
    <row r="3403" s="2" customFormat="1" x14ac:dyDescent="0.2"/>
    <row r="3404" s="2" customFormat="1" x14ac:dyDescent="0.2"/>
    <row r="3405" s="2" customFormat="1" x14ac:dyDescent="0.2"/>
    <row r="3406" s="2" customFormat="1" x14ac:dyDescent="0.2"/>
    <row r="3407" s="2" customFormat="1" x14ac:dyDescent="0.2"/>
    <row r="3408" s="2" customFormat="1" x14ac:dyDescent="0.2"/>
    <row r="3409" s="2" customFormat="1" x14ac:dyDescent="0.2"/>
    <row r="3410" s="2" customFormat="1" x14ac:dyDescent="0.2"/>
    <row r="3411" s="2" customFormat="1" x14ac:dyDescent="0.2"/>
    <row r="3412" s="2" customFormat="1" x14ac:dyDescent="0.2"/>
    <row r="3413" s="2" customFormat="1" x14ac:dyDescent="0.2"/>
    <row r="3414" s="2" customFormat="1" x14ac:dyDescent="0.2"/>
    <row r="3415" s="2" customFormat="1" x14ac:dyDescent="0.2"/>
    <row r="3416" s="2" customFormat="1" x14ac:dyDescent="0.2"/>
    <row r="3417" s="2" customFormat="1" x14ac:dyDescent="0.2"/>
    <row r="3418" s="2" customFormat="1" x14ac:dyDescent="0.2"/>
    <row r="3419" s="2" customFormat="1" x14ac:dyDescent="0.2"/>
    <row r="3420" s="2" customFormat="1" x14ac:dyDescent="0.2"/>
    <row r="3421" s="2" customFormat="1" x14ac:dyDescent="0.2"/>
    <row r="3422" s="2" customFormat="1" x14ac:dyDescent="0.2"/>
    <row r="3423" s="2" customFormat="1" x14ac:dyDescent="0.2"/>
    <row r="3424" s="2" customFormat="1" x14ac:dyDescent="0.2"/>
    <row r="3425" s="2" customFormat="1" x14ac:dyDescent="0.2"/>
    <row r="3426" s="2" customFormat="1" x14ac:dyDescent="0.2"/>
    <row r="3427" s="2" customFormat="1" x14ac:dyDescent="0.2"/>
    <row r="3428" s="2" customFormat="1" x14ac:dyDescent="0.2"/>
    <row r="3429" s="2" customFormat="1" x14ac:dyDescent="0.2"/>
    <row r="3430" s="2" customFormat="1" x14ac:dyDescent="0.2"/>
    <row r="3431" s="2" customFormat="1" x14ac:dyDescent="0.2"/>
    <row r="3432" s="2" customFormat="1" x14ac:dyDescent="0.2"/>
    <row r="3433" s="2" customFormat="1" x14ac:dyDescent="0.2"/>
    <row r="3434" s="2" customFormat="1" x14ac:dyDescent="0.2"/>
    <row r="3435" s="2" customFormat="1" x14ac:dyDescent="0.2"/>
    <row r="3436" s="2" customFormat="1" x14ac:dyDescent="0.2"/>
    <row r="3437" s="2" customFormat="1" x14ac:dyDescent="0.2"/>
    <row r="3438" s="2" customFormat="1" x14ac:dyDescent="0.2"/>
    <row r="3439" s="2" customFormat="1" x14ac:dyDescent="0.2"/>
    <row r="3440" s="2" customFormat="1" x14ac:dyDescent="0.2"/>
    <row r="3441" s="2" customFormat="1" x14ac:dyDescent="0.2"/>
    <row r="3442" s="2" customFormat="1" x14ac:dyDescent="0.2"/>
    <row r="3443" s="2" customFormat="1" x14ac:dyDescent="0.2"/>
    <row r="3444" s="2" customFormat="1" x14ac:dyDescent="0.2"/>
    <row r="3445" s="2" customFormat="1" x14ac:dyDescent="0.2"/>
    <row r="3446" s="2" customFormat="1" x14ac:dyDescent="0.2"/>
    <row r="3447" s="2" customFormat="1" x14ac:dyDescent="0.2"/>
    <row r="3448" s="2" customFormat="1" x14ac:dyDescent="0.2"/>
    <row r="3449" s="2" customFormat="1" x14ac:dyDescent="0.2"/>
    <row r="3450" s="2" customFormat="1" x14ac:dyDescent="0.2"/>
    <row r="3451" s="2" customFormat="1" x14ac:dyDescent="0.2"/>
    <row r="3452" s="2" customFormat="1" x14ac:dyDescent="0.2"/>
    <row r="3453" s="2" customFormat="1" x14ac:dyDescent="0.2"/>
    <row r="3454" s="2" customFormat="1" x14ac:dyDescent="0.2"/>
    <row r="3455" s="2" customFormat="1" x14ac:dyDescent="0.2"/>
    <row r="3456" s="2" customFormat="1" x14ac:dyDescent="0.2"/>
    <row r="3457" s="2" customFormat="1" x14ac:dyDescent="0.2"/>
    <row r="3458" s="2" customFormat="1" x14ac:dyDescent="0.2"/>
    <row r="3459" s="2" customFormat="1" x14ac:dyDescent="0.2"/>
    <row r="3460" s="2" customFormat="1" x14ac:dyDescent="0.2"/>
    <row r="3461" s="2" customFormat="1" x14ac:dyDescent="0.2"/>
    <row r="3462" s="2" customFormat="1" x14ac:dyDescent="0.2"/>
    <row r="3463" s="2" customFormat="1" x14ac:dyDescent="0.2"/>
    <row r="3464" s="2" customFormat="1" x14ac:dyDescent="0.2"/>
    <row r="3465" s="2" customFormat="1" x14ac:dyDescent="0.2"/>
    <row r="3466" s="2" customFormat="1" x14ac:dyDescent="0.2"/>
    <row r="3467" s="2" customFormat="1" x14ac:dyDescent="0.2"/>
    <row r="3468" s="2" customFormat="1" x14ac:dyDescent="0.2"/>
    <row r="3469" s="2" customFormat="1" x14ac:dyDescent="0.2"/>
    <row r="3470" s="2" customFormat="1" x14ac:dyDescent="0.2"/>
    <row r="3471" s="2" customFormat="1" x14ac:dyDescent="0.2"/>
    <row r="3472" s="2" customFormat="1" x14ac:dyDescent="0.2"/>
    <row r="3473" s="2" customFormat="1" x14ac:dyDescent="0.2"/>
    <row r="3474" s="2" customFormat="1" x14ac:dyDescent="0.2"/>
    <row r="3475" s="2" customFormat="1" x14ac:dyDescent="0.2"/>
    <row r="3476" s="2" customFormat="1" x14ac:dyDescent="0.2"/>
    <row r="3477" s="2" customFormat="1" x14ac:dyDescent="0.2"/>
    <row r="3478" s="2" customFormat="1" x14ac:dyDescent="0.2"/>
    <row r="3479" s="2" customFormat="1" x14ac:dyDescent="0.2"/>
    <row r="3480" s="2" customFormat="1" x14ac:dyDescent="0.2"/>
    <row r="3481" s="2" customFormat="1" x14ac:dyDescent="0.2"/>
    <row r="3482" s="2" customFormat="1" x14ac:dyDescent="0.2"/>
    <row r="3483" s="2" customFormat="1" x14ac:dyDescent="0.2"/>
    <row r="3484" s="2" customFormat="1" x14ac:dyDescent="0.2"/>
    <row r="3485" s="2" customFormat="1" x14ac:dyDescent="0.2"/>
    <row r="3486" s="2" customFormat="1" x14ac:dyDescent="0.2"/>
    <row r="3487" s="2" customFormat="1" x14ac:dyDescent="0.2"/>
    <row r="3488" s="2" customFormat="1" x14ac:dyDescent="0.2"/>
    <row r="3489" s="2" customFormat="1" x14ac:dyDescent="0.2"/>
    <row r="3490" s="2" customFormat="1" x14ac:dyDescent="0.2"/>
    <row r="3491" s="2" customFormat="1" x14ac:dyDescent="0.2"/>
    <row r="3492" s="2" customFormat="1" x14ac:dyDescent="0.2"/>
    <row r="3493" s="2" customFormat="1" x14ac:dyDescent="0.2"/>
    <row r="3494" s="2" customFormat="1" x14ac:dyDescent="0.2"/>
    <row r="3495" s="2" customFormat="1" x14ac:dyDescent="0.2"/>
    <row r="3496" s="2" customFormat="1" x14ac:dyDescent="0.2"/>
    <row r="3497" s="2" customFormat="1" x14ac:dyDescent="0.2"/>
    <row r="3498" s="2" customFormat="1" x14ac:dyDescent="0.2"/>
    <row r="3499" s="2" customFormat="1" x14ac:dyDescent="0.2"/>
    <row r="3500" s="2" customFormat="1" x14ac:dyDescent="0.2"/>
    <row r="3501" s="2" customFormat="1" x14ac:dyDescent="0.2"/>
    <row r="3502" s="2" customFormat="1" x14ac:dyDescent="0.2"/>
    <row r="3503" s="2" customFormat="1" x14ac:dyDescent="0.2"/>
    <row r="3504" s="2" customFormat="1" x14ac:dyDescent="0.2"/>
    <row r="3505" s="2" customFormat="1" x14ac:dyDescent="0.2"/>
    <row r="3506" s="2" customFormat="1" x14ac:dyDescent="0.2"/>
    <row r="3507" s="2" customFormat="1" x14ac:dyDescent="0.2"/>
    <row r="3508" s="2" customFormat="1" x14ac:dyDescent="0.2"/>
    <row r="3509" s="2" customFormat="1" x14ac:dyDescent="0.2"/>
    <row r="3510" s="2" customFormat="1" x14ac:dyDescent="0.2"/>
    <row r="3511" s="2" customFormat="1" x14ac:dyDescent="0.2"/>
    <row r="3512" s="2" customFormat="1" x14ac:dyDescent="0.2"/>
    <row r="3513" s="2" customFormat="1" x14ac:dyDescent="0.2"/>
    <row r="3514" s="2" customFormat="1" x14ac:dyDescent="0.2"/>
    <row r="3515" s="2" customFormat="1" x14ac:dyDescent="0.2"/>
    <row r="3516" s="2" customFormat="1" x14ac:dyDescent="0.2"/>
    <row r="3517" s="2" customFormat="1" x14ac:dyDescent="0.2"/>
    <row r="3518" s="2" customFormat="1" x14ac:dyDescent="0.2"/>
    <row r="3519" s="2" customFormat="1" x14ac:dyDescent="0.2"/>
    <row r="3520" s="2" customFormat="1" x14ac:dyDescent="0.2"/>
    <row r="3521" s="2" customFormat="1" x14ac:dyDescent="0.2"/>
    <row r="3522" s="2" customFormat="1" x14ac:dyDescent="0.2"/>
    <row r="3523" s="2" customFormat="1" x14ac:dyDescent="0.2"/>
    <row r="3524" s="2" customFormat="1" x14ac:dyDescent="0.2"/>
    <row r="3525" s="2" customFormat="1" x14ac:dyDescent="0.2"/>
    <row r="3526" s="2" customFormat="1" x14ac:dyDescent="0.2"/>
    <row r="3527" s="2" customFormat="1" x14ac:dyDescent="0.2"/>
    <row r="3528" s="2" customFormat="1" x14ac:dyDescent="0.2"/>
    <row r="3529" s="2" customFormat="1" x14ac:dyDescent="0.2"/>
    <row r="3530" s="2" customFormat="1" x14ac:dyDescent="0.2"/>
    <row r="3531" s="2" customFormat="1" x14ac:dyDescent="0.2"/>
    <row r="3532" s="2" customFormat="1" x14ac:dyDescent="0.2"/>
    <row r="3533" s="2" customFormat="1" x14ac:dyDescent="0.2"/>
    <row r="3534" s="2" customFormat="1" x14ac:dyDescent="0.2"/>
    <row r="3535" s="2" customFormat="1" x14ac:dyDescent="0.2"/>
    <row r="3536" s="2" customFormat="1" x14ac:dyDescent="0.2"/>
    <row r="3537" s="2" customFormat="1" x14ac:dyDescent="0.2"/>
    <row r="3538" s="2" customFormat="1" x14ac:dyDescent="0.2"/>
    <row r="3539" s="2" customFormat="1" x14ac:dyDescent="0.2"/>
    <row r="3540" s="2" customFormat="1" x14ac:dyDescent="0.2"/>
    <row r="3541" s="2" customFormat="1" x14ac:dyDescent="0.2"/>
    <row r="3542" s="2" customFormat="1" x14ac:dyDescent="0.2"/>
    <row r="3543" s="2" customFormat="1" x14ac:dyDescent="0.2"/>
    <row r="3544" s="2" customFormat="1" x14ac:dyDescent="0.2"/>
    <row r="3545" s="2" customFormat="1" x14ac:dyDescent="0.2"/>
    <row r="3546" s="2" customFormat="1" x14ac:dyDescent="0.2"/>
    <row r="3547" s="2" customFormat="1" x14ac:dyDescent="0.2"/>
    <row r="3548" s="2" customFormat="1" x14ac:dyDescent="0.2"/>
    <row r="3549" s="2" customFormat="1" x14ac:dyDescent="0.2"/>
    <row r="3550" s="2" customFormat="1" x14ac:dyDescent="0.2"/>
    <row r="3551" s="2" customFormat="1" x14ac:dyDescent="0.2"/>
    <row r="3552" s="2" customFormat="1" x14ac:dyDescent="0.2"/>
    <row r="3553" s="2" customFormat="1" x14ac:dyDescent="0.2"/>
    <row r="3554" s="2" customFormat="1" x14ac:dyDescent="0.2"/>
    <row r="3555" s="2" customFormat="1" x14ac:dyDescent="0.2"/>
    <row r="3556" s="2" customFormat="1" x14ac:dyDescent="0.2"/>
    <row r="3557" s="2" customFormat="1" x14ac:dyDescent="0.2"/>
    <row r="3558" s="2" customFormat="1" x14ac:dyDescent="0.2"/>
    <row r="3559" s="2" customFormat="1" x14ac:dyDescent="0.2"/>
    <row r="3560" s="2" customFormat="1" x14ac:dyDescent="0.2"/>
    <row r="3561" s="2" customFormat="1" x14ac:dyDescent="0.2"/>
    <row r="3562" s="2" customFormat="1" x14ac:dyDescent="0.2"/>
    <row r="3563" s="2" customFormat="1" x14ac:dyDescent="0.2"/>
    <row r="3564" s="2" customFormat="1" x14ac:dyDescent="0.2"/>
    <row r="3565" s="2" customFormat="1" x14ac:dyDescent="0.2"/>
    <row r="3566" s="2" customFormat="1" x14ac:dyDescent="0.2"/>
    <row r="3567" s="2" customFormat="1" x14ac:dyDescent="0.2"/>
    <row r="3568" s="2" customFormat="1" x14ac:dyDescent="0.2"/>
    <row r="3569" s="2" customFormat="1" x14ac:dyDescent="0.2"/>
    <row r="3570" s="2" customFormat="1" x14ac:dyDescent="0.2"/>
    <row r="3571" s="2" customFormat="1" x14ac:dyDescent="0.2"/>
    <row r="3572" s="2" customFormat="1" x14ac:dyDescent="0.2"/>
    <row r="3573" s="2" customFormat="1" x14ac:dyDescent="0.2"/>
    <row r="3574" s="2" customFormat="1" x14ac:dyDescent="0.2"/>
    <row r="3575" s="2" customFormat="1" x14ac:dyDescent="0.2"/>
    <row r="3576" s="2" customFormat="1" x14ac:dyDescent="0.2"/>
    <row r="3577" s="2" customFormat="1" x14ac:dyDescent="0.2"/>
    <row r="3578" s="2" customFormat="1" x14ac:dyDescent="0.2"/>
    <row r="3579" s="2" customFormat="1" x14ac:dyDescent="0.2"/>
    <row r="3580" s="2" customFormat="1" x14ac:dyDescent="0.2"/>
    <row r="3581" s="2" customFormat="1" x14ac:dyDescent="0.2"/>
    <row r="3582" s="2" customFormat="1" x14ac:dyDescent="0.2"/>
    <row r="3583" s="2" customFormat="1" x14ac:dyDescent="0.2"/>
    <row r="3584" s="2" customFormat="1" x14ac:dyDescent="0.2"/>
    <row r="3585" s="2" customFormat="1" x14ac:dyDescent="0.2"/>
    <row r="3586" s="2" customFormat="1" x14ac:dyDescent="0.2"/>
    <row r="3587" s="2" customFormat="1" x14ac:dyDescent="0.2"/>
    <row r="3588" s="2" customFormat="1" x14ac:dyDescent="0.2"/>
    <row r="3589" s="2" customFormat="1" x14ac:dyDescent="0.2"/>
    <row r="3590" s="2" customFormat="1" x14ac:dyDescent="0.2"/>
    <row r="3591" s="2" customFormat="1" x14ac:dyDescent="0.2"/>
    <row r="3592" s="2" customFormat="1" x14ac:dyDescent="0.2"/>
    <row r="3593" s="2" customFormat="1" x14ac:dyDescent="0.2"/>
    <row r="3594" s="2" customFormat="1" x14ac:dyDescent="0.2"/>
    <row r="3595" s="2" customFormat="1" x14ac:dyDescent="0.2"/>
    <row r="3596" s="2" customFormat="1" x14ac:dyDescent="0.2"/>
    <row r="3597" s="2" customFormat="1" x14ac:dyDescent="0.2"/>
    <row r="3598" s="2" customFormat="1" x14ac:dyDescent="0.2"/>
    <row r="3599" s="2" customFormat="1" x14ac:dyDescent="0.2"/>
    <row r="3600" s="2" customFormat="1" x14ac:dyDescent="0.2"/>
    <row r="3601" s="2" customFormat="1" x14ac:dyDescent="0.2"/>
    <row r="3602" s="2" customFormat="1" x14ac:dyDescent="0.2"/>
    <row r="3603" s="2" customFormat="1" x14ac:dyDescent="0.2"/>
    <row r="3604" s="2" customFormat="1" x14ac:dyDescent="0.2"/>
    <row r="3605" s="2" customFormat="1" x14ac:dyDescent="0.2"/>
    <row r="3606" s="2" customFormat="1" x14ac:dyDescent="0.2"/>
    <row r="3607" s="2" customFormat="1" x14ac:dyDescent="0.2"/>
    <row r="3608" s="2" customFormat="1" x14ac:dyDescent="0.2"/>
    <row r="3609" s="2" customFormat="1" x14ac:dyDescent="0.2"/>
    <row r="3610" s="2" customFormat="1" x14ac:dyDescent="0.2"/>
    <row r="3611" s="2" customFormat="1" x14ac:dyDescent="0.2"/>
    <row r="3612" s="2" customFormat="1" x14ac:dyDescent="0.2"/>
    <row r="3613" s="2" customFormat="1" x14ac:dyDescent="0.2"/>
    <row r="3614" s="2" customFormat="1" x14ac:dyDescent="0.2"/>
    <row r="3615" s="2" customFormat="1" x14ac:dyDescent="0.2"/>
    <row r="3616" s="2" customFormat="1" x14ac:dyDescent="0.2"/>
    <row r="3617" s="2" customFormat="1" x14ac:dyDescent="0.2"/>
    <row r="3618" s="2" customFormat="1" x14ac:dyDescent="0.2"/>
    <row r="3619" s="2" customFormat="1" x14ac:dyDescent="0.2"/>
    <row r="3620" s="2" customFormat="1" x14ac:dyDescent="0.2"/>
    <row r="3621" s="2" customFormat="1" x14ac:dyDescent="0.2"/>
    <row r="3622" s="2" customFormat="1" x14ac:dyDescent="0.2"/>
    <row r="3623" s="2" customFormat="1" x14ac:dyDescent="0.2"/>
    <row r="3624" s="2" customFormat="1" x14ac:dyDescent="0.2"/>
    <row r="3625" s="2" customFormat="1" x14ac:dyDescent="0.2"/>
    <row r="3626" s="2" customFormat="1" x14ac:dyDescent="0.2"/>
    <row r="3627" s="2" customFormat="1" x14ac:dyDescent="0.2"/>
    <row r="3628" s="2" customFormat="1" x14ac:dyDescent="0.2"/>
    <row r="3629" s="2" customFormat="1" x14ac:dyDescent="0.2"/>
    <row r="3630" s="2" customFormat="1" x14ac:dyDescent="0.2"/>
    <row r="3631" s="2" customFormat="1" x14ac:dyDescent="0.2"/>
    <row r="3632" s="2" customFormat="1" x14ac:dyDescent="0.2"/>
    <row r="3633" s="2" customFormat="1" x14ac:dyDescent="0.2"/>
    <row r="3634" s="2" customFormat="1" x14ac:dyDescent="0.2"/>
    <row r="3635" s="2" customFormat="1" x14ac:dyDescent="0.2"/>
    <row r="3636" s="2" customFormat="1" x14ac:dyDescent="0.2"/>
    <row r="3637" s="2" customFormat="1" x14ac:dyDescent="0.2"/>
    <row r="3638" s="2" customFormat="1" x14ac:dyDescent="0.2"/>
    <row r="3639" s="2" customFormat="1" x14ac:dyDescent="0.2"/>
    <row r="3640" s="2" customFormat="1" x14ac:dyDescent="0.2"/>
    <row r="3641" s="2" customFormat="1" x14ac:dyDescent="0.2"/>
    <row r="3642" s="2" customFormat="1" x14ac:dyDescent="0.2"/>
    <row r="3643" s="2" customFormat="1" x14ac:dyDescent="0.2"/>
    <row r="3644" s="2" customFormat="1" x14ac:dyDescent="0.2"/>
    <row r="3645" s="2" customFormat="1" x14ac:dyDescent="0.2"/>
    <row r="3646" s="2" customFormat="1" x14ac:dyDescent="0.2"/>
    <row r="3647" s="2" customFormat="1" x14ac:dyDescent="0.2"/>
    <row r="3648" s="2" customFormat="1" x14ac:dyDescent="0.2"/>
    <row r="3649" s="2" customFormat="1" x14ac:dyDescent="0.2"/>
    <row r="3650" s="2" customFormat="1" x14ac:dyDescent="0.2"/>
    <row r="3651" s="2" customFormat="1" x14ac:dyDescent="0.2"/>
    <row r="3652" s="2" customFormat="1" x14ac:dyDescent="0.2"/>
    <row r="3653" s="2" customFormat="1" x14ac:dyDescent="0.2"/>
    <row r="3654" s="2" customFormat="1" x14ac:dyDescent="0.2"/>
    <row r="3655" s="2" customFormat="1" x14ac:dyDescent="0.2"/>
    <row r="3656" s="2" customFormat="1" x14ac:dyDescent="0.2"/>
    <row r="3657" s="2" customFormat="1" x14ac:dyDescent="0.2"/>
    <row r="3658" s="2" customFormat="1" x14ac:dyDescent="0.2"/>
    <row r="3659" s="2" customFormat="1" x14ac:dyDescent="0.2"/>
    <row r="3660" s="2" customFormat="1" x14ac:dyDescent="0.2"/>
    <row r="3661" s="2" customFormat="1" x14ac:dyDescent="0.2"/>
    <row r="3662" s="2" customFormat="1" x14ac:dyDescent="0.2"/>
    <row r="3663" s="2" customFormat="1" x14ac:dyDescent="0.2"/>
    <row r="3664" s="2" customFormat="1" x14ac:dyDescent="0.2"/>
    <row r="3665" s="2" customFormat="1" x14ac:dyDescent="0.2"/>
    <row r="3666" s="2" customFormat="1" x14ac:dyDescent="0.2"/>
    <row r="3667" s="2" customFormat="1" x14ac:dyDescent="0.2"/>
    <row r="3668" s="2" customFormat="1" x14ac:dyDescent="0.2"/>
    <row r="3669" s="2" customFormat="1" x14ac:dyDescent="0.2"/>
    <row r="3670" s="2" customFormat="1" x14ac:dyDescent="0.2"/>
    <row r="3671" s="2" customFormat="1" x14ac:dyDescent="0.2"/>
    <row r="3672" s="2" customFormat="1" x14ac:dyDescent="0.2"/>
    <row r="3673" s="2" customFormat="1" x14ac:dyDescent="0.2"/>
    <row r="3674" s="2" customFormat="1" x14ac:dyDescent="0.2"/>
    <row r="3675" s="2" customFormat="1" x14ac:dyDescent="0.2"/>
    <row r="3676" s="2" customFormat="1" x14ac:dyDescent="0.2"/>
    <row r="3677" s="2" customFormat="1" x14ac:dyDescent="0.2"/>
    <row r="3678" s="2" customFormat="1" x14ac:dyDescent="0.2"/>
    <row r="3679" s="2" customFormat="1" x14ac:dyDescent="0.2"/>
    <row r="3680" s="2" customFormat="1" x14ac:dyDescent="0.2"/>
    <row r="3681" s="2" customFormat="1" x14ac:dyDescent="0.2"/>
    <row r="3682" s="2" customFormat="1" x14ac:dyDescent="0.2"/>
    <row r="3683" s="2" customFormat="1" x14ac:dyDescent="0.2"/>
    <row r="3684" s="2" customFormat="1" x14ac:dyDescent="0.2"/>
    <row r="3685" s="2" customFormat="1" x14ac:dyDescent="0.2"/>
    <row r="3686" s="2" customFormat="1" x14ac:dyDescent="0.2"/>
    <row r="3687" s="2" customFormat="1" x14ac:dyDescent="0.2"/>
    <row r="3688" s="2" customFormat="1" x14ac:dyDescent="0.2"/>
    <row r="3689" s="2" customFormat="1" x14ac:dyDescent="0.2"/>
    <row r="3690" s="2" customFormat="1" x14ac:dyDescent="0.2"/>
    <row r="3691" s="2" customFormat="1" x14ac:dyDescent="0.2"/>
    <row r="3692" s="2" customFormat="1" x14ac:dyDescent="0.2"/>
    <row r="3693" s="2" customFormat="1" x14ac:dyDescent="0.2"/>
    <row r="3694" s="2" customFormat="1" x14ac:dyDescent="0.2"/>
    <row r="3695" s="2" customFormat="1" x14ac:dyDescent="0.2"/>
    <row r="3696" s="2" customFormat="1" x14ac:dyDescent="0.2"/>
    <row r="3697" s="2" customFormat="1" x14ac:dyDescent="0.2"/>
    <row r="3698" s="2" customFormat="1" x14ac:dyDescent="0.2"/>
    <row r="3699" s="2" customFormat="1" x14ac:dyDescent="0.2"/>
    <row r="3700" s="2" customFormat="1" x14ac:dyDescent="0.2"/>
    <row r="3701" s="2" customFormat="1" x14ac:dyDescent="0.2"/>
    <row r="3702" s="2" customFormat="1" x14ac:dyDescent="0.2"/>
    <row r="3703" s="2" customFormat="1" x14ac:dyDescent="0.2"/>
    <row r="3704" s="2" customFormat="1" x14ac:dyDescent="0.2"/>
    <row r="3705" s="2" customFormat="1" x14ac:dyDescent="0.2"/>
    <row r="3706" s="2" customFormat="1" x14ac:dyDescent="0.2"/>
    <row r="3707" s="2" customFormat="1" x14ac:dyDescent="0.2"/>
    <row r="3708" s="2" customFormat="1" x14ac:dyDescent="0.2"/>
    <row r="3709" s="2" customFormat="1" x14ac:dyDescent="0.2"/>
    <row r="3710" s="2" customFormat="1" x14ac:dyDescent="0.2"/>
    <row r="3711" s="2" customFormat="1" x14ac:dyDescent="0.2"/>
    <row r="3712" s="2" customFormat="1" x14ac:dyDescent="0.2"/>
    <row r="3713" s="2" customFormat="1" x14ac:dyDescent="0.2"/>
    <row r="3714" s="2" customFormat="1" x14ac:dyDescent="0.2"/>
    <row r="3715" s="2" customFormat="1" x14ac:dyDescent="0.2"/>
    <row r="3716" s="2" customFormat="1" x14ac:dyDescent="0.2"/>
    <row r="3717" s="2" customFormat="1" x14ac:dyDescent="0.2"/>
    <row r="3718" s="2" customFormat="1" x14ac:dyDescent="0.2"/>
    <row r="3719" s="2" customFormat="1" x14ac:dyDescent="0.2"/>
    <row r="3720" s="2" customFormat="1" x14ac:dyDescent="0.2"/>
    <row r="3721" s="2" customFormat="1" x14ac:dyDescent="0.2"/>
    <row r="3722" s="2" customFormat="1" x14ac:dyDescent="0.2"/>
    <row r="3723" s="2" customFormat="1" x14ac:dyDescent="0.2"/>
    <row r="3724" s="2" customFormat="1" x14ac:dyDescent="0.2"/>
    <row r="3725" s="2" customFormat="1" x14ac:dyDescent="0.2"/>
    <row r="3726" s="2" customFormat="1" x14ac:dyDescent="0.2"/>
    <row r="3727" s="2" customFormat="1" x14ac:dyDescent="0.2"/>
    <row r="3728" s="2" customFormat="1" x14ac:dyDescent="0.2"/>
    <row r="3729" s="2" customFormat="1" x14ac:dyDescent="0.2"/>
    <row r="3730" s="2" customFormat="1" x14ac:dyDescent="0.2"/>
    <row r="3731" s="2" customFormat="1" x14ac:dyDescent="0.2"/>
    <row r="3732" s="2" customFormat="1" x14ac:dyDescent="0.2"/>
    <row r="3733" s="2" customFormat="1" x14ac:dyDescent="0.2"/>
    <row r="3734" s="2" customFormat="1" x14ac:dyDescent="0.2"/>
    <row r="3735" s="2" customFormat="1" x14ac:dyDescent="0.2"/>
    <row r="3736" s="2" customFormat="1" x14ac:dyDescent="0.2"/>
    <row r="3737" s="2" customFormat="1" x14ac:dyDescent="0.2"/>
    <row r="3738" s="2" customFormat="1" x14ac:dyDescent="0.2"/>
    <row r="3739" s="2" customFormat="1" x14ac:dyDescent="0.2"/>
    <row r="3740" s="2" customFormat="1" x14ac:dyDescent="0.2"/>
    <row r="3741" s="2" customFormat="1" x14ac:dyDescent="0.2"/>
    <row r="3742" s="2" customFormat="1" x14ac:dyDescent="0.2"/>
    <row r="3743" s="2" customFormat="1" x14ac:dyDescent="0.2"/>
    <row r="3744" s="2" customFormat="1" x14ac:dyDescent="0.2"/>
    <row r="3745" s="2" customFormat="1" x14ac:dyDescent="0.2"/>
    <row r="3746" s="2" customFormat="1" x14ac:dyDescent="0.2"/>
    <row r="3747" s="2" customFormat="1" x14ac:dyDescent="0.2"/>
    <row r="3748" s="2" customFormat="1" x14ac:dyDescent="0.2"/>
    <row r="3749" s="2" customFormat="1" x14ac:dyDescent="0.2"/>
    <row r="3750" s="2" customFormat="1" x14ac:dyDescent="0.2"/>
    <row r="3751" s="2" customFormat="1" x14ac:dyDescent="0.2"/>
    <row r="3752" s="2" customFormat="1" x14ac:dyDescent="0.2"/>
    <row r="3753" s="2" customFormat="1" x14ac:dyDescent="0.2"/>
    <row r="3754" s="2" customFormat="1" x14ac:dyDescent="0.2"/>
    <row r="3755" s="2" customFormat="1" x14ac:dyDescent="0.2"/>
    <row r="3756" s="2" customFormat="1" x14ac:dyDescent="0.2"/>
    <row r="3757" s="2" customFormat="1" x14ac:dyDescent="0.2"/>
    <row r="3758" s="2" customFormat="1" x14ac:dyDescent="0.2"/>
    <row r="3759" s="2" customFormat="1" x14ac:dyDescent="0.2"/>
    <row r="3760" s="2" customFormat="1" x14ac:dyDescent="0.2"/>
    <row r="3761" s="2" customFormat="1" x14ac:dyDescent="0.2"/>
    <row r="3762" s="2" customFormat="1" x14ac:dyDescent="0.2"/>
    <row r="3763" s="2" customFormat="1" x14ac:dyDescent="0.2"/>
    <row r="3764" s="2" customFormat="1" x14ac:dyDescent="0.2"/>
    <row r="3765" s="2" customFormat="1" x14ac:dyDescent="0.2"/>
    <row r="3766" s="2" customFormat="1" x14ac:dyDescent="0.2"/>
    <row r="3767" s="2" customFormat="1" x14ac:dyDescent="0.2"/>
    <row r="3768" s="2" customFormat="1" x14ac:dyDescent="0.2"/>
    <row r="3769" s="2" customFormat="1" x14ac:dyDescent="0.2"/>
    <row r="3770" s="2" customFormat="1" x14ac:dyDescent="0.2"/>
    <row r="3771" s="2" customFormat="1" x14ac:dyDescent="0.2"/>
    <row r="3772" s="2" customFormat="1" x14ac:dyDescent="0.2"/>
    <row r="3773" s="2" customFormat="1" x14ac:dyDescent="0.2"/>
    <row r="3774" s="2" customFormat="1" x14ac:dyDescent="0.2"/>
    <row r="3775" s="2" customFormat="1" x14ac:dyDescent="0.2"/>
    <row r="3776" s="2" customFormat="1" x14ac:dyDescent="0.2"/>
    <row r="3777" s="2" customFormat="1" x14ac:dyDescent="0.2"/>
    <row r="3778" s="2" customFormat="1" x14ac:dyDescent="0.2"/>
    <row r="3779" s="2" customFormat="1" x14ac:dyDescent="0.2"/>
    <row r="3780" s="2" customFormat="1" x14ac:dyDescent="0.2"/>
    <row r="3781" s="2" customFormat="1" x14ac:dyDescent="0.2"/>
    <row r="3782" s="2" customFormat="1" x14ac:dyDescent="0.2"/>
    <row r="3783" s="2" customFormat="1" x14ac:dyDescent="0.2"/>
    <row r="3784" s="2" customFormat="1" x14ac:dyDescent="0.2"/>
    <row r="3785" s="2" customFormat="1" x14ac:dyDescent="0.2"/>
    <row r="3786" s="2" customFormat="1" x14ac:dyDescent="0.2"/>
    <row r="3787" s="2" customFormat="1" x14ac:dyDescent="0.2"/>
    <row r="3788" s="2" customFormat="1" x14ac:dyDescent="0.2"/>
    <row r="3789" s="2" customFormat="1" x14ac:dyDescent="0.2"/>
    <row r="3790" s="2" customFormat="1" x14ac:dyDescent="0.2"/>
    <row r="3791" s="2" customFormat="1" x14ac:dyDescent="0.2"/>
    <row r="3792" s="2" customFormat="1" x14ac:dyDescent="0.2"/>
    <row r="3793" s="2" customFormat="1" x14ac:dyDescent="0.2"/>
    <row r="3794" s="2" customFormat="1" x14ac:dyDescent="0.2"/>
    <row r="3795" s="2" customFormat="1" x14ac:dyDescent="0.2"/>
    <row r="3796" s="2" customFormat="1" x14ac:dyDescent="0.2"/>
    <row r="3797" s="2" customFormat="1" x14ac:dyDescent="0.2"/>
    <row r="3798" s="2" customFormat="1" x14ac:dyDescent="0.2"/>
    <row r="3799" s="2" customFormat="1" x14ac:dyDescent="0.2"/>
    <row r="3800" s="2" customFormat="1" x14ac:dyDescent="0.2"/>
    <row r="3801" s="2" customFormat="1" x14ac:dyDescent="0.2"/>
    <row r="3802" s="2" customFormat="1" x14ac:dyDescent="0.2"/>
    <row r="3803" s="2" customFormat="1" x14ac:dyDescent="0.2"/>
    <row r="3804" s="2" customFormat="1" x14ac:dyDescent="0.2"/>
    <row r="3805" s="2" customFormat="1" x14ac:dyDescent="0.2"/>
    <row r="3806" s="2" customFormat="1" x14ac:dyDescent="0.2"/>
    <row r="3807" s="2" customFormat="1" x14ac:dyDescent="0.2"/>
    <row r="3808" s="2" customFormat="1" x14ac:dyDescent="0.2"/>
    <row r="3809" s="2" customFormat="1" x14ac:dyDescent="0.2"/>
    <row r="3810" s="2" customFormat="1" x14ac:dyDescent="0.2"/>
    <row r="3811" s="2" customFormat="1" x14ac:dyDescent="0.2"/>
    <row r="3812" s="2" customFormat="1" x14ac:dyDescent="0.2"/>
    <row r="3813" s="2" customFormat="1" x14ac:dyDescent="0.2"/>
    <row r="3814" s="2" customFormat="1" x14ac:dyDescent="0.2"/>
    <row r="3815" s="2" customFormat="1" x14ac:dyDescent="0.2"/>
    <row r="3816" s="2" customFormat="1" x14ac:dyDescent="0.2"/>
    <row r="3817" s="2" customFormat="1" x14ac:dyDescent="0.2"/>
    <row r="3818" s="2" customFormat="1" x14ac:dyDescent="0.2"/>
    <row r="3819" s="2" customFormat="1" x14ac:dyDescent="0.2"/>
    <row r="3820" s="2" customFormat="1" x14ac:dyDescent="0.2"/>
    <row r="3821" s="2" customFormat="1" x14ac:dyDescent="0.2"/>
    <row r="3822" s="2" customFormat="1" x14ac:dyDescent="0.2"/>
    <row r="3823" s="2" customFormat="1" x14ac:dyDescent="0.2"/>
    <row r="3824" s="2" customFormat="1" x14ac:dyDescent="0.2"/>
    <row r="3825" s="2" customFormat="1" x14ac:dyDescent="0.2"/>
    <row r="3826" s="2" customFormat="1" x14ac:dyDescent="0.2"/>
    <row r="3827" s="2" customFormat="1" x14ac:dyDescent="0.2"/>
    <row r="3828" s="2" customFormat="1" x14ac:dyDescent="0.2"/>
    <row r="3829" s="2" customFormat="1" x14ac:dyDescent="0.2"/>
    <row r="3830" s="2" customFormat="1" x14ac:dyDescent="0.2"/>
    <row r="3831" s="2" customFormat="1" x14ac:dyDescent="0.2"/>
    <row r="3832" s="2" customFormat="1" x14ac:dyDescent="0.2"/>
    <row r="3833" s="2" customFormat="1" x14ac:dyDescent="0.2"/>
    <row r="3834" s="2" customFormat="1" x14ac:dyDescent="0.2"/>
    <row r="3835" s="2" customFormat="1" x14ac:dyDescent="0.2"/>
    <row r="3836" s="2" customFormat="1" x14ac:dyDescent="0.2"/>
    <row r="3837" s="2" customFormat="1" x14ac:dyDescent="0.2"/>
    <row r="3838" s="2" customFormat="1" x14ac:dyDescent="0.2"/>
    <row r="3839" s="2" customFormat="1" x14ac:dyDescent="0.2"/>
    <row r="3840" s="2" customFormat="1" x14ac:dyDescent="0.2"/>
    <row r="3841" s="2" customFormat="1" x14ac:dyDescent="0.2"/>
    <row r="3842" s="2" customFormat="1" x14ac:dyDescent="0.2"/>
    <row r="3843" s="2" customFormat="1" x14ac:dyDescent="0.2"/>
    <row r="3844" s="2" customFormat="1" x14ac:dyDescent="0.2"/>
    <row r="3845" s="2" customFormat="1" x14ac:dyDescent="0.2"/>
    <row r="3846" s="2" customFormat="1" x14ac:dyDescent="0.2"/>
    <row r="3847" s="2" customFormat="1" x14ac:dyDescent="0.2"/>
    <row r="3848" s="2" customFormat="1" x14ac:dyDescent="0.2"/>
    <row r="3849" s="2" customFormat="1" x14ac:dyDescent="0.2"/>
    <row r="3850" s="2" customFormat="1" x14ac:dyDescent="0.2"/>
    <row r="3851" s="2" customFormat="1" x14ac:dyDescent="0.2"/>
    <row r="3852" s="2" customFormat="1" x14ac:dyDescent="0.2"/>
    <row r="3853" s="2" customFormat="1" x14ac:dyDescent="0.2"/>
    <row r="3854" s="2" customFormat="1" x14ac:dyDescent="0.2"/>
    <row r="3855" s="2" customFormat="1" x14ac:dyDescent="0.2"/>
    <row r="3856" s="2" customFormat="1" x14ac:dyDescent="0.2"/>
    <row r="3857" s="2" customFormat="1" x14ac:dyDescent="0.2"/>
    <row r="3858" s="2" customFormat="1" x14ac:dyDescent="0.2"/>
    <row r="3859" s="2" customFormat="1" x14ac:dyDescent="0.2"/>
    <row r="3860" s="2" customFormat="1" x14ac:dyDescent="0.2"/>
    <row r="3861" s="2" customFormat="1" x14ac:dyDescent="0.2"/>
    <row r="3862" s="2" customFormat="1" x14ac:dyDescent="0.2"/>
    <row r="3863" s="2" customFormat="1" x14ac:dyDescent="0.2"/>
    <row r="3864" s="2" customFormat="1" x14ac:dyDescent="0.2"/>
    <row r="3865" s="2" customFormat="1" x14ac:dyDescent="0.2"/>
    <row r="3866" s="2" customFormat="1" x14ac:dyDescent="0.2"/>
    <row r="3867" s="2" customFormat="1" x14ac:dyDescent="0.2"/>
    <row r="3868" s="2" customFormat="1" x14ac:dyDescent="0.2"/>
    <row r="3869" s="2" customFormat="1" x14ac:dyDescent="0.2"/>
    <row r="3870" s="2" customFormat="1" x14ac:dyDescent="0.2"/>
    <row r="3871" s="2" customFormat="1" x14ac:dyDescent="0.2"/>
    <row r="3872" s="2" customFormat="1" x14ac:dyDescent="0.2"/>
    <row r="3873" s="2" customFormat="1" x14ac:dyDescent="0.2"/>
    <row r="3874" s="2" customFormat="1" x14ac:dyDescent="0.2"/>
    <row r="3875" s="2" customFormat="1" x14ac:dyDescent="0.2"/>
    <row r="3876" s="2" customFormat="1" x14ac:dyDescent="0.2"/>
    <row r="3877" s="2" customFormat="1" x14ac:dyDescent="0.2"/>
    <row r="3878" s="2" customFormat="1" x14ac:dyDescent="0.2"/>
    <row r="3879" s="2" customFormat="1" x14ac:dyDescent="0.2"/>
    <row r="3880" s="2" customFormat="1" x14ac:dyDescent="0.2"/>
    <row r="3881" s="2" customFormat="1" x14ac:dyDescent="0.2"/>
    <row r="3882" s="2" customFormat="1" x14ac:dyDescent="0.2"/>
    <row r="3883" s="2" customFormat="1" x14ac:dyDescent="0.2"/>
    <row r="3884" s="2" customFormat="1" x14ac:dyDescent="0.2"/>
    <row r="3885" s="2" customFormat="1" x14ac:dyDescent="0.2"/>
    <row r="3886" s="2" customFormat="1" x14ac:dyDescent="0.2"/>
    <row r="3887" s="2" customFormat="1" x14ac:dyDescent="0.2"/>
    <row r="3888" s="2" customFormat="1" x14ac:dyDescent="0.2"/>
    <row r="3889" s="2" customFormat="1" x14ac:dyDescent="0.2"/>
    <row r="3890" s="2" customFormat="1" x14ac:dyDescent="0.2"/>
    <row r="3891" s="2" customFormat="1" x14ac:dyDescent="0.2"/>
    <row r="3892" s="2" customFormat="1" x14ac:dyDescent="0.2"/>
    <row r="3893" s="2" customFormat="1" x14ac:dyDescent="0.2"/>
    <row r="3894" s="2" customFormat="1" x14ac:dyDescent="0.2"/>
    <row r="3895" s="2" customFormat="1" x14ac:dyDescent="0.2"/>
    <row r="3896" s="2" customFormat="1" x14ac:dyDescent="0.2"/>
    <row r="3897" s="2" customFormat="1" x14ac:dyDescent="0.2"/>
    <row r="3898" s="2" customFormat="1" x14ac:dyDescent="0.2"/>
    <row r="3899" s="2" customFormat="1" x14ac:dyDescent="0.2"/>
    <row r="3900" s="2" customFormat="1" x14ac:dyDescent="0.2"/>
    <row r="3901" s="2" customFormat="1" x14ac:dyDescent="0.2"/>
    <row r="3902" s="2" customFormat="1" x14ac:dyDescent="0.2"/>
    <row r="3903" s="2" customFormat="1" x14ac:dyDescent="0.2"/>
    <row r="3904" s="2" customFormat="1" x14ac:dyDescent="0.2"/>
    <row r="3905" s="2" customFormat="1" x14ac:dyDescent="0.2"/>
    <row r="3906" s="2" customFormat="1" x14ac:dyDescent="0.2"/>
    <row r="3907" s="2" customFormat="1" x14ac:dyDescent="0.2"/>
    <row r="3908" s="2" customFormat="1" x14ac:dyDescent="0.2"/>
    <row r="3909" s="2" customFormat="1" x14ac:dyDescent="0.2"/>
    <row r="3910" s="2" customFormat="1" x14ac:dyDescent="0.2"/>
    <row r="3911" s="2" customFormat="1" x14ac:dyDescent="0.2"/>
    <row r="3912" s="2" customFormat="1" x14ac:dyDescent="0.2"/>
    <row r="3913" s="2" customFormat="1" x14ac:dyDescent="0.2"/>
    <row r="3914" s="2" customFormat="1" x14ac:dyDescent="0.2"/>
    <row r="3915" s="2" customFormat="1" x14ac:dyDescent="0.2"/>
    <row r="3916" s="2" customFormat="1" x14ac:dyDescent="0.2"/>
    <row r="3917" s="2" customFormat="1" x14ac:dyDescent="0.2"/>
    <row r="3918" s="2" customFormat="1" x14ac:dyDescent="0.2"/>
    <row r="3919" s="2" customFormat="1" x14ac:dyDescent="0.2"/>
    <row r="3920" s="2" customFormat="1" x14ac:dyDescent="0.2"/>
    <row r="3921" s="2" customFormat="1" x14ac:dyDescent="0.2"/>
    <row r="3922" s="2" customFormat="1" x14ac:dyDescent="0.2"/>
    <row r="3923" s="2" customFormat="1" x14ac:dyDescent="0.2"/>
    <row r="3924" s="2" customFormat="1" x14ac:dyDescent="0.2"/>
    <row r="3925" s="2" customFormat="1" x14ac:dyDescent="0.2"/>
    <row r="3926" s="2" customFormat="1" x14ac:dyDescent="0.2"/>
    <row r="3927" s="2" customFormat="1" x14ac:dyDescent="0.2"/>
    <row r="3928" s="2" customFormat="1" x14ac:dyDescent="0.2"/>
    <row r="3929" s="2" customFormat="1" x14ac:dyDescent="0.2"/>
    <row r="3930" s="2" customFormat="1" x14ac:dyDescent="0.2"/>
    <row r="3931" s="2" customFormat="1" x14ac:dyDescent="0.2"/>
    <row r="3932" s="2" customFormat="1" x14ac:dyDescent="0.2"/>
    <row r="3933" s="2" customFormat="1" x14ac:dyDescent="0.2"/>
    <row r="3934" s="2" customFormat="1" x14ac:dyDescent="0.2"/>
    <row r="3935" s="2" customFormat="1" x14ac:dyDescent="0.2"/>
    <row r="3936" s="2" customFormat="1" x14ac:dyDescent="0.2"/>
    <row r="3937" s="2" customFormat="1" x14ac:dyDescent="0.2"/>
    <row r="3938" s="2" customFormat="1" x14ac:dyDescent="0.2"/>
    <row r="3939" s="2" customFormat="1" x14ac:dyDescent="0.2"/>
    <row r="3940" s="2" customFormat="1" x14ac:dyDescent="0.2"/>
    <row r="3941" s="2" customFormat="1" x14ac:dyDescent="0.2"/>
    <row r="3942" s="2" customFormat="1" x14ac:dyDescent="0.2"/>
    <row r="3943" s="2" customFormat="1" x14ac:dyDescent="0.2"/>
    <row r="3944" s="2" customFormat="1" x14ac:dyDescent="0.2"/>
    <row r="3945" s="2" customFormat="1" x14ac:dyDescent="0.2"/>
    <row r="3946" s="2" customFormat="1" x14ac:dyDescent="0.2"/>
    <row r="3947" s="2" customFormat="1" x14ac:dyDescent="0.2"/>
    <row r="3948" s="2" customFormat="1" x14ac:dyDescent="0.2"/>
    <row r="3949" s="2" customFormat="1" x14ac:dyDescent="0.2"/>
    <row r="3950" s="2" customFormat="1" x14ac:dyDescent="0.2"/>
    <row r="3951" s="2" customFormat="1" x14ac:dyDescent="0.2"/>
    <row r="3952" s="2" customFormat="1" x14ac:dyDescent="0.2"/>
    <row r="3953" s="2" customFormat="1" x14ac:dyDescent="0.2"/>
    <row r="3954" s="2" customFormat="1" x14ac:dyDescent="0.2"/>
    <row r="3955" s="2" customFormat="1" x14ac:dyDescent="0.2"/>
    <row r="3956" s="2" customFormat="1" x14ac:dyDescent="0.2"/>
    <row r="3957" s="2" customFormat="1" x14ac:dyDescent="0.2"/>
    <row r="3958" s="2" customFormat="1" x14ac:dyDescent="0.2"/>
    <row r="3959" s="2" customFormat="1" x14ac:dyDescent="0.2"/>
    <row r="3960" s="2" customFormat="1" x14ac:dyDescent="0.2"/>
    <row r="3961" s="2" customFormat="1" x14ac:dyDescent="0.2"/>
    <row r="3962" s="2" customFormat="1" x14ac:dyDescent="0.2"/>
    <row r="3963" s="2" customFormat="1" x14ac:dyDescent="0.2"/>
    <row r="3964" s="2" customFormat="1" x14ac:dyDescent="0.2"/>
    <row r="3965" s="2" customFormat="1" x14ac:dyDescent="0.2"/>
    <row r="3966" s="2" customFormat="1" x14ac:dyDescent="0.2"/>
    <row r="3967" s="2" customFormat="1" x14ac:dyDescent="0.2"/>
    <row r="3968" s="2" customFormat="1" x14ac:dyDescent="0.2"/>
    <row r="3969" s="2" customFormat="1" x14ac:dyDescent="0.2"/>
    <row r="3970" s="2" customFormat="1" x14ac:dyDescent="0.2"/>
    <row r="3971" s="2" customFormat="1" x14ac:dyDescent="0.2"/>
    <row r="3972" s="2" customFormat="1" x14ac:dyDescent="0.2"/>
    <row r="3973" s="2" customFormat="1" x14ac:dyDescent="0.2"/>
    <row r="3974" s="2" customFormat="1" x14ac:dyDescent="0.2"/>
    <row r="3975" s="2" customFormat="1" x14ac:dyDescent="0.2"/>
    <row r="3976" s="2" customFormat="1" x14ac:dyDescent="0.2"/>
    <row r="3977" s="2" customFormat="1" x14ac:dyDescent="0.2"/>
    <row r="3978" s="2" customFormat="1" x14ac:dyDescent="0.2"/>
    <row r="3979" s="2" customFormat="1" x14ac:dyDescent="0.2"/>
    <row r="3980" s="2" customFormat="1" x14ac:dyDescent="0.2"/>
    <row r="3981" s="2" customFormat="1" x14ac:dyDescent="0.2"/>
    <row r="3982" s="2" customFormat="1" x14ac:dyDescent="0.2"/>
    <row r="3983" s="2" customFormat="1" x14ac:dyDescent="0.2"/>
    <row r="3984" s="2" customFormat="1" x14ac:dyDescent="0.2"/>
    <row r="3985" s="2" customFormat="1" x14ac:dyDescent="0.2"/>
    <row r="3986" s="2" customFormat="1" x14ac:dyDescent="0.2"/>
    <row r="3987" s="2" customFormat="1" x14ac:dyDescent="0.2"/>
    <row r="3988" s="2" customFormat="1" x14ac:dyDescent="0.2"/>
    <row r="3989" s="2" customFormat="1" x14ac:dyDescent="0.2"/>
    <row r="3990" s="2" customFormat="1" x14ac:dyDescent="0.2"/>
    <row r="3991" s="2" customFormat="1" x14ac:dyDescent="0.2"/>
    <row r="3992" s="2" customFormat="1" x14ac:dyDescent="0.2"/>
    <row r="3993" s="2" customFormat="1" x14ac:dyDescent="0.2"/>
    <row r="3994" s="2" customFormat="1" x14ac:dyDescent="0.2"/>
    <row r="3995" s="2" customFormat="1" x14ac:dyDescent="0.2"/>
    <row r="3996" s="2" customFormat="1" x14ac:dyDescent="0.2"/>
    <row r="3997" s="2" customFormat="1" x14ac:dyDescent="0.2"/>
    <row r="3998" s="2" customFormat="1" x14ac:dyDescent="0.2"/>
    <row r="3999" s="2" customFormat="1" x14ac:dyDescent="0.2"/>
    <row r="4000" s="2" customFormat="1" x14ac:dyDescent="0.2"/>
    <row r="4001" s="2" customFormat="1" x14ac:dyDescent="0.2"/>
    <row r="4002" s="2" customFormat="1" x14ac:dyDescent="0.2"/>
    <row r="4003" s="2" customFormat="1" x14ac:dyDescent="0.2"/>
    <row r="4004" s="2" customFormat="1" x14ac:dyDescent="0.2"/>
    <row r="4005" s="2" customFormat="1" x14ac:dyDescent="0.2"/>
    <row r="4006" s="2" customFormat="1" x14ac:dyDescent="0.2"/>
    <row r="4007" s="2" customFormat="1" x14ac:dyDescent="0.2"/>
    <row r="4008" s="2" customFormat="1" x14ac:dyDescent="0.2"/>
    <row r="4009" s="2" customFormat="1" x14ac:dyDescent="0.2"/>
    <row r="4010" s="2" customFormat="1" x14ac:dyDescent="0.2"/>
    <row r="4011" s="2" customFormat="1" x14ac:dyDescent="0.2"/>
    <row r="4012" s="2" customFormat="1" x14ac:dyDescent="0.2"/>
    <row r="4013" s="2" customFormat="1" x14ac:dyDescent="0.2"/>
    <row r="4014" s="2" customFormat="1" x14ac:dyDescent="0.2"/>
    <row r="4015" s="2" customFormat="1" x14ac:dyDescent="0.2"/>
    <row r="4016" s="2" customFormat="1" x14ac:dyDescent="0.2"/>
    <row r="4017" s="2" customFormat="1" x14ac:dyDescent="0.2"/>
    <row r="4018" s="2" customFormat="1" x14ac:dyDescent="0.2"/>
    <row r="4019" s="2" customFormat="1" x14ac:dyDescent="0.2"/>
    <row r="4020" s="2" customFormat="1" x14ac:dyDescent="0.2"/>
    <row r="4021" s="2" customFormat="1" x14ac:dyDescent="0.2"/>
    <row r="4022" s="2" customFormat="1" x14ac:dyDescent="0.2"/>
    <row r="4023" s="2" customFormat="1" x14ac:dyDescent="0.2"/>
    <row r="4024" s="2" customFormat="1" x14ac:dyDescent="0.2"/>
    <row r="4025" s="2" customFormat="1" x14ac:dyDescent="0.2"/>
    <row r="4026" s="2" customFormat="1" x14ac:dyDescent="0.2"/>
    <row r="4027" s="2" customFormat="1" x14ac:dyDescent="0.2"/>
    <row r="4028" s="2" customFormat="1" x14ac:dyDescent="0.2"/>
    <row r="4029" s="2" customFormat="1" x14ac:dyDescent="0.2"/>
    <row r="4030" s="2" customFormat="1" x14ac:dyDescent="0.2"/>
    <row r="4031" s="2" customFormat="1" x14ac:dyDescent="0.2"/>
    <row r="4032" s="2" customFormat="1" x14ac:dyDescent="0.2"/>
    <row r="4033" s="2" customFormat="1" x14ac:dyDescent="0.2"/>
    <row r="4034" s="2" customFormat="1" x14ac:dyDescent="0.2"/>
    <row r="4035" s="2" customFormat="1" x14ac:dyDescent="0.2"/>
    <row r="4036" s="2" customFormat="1" x14ac:dyDescent="0.2"/>
    <row r="4037" s="2" customFormat="1" x14ac:dyDescent="0.2"/>
    <row r="4038" s="2" customFormat="1" x14ac:dyDescent="0.2"/>
    <row r="4039" s="2" customFormat="1" x14ac:dyDescent="0.2"/>
    <row r="4040" s="2" customFormat="1" x14ac:dyDescent="0.2"/>
    <row r="4041" s="2" customFormat="1" x14ac:dyDescent="0.2"/>
    <row r="4042" s="2" customFormat="1" x14ac:dyDescent="0.2"/>
    <row r="4043" s="2" customFormat="1" x14ac:dyDescent="0.2"/>
    <row r="4044" s="2" customFormat="1" x14ac:dyDescent="0.2"/>
    <row r="4045" s="2" customFormat="1" x14ac:dyDescent="0.2"/>
    <row r="4046" s="2" customFormat="1" x14ac:dyDescent="0.2"/>
    <row r="4047" s="2" customFormat="1" x14ac:dyDescent="0.2"/>
    <row r="4048" s="2" customFormat="1" x14ac:dyDescent="0.2"/>
    <row r="4049" s="2" customFormat="1" x14ac:dyDescent="0.2"/>
    <row r="4050" s="2" customFormat="1" x14ac:dyDescent="0.2"/>
    <row r="4051" s="2" customFormat="1" x14ac:dyDescent="0.2"/>
    <row r="4052" s="2" customFormat="1" x14ac:dyDescent="0.2"/>
    <row r="4053" s="2" customFormat="1" x14ac:dyDescent="0.2"/>
    <row r="4054" s="2" customFormat="1" x14ac:dyDescent="0.2"/>
    <row r="4055" s="2" customFormat="1" x14ac:dyDescent="0.2"/>
    <row r="4056" s="2" customFormat="1" x14ac:dyDescent="0.2"/>
    <row r="4057" s="2" customFormat="1" x14ac:dyDescent="0.2"/>
    <row r="4058" s="2" customFormat="1" x14ac:dyDescent="0.2"/>
    <row r="4059" s="2" customFormat="1" x14ac:dyDescent="0.2"/>
    <row r="4060" s="2" customFormat="1" x14ac:dyDescent="0.2"/>
    <row r="4061" s="2" customFormat="1" x14ac:dyDescent="0.2"/>
    <row r="4062" s="2" customFormat="1" x14ac:dyDescent="0.2"/>
    <row r="4063" s="2" customFormat="1" x14ac:dyDescent="0.2"/>
    <row r="4064" s="2" customFormat="1" x14ac:dyDescent="0.2"/>
    <row r="4065" s="2" customFormat="1" x14ac:dyDescent="0.2"/>
    <row r="4066" s="2" customFormat="1" x14ac:dyDescent="0.2"/>
    <row r="4067" s="2" customFormat="1" x14ac:dyDescent="0.2"/>
    <row r="4068" s="2" customFormat="1" x14ac:dyDescent="0.2"/>
    <row r="4069" s="2" customFormat="1" x14ac:dyDescent="0.2"/>
    <row r="4070" s="2" customFormat="1" x14ac:dyDescent="0.2"/>
    <row r="4071" s="2" customFormat="1" x14ac:dyDescent="0.2"/>
    <row r="4072" s="2" customFormat="1" x14ac:dyDescent="0.2"/>
    <row r="4073" s="2" customFormat="1" x14ac:dyDescent="0.2"/>
    <row r="4074" s="2" customFormat="1" x14ac:dyDescent="0.2"/>
    <row r="4075" s="2" customFormat="1" x14ac:dyDescent="0.2"/>
    <row r="4076" s="2" customFormat="1" x14ac:dyDescent="0.2"/>
    <row r="4077" s="2" customFormat="1" x14ac:dyDescent="0.2"/>
    <row r="4078" s="2" customFormat="1" x14ac:dyDescent="0.2"/>
    <row r="4079" s="2" customFormat="1" x14ac:dyDescent="0.2"/>
    <row r="4080" s="2" customFormat="1" x14ac:dyDescent="0.2"/>
    <row r="4081" s="2" customFormat="1" x14ac:dyDescent="0.2"/>
    <row r="4082" s="2" customFormat="1" x14ac:dyDescent="0.2"/>
    <row r="4083" s="2" customFormat="1" x14ac:dyDescent="0.2"/>
    <row r="4084" s="2" customFormat="1" x14ac:dyDescent="0.2"/>
    <row r="4085" s="2" customFormat="1" x14ac:dyDescent="0.2"/>
    <row r="4086" s="2" customFormat="1" x14ac:dyDescent="0.2"/>
    <row r="4087" s="2" customFormat="1" x14ac:dyDescent="0.2"/>
    <row r="4088" s="2" customFormat="1" x14ac:dyDescent="0.2"/>
    <row r="4089" s="2" customFormat="1" x14ac:dyDescent="0.2"/>
    <row r="4090" s="2" customFormat="1" x14ac:dyDescent="0.2"/>
    <row r="4091" s="2" customFormat="1" x14ac:dyDescent="0.2"/>
    <row r="4092" s="2" customFormat="1" x14ac:dyDescent="0.2"/>
    <row r="4093" s="2" customFormat="1" x14ac:dyDescent="0.2"/>
    <row r="4094" s="2" customFormat="1" x14ac:dyDescent="0.2"/>
    <row r="4095" s="2" customFormat="1" x14ac:dyDescent="0.2"/>
    <row r="4096" s="2" customFormat="1" x14ac:dyDescent="0.2"/>
    <row r="4097" s="2" customFormat="1" x14ac:dyDescent="0.2"/>
    <row r="4098" s="2" customFormat="1" x14ac:dyDescent="0.2"/>
    <row r="4099" s="2" customFormat="1" x14ac:dyDescent="0.2"/>
    <row r="4100" s="2" customFormat="1" x14ac:dyDescent="0.2"/>
    <row r="4101" s="2" customFormat="1" x14ac:dyDescent="0.2"/>
    <row r="4102" s="2" customFormat="1" x14ac:dyDescent="0.2"/>
    <row r="4103" s="2" customFormat="1" x14ac:dyDescent="0.2"/>
    <row r="4104" s="2" customFormat="1" x14ac:dyDescent="0.2"/>
    <row r="4105" s="2" customFormat="1" x14ac:dyDescent="0.2"/>
    <row r="4106" s="2" customFormat="1" x14ac:dyDescent="0.2"/>
    <row r="4107" s="2" customFormat="1" x14ac:dyDescent="0.2"/>
    <row r="4108" s="2" customFormat="1" x14ac:dyDescent="0.2"/>
    <row r="4109" s="2" customFormat="1" x14ac:dyDescent="0.2"/>
    <row r="4110" s="2" customFormat="1" x14ac:dyDescent="0.2"/>
    <row r="4111" s="2" customFormat="1" x14ac:dyDescent="0.2"/>
    <row r="4112" s="2" customFormat="1" x14ac:dyDescent="0.2"/>
    <row r="4113" s="2" customFormat="1" x14ac:dyDescent="0.2"/>
    <row r="4114" s="2" customFormat="1" x14ac:dyDescent="0.2"/>
    <row r="4115" s="2" customFormat="1" x14ac:dyDescent="0.2"/>
    <row r="4116" s="2" customFormat="1" x14ac:dyDescent="0.2"/>
    <row r="4117" s="2" customFormat="1" x14ac:dyDescent="0.2"/>
    <row r="4118" s="2" customFormat="1" x14ac:dyDescent="0.2"/>
    <row r="4119" s="2" customFormat="1" x14ac:dyDescent="0.2"/>
    <row r="4120" s="2" customFormat="1" x14ac:dyDescent="0.2"/>
    <row r="4121" s="2" customFormat="1" x14ac:dyDescent="0.2"/>
    <row r="4122" s="2" customFormat="1" x14ac:dyDescent="0.2"/>
    <row r="4123" s="2" customFormat="1" x14ac:dyDescent="0.2"/>
    <row r="4124" s="2" customFormat="1" x14ac:dyDescent="0.2"/>
    <row r="4125" s="2" customFormat="1" x14ac:dyDescent="0.2"/>
    <row r="4126" s="2" customFormat="1" x14ac:dyDescent="0.2"/>
    <row r="4127" s="2" customFormat="1" x14ac:dyDescent="0.2"/>
    <row r="4128" s="2" customFormat="1" x14ac:dyDescent="0.2"/>
    <row r="4129" s="2" customFormat="1" x14ac:dyDescent="0.2"/>
    <row r="4130" s="2" customFormat="1" x14ac:dyDescent="0.2"/>
    <row r="4131" s="2" customFormat="1" x14ac:dyDescent="0.2"/>
    <row r="4132" s="2" customFormat="1" x14ac:dyDescent="0.2"/>
    <row r="4133" s="2" customFormat="1" x14ac:dyDescent="0.2"/>
    <row r="4134" s="2" customFormat="1" x14ac:dyDescent="0.2"/>
    <row r="4135" s="2" customFormat="1" x14ac:dyDescent="0.2"/>
    <row r="4136" s="2" customFormat="1" x14ac:dyDescent="0.2"/>
    <row r="4137" s="2" customFormat="1" x14ac:dyDescent="0.2"/>
    <row r="4138" s="2" customFormat="1" x14ac:dyDescent="0.2"/>
    <row r="4139" s="2" customFormat="1" x14ac:dyDescent="0.2"/>
    <row r="4140" s="2" customFormat="1" x14ac:dyDescent="0.2"/>
    <row r="4141" s="2" customFormat="1" x14ac:dyDescent="0.2"/>
    <row r="4142" s="2" customFormat="1" x14ac:dyDescent="0.2"/>
    <row r="4143" s="2" customFormat="1" x14ac:dyDescent="0.2"/>
    <row r="4144" s="2" customFormat="1" x14ac:dyDescent="0.2"/>
    <row r="4145" s="2" customFormat="1" x14ac:dyDescent="0.2"/>
    <row r="4146" s="2" customFormat="1" x14ac:dyDescent="0.2"/>
    <row r="4147" s="2" customFormat="1" x14ac:dyDescent="0.2"/>
    <row r="4148" s="2" customFormat="1" x14ac:dyDescent="0.2"/>
    <row r="4149" s="2" customFormat="1" x14ac:dyDescent="0.2"/>
    <row r="4150" s="2" customFormat="1" x14ac:dyDescent="0.2"/>
    <row r="4151" s="2" customFormat="1" x14ac:dyDescent="0.2"/>
    <row r="4152" s="2" customFormat="1" x14ac:dyDescent="0.2"/>
    <row r="4153" s="2" customFormat="1" x14ac:dyDescent="0.2"/>
    <row r="4154" s="2" customFormat="1" x14ac:dyDescent="0.2"/>
    <row r="4155" s="2" customFormat="1" x14ac:dyDescent="0.2"/>
    <row r="4156" s="2" customFormat="1" x14ac:dyDescent="0.2"/>
    <row r="4157" s="2" customFormat="1" x14ac:dyDescent="0.2"/>
    <row r="4158" s="2" customFormat="1" x14ac:dyDescent="0.2"/>
    <row r="4159" s="2" customFormat="1" x14ac:dyDescent="0.2"/>
    <row r="4160" s="2" customFormat="1" x14ac:dyDescent="0.2"/>
    <row r="4161" s="2" customFormat="1" x14ac:dyDescent="0.2"/>
    <row r="4162" s="2" customFormat="1" x14ac:dyDescent="0.2"/>
    <row r="4163" s="2" customFormat="1" x14ac:dyDescent="0.2"/>
    <row r="4164" s="2" customFormat="1" x14ac:dyDescent="0.2"/>
    <row r="4165" s="2" customFormat="1" x14ac:dyDescent="0.2"/>
    <row r="4166" s="2" customFormat="1" x14ac:dyDescent="0.2"/>
    <row r="4167" s="2" customFormat="1" x14ac:dyDescent="0.2"/>
    <row r="4168" s="2" customFormat="1" x14ac:dyDescent="0.2"/>
    <row r="4169" s="2" customFormat="1" x14ac:dyDescent="0.2"/>
    <row r="4170" s="2" customFormat="1" x14ac:dyDescent="0.2"/>
    <row r="4171" s="2" customFormat="1" x14ac:dyDescent="0.2"/>
    <row r="4172" s="2" customFormat="1" x14ac:dyDescent="0.2"/>
    <row r="4173" s="2" customFormat="1" x14ac:dyDescent="0.2"/>
    <row r="4174" s="2" customFormat="1" x14ac:dyDescent="0.2"/>
    <row r="4175" s="2" customFormat="1" x14ac:dyDescent="0.2"/>
    <row r="4176" s="2" customFormat="1" x14ac:dyDescent="0.2"/>
    <row r="4177" s="2" customFormat="1" x14ac:dyDescent="0.2"/>
    <row r="4178" s="2" customFormat="1" x14ac:dyDescent="0.2"/>
    <row r="4179" s="2" customFormat="1" x14ac:dyDescent="0.2"/>
    <row r="4180" s="2" customFormat="1" x14ac:dyDescent="0.2"/>
    <row r="4181" s="2" customFormat="1" x14ac:dyDescent="0.2"/>
    <row r="4182" s="2" customFormat="1" x14ac:dyDescent="0.2"/>
    <row r="4183" s="2" customFormat="1" x14ac:dyDescent="0.2"/>
    <row r="4184" s="2" customFormat="1" x14ac:dyDescent="0.2"/>
    <row r="4185" s="2" customFormat="1" x14ac:dyDescent="0.2"/>
    <row r="4186" s="2" customFormat="1" x14ac:dyDescent="0.2"/>
    <row r="4187" s="2" customFormat="1" x14ac:dyDescent="0.2"/>
    <row r="4188" s="2" customFormat="1" x14ac:dyDescent="0.2"/>
    <row r="4189" s="2" customFormat="1" x14ac:dyDescent="0.2"/>
    <row r="4190" s="2" customFormat="1" x14ac:dyDescent="0.2"/>
    <row r="4191" s="2" customFormat="1" x14ac:dyDescent="0.2"/>
    <row r="4192" s="2" customFormat="1" x14ac:dyDescent="0.2"/>
    <row r="4193" s="2" customFormat="1" x14ac:dyDescent="0.2"/>
    <row r="4194" s="2" customFormat="1" x14ac:dyDescent="0.2"/>
    <row r="4195" s="2" customFormat="1" x14ac:dyDescent="0.2"/>
    <row r="4196" s="2" customFormat="1" x14ac:dyDescent="0.2"/>
    <row r="4197" s="2" customFormat="1" x14ac:dyDescent="0.2"/>
    <row r="4198" s="2" customFormat="1" x14ac:dyDescent="0.2"/>
    <row r="4199" s="2" customFormat="1" x14ac:dyDescent="0.2"/>
    <row r="4200" s="2" customFormat="1" x14ac:dyDescent="0.2"/>
    <row r="4201" s="2" customFormat="1" x14ac:dyDescent="0.2"/>
    <row r="4202" s="2" customFormat="1" x14ac:dyDescent="0.2"/>
    <row r="4203" s="2" customFormat="1" x14ac:dyDescent="0.2"/>
    <row r="4204" s="2" customFormat="1" x14ac:dyDescent="0.2"/>
    <row r="4205" s="2" customFormat="1" x14ac:dyDescent="0.2"/>
    <row r="4206" s="2" customFormat="1" x14ac:dyDescent="0.2"/>
    <row r="4207" s="2" customFormat="1" x14ac:dyDescent="0.2"/>
    <row r="4208" s="2" customFormat="1" x14ac:dyDescent="0.2"/>
    <row r="4209" s="2" customFormat="1" x14ac:dyDescent="0.2"/>
    <row r="4210" s="2" customFormat="1" x14ac:dyDescent="0.2"/>
    <row r="4211" s="2" customFormat="1" x14ac:dyDescent="0.2"/>
    <row r="4212" s="2" customFormat="1" x14ac:dyDescent="0.2"/>
    <row r="4213" s="2" customFormat="1" x14ac:dyDescent="0.2"/>
    <row r="4214" s="2" customFormat="1" x14ac:dyDescent="0.2"/>
    <row r="4215" s="2" customFormat="1" x14ac:dyDescent="0.2"/>
    <row r="4216" s="2" customFormat="1" x14ac:dyDescent="0.2"/>
    <row r="4217" s="2" customFormat="1" x14ac:dyDescent="0.2"/>
    <row r="4218" s="2" customFormat="1" x14ac:dyDescent="0.2"/>
    <row r="4219" s="2" customFormat="1" x14ac:dyDescent="0.2"/>
    <row r="4220" s="2" customFormat="1" x14ac:dyDescent="0.2"/>
    <row r="4221" s="2" customFormat="1" x14ac:dyDescent="0.2"/>
    <row r="4222" s="2" customFormat="1" x14ac:dyDescent="0.2"/>
    <row r="4223" s="2" customFormat="1" x14ac:dyDescent="0.2"/>
    <row r="4224" s="2" customFormat="1" x14ac:dyDescent="0.2"/>
    <row r="4225" s="2" customFormat="1" x14ac:dyDescent="0.2"/>
    <row r="4226" s="2" customFormat="1" x14ac:dyDescent="0.2"/>
    <row r="4227" s="2" customFormat="1" x14ac:dyDescent="0.2"/>
    <row r="4228" s="2" customFormat="1" x14ac:dyDescent="0.2"/>
    <row r="4229" s="2" customFormat="1" x14ac:dyDescent="0.2"/>
    <row r="4230" s="2" customFormat="1" x14ac:dyDescent="0.2"/>
    <row r="4231" s="2" customFormat="1" x14ac:dyDescent="0.2"/>
    <row r="4232" s="2" customFormat="1" x14ac:dyDescent="0.2"/>
    <row r="4233" s="2" customFormat="1" x14ac:dyDescent="0.2"/>
    <row r="4234" s="2" customFormat="1" x14ac:dyDescent="0.2"/>
    <row r="4235" s="2" customFormat="1" x14ac:dyDescent="0.2"/>
    <row r="4236" s="2" customFormat="1" x14ac:dyDescent="0.2"/>
    <row r="4237" s="2" customFormat="1" x14ac:dyDescent="0.2"/>
    <row r="4238" s="2" customFormat="1" x14ac:dyDescent="0.2"/>
    <row r="4239" s="2" customFormat="1" x14ac:dyDescent="0.2"/>
    <row r="4240" s="2" customFormat="1" x14ac:dyDescent="0.2"/>
    <row r="4241" s="2" customFormat="1" x14ac:dyDescent="0.2"/>
    <row r="4242" s="2" customFormat="1" x14ac:dyDescent="0.2"/>
    <row r="4243" s="2" customFormat="1" x14ac:dyDescent="0.2"/>
    <row r="4244" s="2" customFormat="1" x14ac:dyDescent="0.2"/>
    <row r="4245" s="2" customFormat="1" x14ac:dyDescent="0.2"/>
    <row r="4246" s="2" customFormat="1" x14ac:dyDescent="0.2"/>
    <row r="4247" s="2" customFormat="1" x14ac:dyDescent="0.2"/>
    <row r="4248" s="2" customFormat="1" x14ac:dyDescent="0.2"/>
    <row r="4249" s="2" customFormat="1" x14ac:dyDescent="0.2"/>
    <row r="4250" s="2" customFormat="1" x14ac:dyDescent="0.2"/>
    <row r="4251" s="2" customFormat="1" x14ac:dyDescent="0.2"/>
    <row r="4252" s="2" customFormat="1" x14ac:dyDescent="0.2"/>
    <row r="4253" s="2" customFormat="1" x14ac:dyDescent="0.2"/>
    <row r="4254" s="2" customFormat="1" x14ac:dyDescent="0.2"/>
    <row r="4255" s="2" customFormat="1" x14ac:dyDescent="0.2"/>
    <row r="4256" s="2" customFormat="1" x14ac:dyDescent="0.2"/>
    <row r="4257" s="2" customFormat="1" x14ac:dyDescent="0.2"/>
    <row r="4258" s="2" customFormat="1" x14ac:dyDescent="0.2"/>
    <row r="4259" s="2" customFormat="1" x14ac:dyDescent="0.2"/>
    <row r="4260" s="2" customFormat="1" x14ac:dyDescent="0.2"/>
    <row r="4261" s="2" customFormat="1" x14ac:dyDescent="0.2"/>
    <row r="4262" s="2" customFormat="1" x14ac:dyDescent="0.2"/>
    <row r="4263" s="2" customFormat="1" x14ac:dyDescent="0.2"/>
    <row r="4264" s="2" customFormat="1" x14ac:dyDescent="0.2"/>
    <row r="4265" s="2" customFormat="1" x14ac:dyDescent="0.2"/>
    <row r="4266" s="2" customFormat="1" x14ac:dyDescent="0.2"/>
    <row r="4267" s="2" customFormat="1" x14ac:dyDescent="0.2"/>
    <row r="4268" s="2" customFormat="1" x14ac:dyDescent="0.2"/>
    <row r="4269" s="2" customFormat="1" x14ac:dyDescent="0.2"/>
    <row r="4270" s="2" customFormat="1" x14ac:dyDescent="0.2"/>
    <row r="4271" s="2" customFormat="1" x14ac:dyDescent="0.2"/>
    <row r="4272" s="2" customFormat="1" x14ac:dyDescent="0.2"/>
    <row r="4273" s="2" customFormat="1" x14ac:dyDescent="0.2"/>
    <row r="4274" s="2" customFormat="1" x14ac:dyDescent="0.2"/>
    <row r="4275" s="2" customFormat="1" x14ac:dyDescent="0.2"/>
    <row r="4276" s="2" customFormat="1" x14ac:dyDescent="0.2"/>
    <row r="4277" s="2" customFormat="1" x14ac:dyDescent="0.2"/>
    <row r="4278" s="2" customFormat="1" x14ac:dyDescent="0.2"/>
    <row r="4279" s="2" customFormat="1" x14ac:dyDescent="0.2"/>
    <row r="4280" s="2" customFormat="1" x14ac:dyDescent="0.2"/>
    <row r="4281" s="2" customFormat="1" x14ac:dyDescent="0.2"/>
    <row r="4282" s="2" customFormat="1" x14ac:dyDescent="0.2"/>
    <row r="4283" s="2" customFormat="1" x14ac:dyDescent="0.2"/>
    <row r="4284" s="2" customFormat="1" x14ac:dyDescent="0.2"/>
    <row r="4285" s="2" customFormat="1" x14ac:dyDescent="0.2"/>
    <row r="4286" s="2" customFormat="1" x14ac:dyDescent="0.2"/>
    <row r="4287" s="2" customFormat="1" x14ac:dyDescent="0.2"/>
    <row r="4288" s="2" customFormat="1" x14ac:dyDescent="0.2"/>
    <row r="4289" s="2" customFormat="1" x14ac:dyDescent="0.2"/>
    <row r="4290" s="2" customFormat="1" x14ac:dyDescent="0.2"/>
    <row r="4291" s="2" customFormat="1" x14ac:dyDescent="0.2"/>
    <row r="4292" s="2" customFormat="1" x14ac:dyDescent="0.2"/>
    <row r="4293" s="2" customFormat="1" x14ac:dyDescent="0.2"/>
    <row r="4294" s="2" customFormat="1" x14ac:dyDescent="0.2"/>
    <row r="4295" s="2" customFormat="1" x14ac:dyDescent="0.2"/>
    <row r="4296" s="2" customFormat="1" x14ac:dyDescent="0.2"/>
    <row r="4297" s="2" customFormat="1" x14ac:dyDescent="0.2"/>
    <row r="4298" s="2" customFormat="1" x14ac:dyDescent="0.2"/>
    <row r="4299" s="2" customFormat="1" x14ac:dyDescent="0.2"/>
    <row r="4300" s="2" customFormat="1" x14ac:dyDescent="0.2"/>
    <row r="4301" s="2" customFormat="1" x14ac:dyDescent="0.2"/>
    <row r="4302" s="2" customFormat="1" x14ac:dyDescent="0.2"/>
    <row r="4303" s="2" customFormat="1" x14ac:dyDescent="0.2"/>
    <row r="4304" s="2" customFormat="1" x14ac:dyDescent="0.2"/>
    <row r="4305" s="2" customFormat="1" x14ac:dyDescent="0.2"/>
    <row r="4306" s="2" customFormat="1" x14ac:dyDescent="0.2"/>
    <row r="4307" s="2" customFormat="1" x14ac:dyDescent="0.2"/>
    <row r="4308" s="2" customFormat="1" x14ac:dyDescent="0.2"/>
    <row r="4309" s="2" customFormat="1" x14ac:dyDescent="0.2"/>
    <row r="4310" s="2" customFormat="1" x14ac:dyDescent="0.2"/>
    <row r="4311" s="2" customFormat="1" x14ac:dyDescent="0.2"/>
    <row r="4312" s="2" customFormat="1" x14ac:dyDescent="0.2"/>
    <row r="4313" s="2" customFormat="1" x14ac:dyDescent="0.2"/>
    <row r="4314" s="2" customFormat="1" x14ac:dyDescent="0.2"/>
    <row r="4315" s="2" customFormat="1" x14ac:dyDescent="0.2"/>
    <row r="4316" s="2" customFormat="1" x14ac:dyDescent="0.2"/>
    <row r="4317" s="2" customFormat="1" x14ac:dyDescent="0.2"/>
    <row r="4318" s="2" customFormat="1" x14ac:dyDescent="0.2"/>
    <row r="4319" s="2" customFormat="1" x14ac:dyDescent="0.2"/>
    <row r="4320" s="2" customFormat="1" x14ac:dyDescent="0.2"/>
    <row r="4321" s="2" customFormat="1" x14ac:dyDescent="0.2"/>
    <row r="4322" s="2" customFormat="1" x14ac:dyDescent="0.2"/>
    <row r="4323" s="2" customFormat="1" x14ac:dyDescent="0.2"/>
    <row r="4324" s="2" customFormat="1" x14ac:dyDescent="0.2"/>
    <row r="4325" s="2" customFormat="1" x14ac:dyDescent="0.2"/>
    <row r="4326" s="2" customFormat="1" x14ac:dyDescent="0.2"/>
    <row r="4327" s="2" customFormat="1" x14ac:dyDescent="0.2"/>
    <row r="4328" s="2" customFormat="1" x14ac:dyDescent="0.2"/>
    <row r="4329" s="2" customFormat="1" x14ac:dyDescent="0.2"/>
    <row r="4330" s="2" customFormat="1" x14ac:dyDescent="0.2"/>
    <row r="4331" s="2" customFormat="1" x14ac:dyDescent="0.2"/>
    <row r="4332" s="2" customFormat="1" x14ac:dyDescent="0.2"/>
    <row r="4333" s="2" customFormat="1" x14ac:dyDescent="0.2"/>
    <row r="4334" s="2" customFormat="1" x14ac:dyDescent="0.2"/>
    <row r="4335" s="2" customFormat="1" x14ac:dyDescent="0.2"/>
    <row r="4336" s="2" customFormat="1" x14ac:dyDescent="0.2"/>
    <row r="4337" s="2" customFormat="1" x14ac:dyDescent="0.2"/>
    <row r="4338" s="2" customFormat="1" x14ac:dyDescent="0.2"/>
    <row r="4339" s="2" customFormat="1" x14ac:dyDescent="0.2"/>
    <row r="4340" s="2" customFormat="1" x14ac:dyDescent="0.2"/>
    <row r="4341" s="2" customFormat="1" x14ac:dyDescent="0.2"/>
    <row r="4342" s="2" customFormat="1" x14ac:dyDescent="0.2"/>
    <row r="4343" s="2" customFormat="1" x14ac:dyDescent="0.2"/>
    <row r="4344" s="2" customFormat="1" x14ac:dyDescent="0.2"/>
    <row r="4345" s="2" customFormat="1" x14ac:dyDescent="0.2"/>
    <row r="4346" s="2" customFormat="1" x14ac:dyDescent="0.2"/>
    <row r="4347" s="2" customFormat="1" x14ac:dyDescent="0.2"/>
    <row r="4348" s="2" customFormat="1" x14ac:dyDescent="0.2"/>
    <row r="4349" s="2" customFormat="1" x14ac:dyDescent="0.2"/>
    <row r="4350" s="2" customFormat="1" x14ac:dyDescent="0.2"/>
    <row r="4351" s="2" customFormat="1" x14ac:dyDescent="0.2"/>
    <row r="4352" s="2" customFormat="1" x14ac:dyDescent="0.2"/>
    <row r="4353" s="2" customFormat="1" x14ac:dyDescent="0.2"/>
    <row r="4354" s="2" customFormat="1" x14ac:dyDescent="0.2"/>
    <row r="4355" s="2" customFormat="1" x14ac:dyDescent="0.2"/>
    <row r="4356" s="2" customFormat="1" x14ac:dyDescent="0.2"/>
    <row r="4357" s="2" customFormat="1" x14ac:dyDescent="0.2"/>
    <row r="4358" s="2" customFormat="1" x14ac:dyDescent="0.2"/>
    <row r="4359" s="2" customFormat="1" x14ac:dyDescent="0.2"/>
    <row r="4360" s="2" customFormat="1" x14ac:dyDescent="0.2"/>
    <row r="4361" s="2" customFormat="1" x14ac:dyDescent="0.2"/>
    <row r="4362" s="2" customFormat="1" x14ac:dyDescent="0.2"/>
    <row r="4363" s="2" customFormat="1" x14ac:dyDescent="0.2"/>
    <row r="4364" s="2" customFormat="1" x14ac:dyDescent="0.2"/>
    <row r="4365" s="2" customFormat="1" x14ac:dyDescent="0.2"/>
    <row r="4366" s="2" customFormat="1" x14ac:dyDescent="0.2"/>
    <row r="4367" s="2" customFormat="1" x14ac:dyDescent="0.2"/>
    <row r="4368" s="2" customFormat="1" x14ac:dyDescent="0.2"/>
    <row r="4369" s="2" customFormat="1" x14ac:dyDescent="0.2"/>
    <row r="4370" s="2" customFormat="1" x14ac:dyDescent="0.2"/>
    <row r="4371" s="2" customFormat="1" x14ac:dyDescent="0.2"/>
    <row r="4372" s="2" customFormat="1" x14ac:dyDescent="0.2"/>
    <row r="4373" s="2" customFormat="1" x14ac:dyDescent="0.2"/>
    <row r="4374" s="2" customFormat="1" x14ac:dyDescent="0.2"/>
    <row r="4375" s="2" customFormat="1" x14ac:dyDescent="0.2"/>
    <row r="4376" s="2" customFormat="1" x14ac:dyDescent="0.2"/>
    <row r="4377" s="2" customFormat="1" x14ac:dyDescent="0.2"/>
    <row r="4378" s="2" customFormat="1" x14ac:dyDescent="0.2"/>
    <row r="4379" s="2" customFormat="1" x14ac:dyDescent="0.2"/>
    <row r="4380" s="2" customFormat="1" x14ac:dyDescent="0.2"/>
    <row r="4381" s="2" customFormat="1" x14ac:dyDescent="0.2"/>
    <row r="4382" s="2" customFormat="1" x14ac:dyDescent="0.2"/>
    <row r="4383" s="2" customFormat="1" x14ac:dyDescent="0.2"/>
    <row r="4384" s="2" customFormat="1" x14ac:dyDescent="0.2"/>
    <row r="4385" s="2" customFormat="1" x14ac:dyDescent="0.2"/>
    <row r="4386" s="2" customFormat="1" x14ac:dyDescent="0.2"/>
    <row r="4387" s="2" customFormat="1" x14ac:dyDescent="0.2"/>
    <row r="4388" s="2" customFormat="1" x14ac:dyDescent="0.2"/>
    <row r="4389" s="2" customFormat="1" x14ac:dyDescent="0.2"/>
    <row r="4390" s="2" customFormat="1" x14ac:dyDescent="0.2"/>
    <row r="4391" s="2" customFormat="1" x14ac:dyDescent="0.2"/>
    <row r="4392" s="2" customFormat="1" x14ac:dyDescent="0.2"/>
    <row r="4393" s="2" customFormat="1" x14ac:dyDescent="0.2"/>
    <row r="4394" s="2" customFormat="1" x14ac:dyDescent="0.2"/>
    <row r="4395" s="2" customFormat="1" x14ac:dyDescent="0.2"/>
    <row r="4396" s="2" customFormat="1" x14ac:dyDescent="0.2"/>
    <row r="4397" s="2" customFormat="1" x14ac:dyDescent="0.2"/>
    <row r="4398" s="2" customFormat="1" x14ac:dyDescent="0.2"/>
    <row r="4399" s="2" customFormat="1" x14ac:dyDescent="0.2"/>
    <row r="4400" s="2" customFormat="1" x14ac:dyDescent="0.2"/>
    <row r="4401" s="2" customFormat="1" x14ac:dyDescent="0.2"/>
    <row r="4402" s="2" customFormat="1" x14ac:dyDescent="0.2"/>
    <row r="4403" s="2" customFormat="1" x14ac:dyDescent="0.2"/>
    <row r="4404" s="2" customFormat="1" x14ac:dyDescent="0.2"/>
    <row r="4405" s="2" customFormat="1" x14ac:dyDescent="0.2"/>
    <row r="4406" s="2" customFormat="1" x14ac:dyDescent="0.2"/>
    <row r="4407" s="2" customFormat="1" x14ac:dyDescent="0.2"/>
    <row r="4408" s="2" customFormat="1" x14ac:dyDescent="0.2"/>
    <row r="4409" s="2" customFormat="1" x14ac:dyDescent="0.2"/>
    <row r="4410" s="2" customFormat="1" x14ac:dyDescent="0.2"/>
    <row r="4411" s="2" customFormat="1" x14ac:dyDescent="0.2"/>
    <row r="4412" s="2" customFormat="1" x14ac:dyDescent="0.2"/>
    <row r="4413" s="2" customFormat="1" x14ac:dyDescent="0.2"/>
    <row r="4414" s="2" customFormat="1" x14ac:dyDescent="0.2"/>
    <row r="4415" s="2" customFormat="1" x14ac:dyDescent="0.2"/>
    <row r="4416" s="2" customFormat="1" x14ac:dyDescent="0.2"/>
    <row r="4417" s="2" customFormat="1" x14ac:dyDescent="0.2"/>
    <row r="4418" s="2" customFormat="1" x14ac:dyDescent="0.2"/>
    <row r="4419" s="2" customFormat="1" x14ac:dyDescent="0.2"/>
    <row r="4420" s="2" customFormat="1" x14ac:dyDescent="0.2"/>
    <row r="4421" s="2" customFormat="1" x14ac:dyDescent="0.2"/>
    <row r="4422" s="2" customFormat="1" x14ac:dyDescent="0.2"/>
    <row r="4423" s="2" customFormat="1" x14ac:dyDescent="0.2"/>
    <row r="4424" s="2" customFormat="1" x14ac:dyDescent="0.2"/>
    <row r="4425" s="2" customFormat="1" x14ac:dyDescent="0.2"/>
    <row r="4426" s="2" customFormat="1" x14ac:dyDescent="0.2"/>
    <row r="4427" s="2" customFormat="1" x14ac:dyDescent="0.2"/>
    <row r="4428" s="2" customFormat="1" x14ac:dyDescent="0.2"/>
    <row r="4429" s="2" customFormat="1" x14ac:dyDescent="0.2"/>
    <row r="4430" s="2" customFormat="1" x14ac:dyDescent="0.2"/>
    <row r="4431" s="2" customFormat="1" x14ac:dyDescent="0.2"/>
    <row r="4432" s="2" customFormat="1" x14ac:dyDescent="0.2"/>
    <row r="4433" s="2" customFormat="1" x14ac:dyDescent="0.2"/>
    <row r="4434" s="2" customFormat="1" x14ac:dyDescent="0.2"/>
    <row r="4435" s="2" customFormat="1" x14ac:dyDescent="0.2"/>
    <row r="4436" s="2" customFormat="1" x14ac:dyDescent="0.2"/>
    <row r="4437" s="2" customFormat="1" x14ac:dyDescent="0.2"/>
    <row r="4438" s="2" customFormat="1" x14ac:dyDescent="0.2"/>
    <row r="4439" s="2" customFormat="1" x14ac:dyDescent="0.2"/>
    <row r="4440" s="2" customFormat="1" x14ac:dyDescent="0.2"/>
    <row r="4441" s="2" customFormat="1" x14ac:dyDescent="0.2"/>
    <row r="4442" s="2" customFormat="1" x14ac:dyDescent="0.2"/>
    <row r="4443" s="2" customFormat="1" x14ac:dyDescent="0.2"/>
    <row r="4444" s="2" customFormat="1" x14ac:dyDescent="0.2"/>
    <row r="4445" s="2" customFormat="1" x14ac:dyDescent="0.2"/>
    <row r="4446" s="2" customFormat="1" x14ac:dyDescent="0.2"/>
    <row r="4447" s="2" customFormat="1" x14ac:dyDescent="0.2"/>
    <row r="4448" s="2" customFormat="1" x14ac:dyDescent="0.2"/>
    <row r="4449" s="2" customFormat="1" x14ac:dyDescent="0.2"/>
    <row r="4450" s="2" customFormat="1" x14ac:dyDescent="0.2"/>
    <row r="4451" s="2" customFormat="1" x14ac:dyDescent="0.2"/>
    <row r="4452" s="2" customFormat="1" x14ac:dyDescent="0.2"/>
    <row r="4453" s="2" customFormat="1" x14ac:dyDescent="0.2"/>
    <row r="4454" s="2" customFormat="1" x14ac:dyDescent="0.2"/>
    <row r="4455" s="2" customFormat="1" x14ac:dyDescent="0.2"/>
    <row r="4456" s="2" customFormat="1" x14ac:dyDescent="0.2"/>
    <row r="4457" s="2" customFormat="1" x14ac:dyDescent="0.2"/>
    <row r="4458" s="2" customFormat="1" x14ac:dyDescent="0.2"/>
    <row r="4459" s="2" customFormat="1" x14ac:dyDescent="0.2"/>
    <row r="4460" s="2" customFormat="1" x14ac:dyDescent="0.2"/>
    <row r="4461" s="2" customFormat="1" x14ac:dyDescent="0.2"/>
    <row r="4462" s="2" customFormat="1" x14ac:dyDescent="0.2"/>
    <row r="4463" s="2" customFormat="1" x14ac:dyDescent="0.2"/>
    <row r="4464" s="2" customFormat="1" x14ac:dyDescent="0.2"/>
    <row r="4465" s="2" customFormat="1" x14ac:dyDescent="0.2"/>
    <row r="4466" s="2" customFormat="1" x14ac:dyDescent="0.2"/>
    <row r="4467" s="2" customFormat="1" x14ac:dyDescent="0.2"/>
    <row r="4468" s="2" customFormat="1" x14ac:dyDescent="0.2"/>
    <row r="4469" s="2" customFormat="1" x14ac:dyDescent="0.2"/>
    <row r="4470" s="2" customFormat="1" x14ac:dyDescent="0.2"/>
    <row r="4471" s="2" customFormat="1" x14ac:dyDescent="0.2"/>
    <row r="4472" s="2" customFormat="1" x14ac:dyDescent="0.2"/>
    <row r="4473" s="2" customFormat="1" x14ac:dyDescent="0.2"/>
    <row r="4474" s="2" customFormat="1" x14ac:dyDescent="0.2"/>
    <row r="4475" s="2" customFormat="1" x14ac:dyDescent="0.2"/>
    <row r="4476" s="2" customFormat="1" x14ac:dyDescent="0.2"/>
    <row r="4477" s="2" customFormat="1" x14ac:dyDescent="0.2"/>
    <row r="4478" s="2" customFormat="1" x14ac:dyDescent="0.2"/>
    <row r="4479" s="2" customFormat="1" x14ac:dyDescent="0.2"/>
    <row r="4480" s="2" customFormat="1" x14ac:dyDescent="0.2"/>
    <row r="4481" s="2" customFormat="1" x14ac:dyDescent="0.2"/>
    <row r="4482" s="2" customFormat="1" x14ac:dyDescent="0.2"/>
    <row r="4483" s="2" customFormat="1" x14ac:dyDescent="0.2"/>
    <row r="4484" s="2" customFormat="1" x14ac:dyDescent="0.2"/>
    <row r="4485" s="2" customFormat="1" x14ac:dyDescent="0.2"/>
    <row r="4486" s="2" customFormat="1" x14ac:dyDescent="0.2"/>
    <row r="4487" s="2" customFormat="1" x14ac:dyDescent="0.2"/>
    <row r="4488" s="2" customFormat="1" x14ac:dyDescent="0.2"/>
    <row r="4489" s="2" customFormat="1" x14ac:dyDescent="0.2"/>
    <row r="4490" s="2" customFormat="1" x14ac:dyDescent="0.2"/>
    <row r="4491" s="2" customFormat="1" x14ac:dyDescent="0.2"/>
    <row r="4492" s="2" customFormat="1" x14ac:dyDescent="0.2"/>
    <row r="4493" s="2" customFormat="1" x14ac:dyDescent="0.2"/>
    <row r="4494" s="2" customFormat="1" x14ac:dyDescent="0.2"/>
    <row r="4495" s="2" customFormat="1" x14ac:dyDescent="0.2"/>
    <row r="4496" s="2" customFormat="1" x14ac:dyDescent="0.2"/>
    <row r="4497" s="2" customFormat="1" x14ac:dyDescent="0.2"/>
    <row r="4498" s="2" customFormat="1" x14ac:dyDescent="0.2"/>
    <row r="4499" s="2" customFormat="1" x14ac:dyDescent="0.2"/>
    <row r="4500" s="2" customFormat="1" x14ac:dyDescent="0.2"/>
    <row r="4501" s="2" customFormat="1" x14ac:dyDescent="0.2"/>
    <row r="4502" s="2" customFormat="1" x14ac:dyDescent="0.2"/>
    <row r="4503" s="2" customFormat="1" x14ac:dyDescent="0.2"/>
    <row r="4504" s="2" customFormat="1" x14ac:dyDescent="0.2"/>
    <row r="4505" s="2" customFormat="1" x14ac:dyDescent="0.2"/>
    <row r="4506" s="2" customFormat="1" x14ac:dyDescent="0.2"/>
    <row r="4507" s="2" customFormat="1" x14ac:dyDescent="0.2"/>
    <row r="4508" s="2" customFormat="1" x14ac:dyDescent="0.2"/>
    <row r="4509" s="2" customFormat="1" x14ac:dyDescent="0.2"/>
    <row r="4510" s="2" customFormat="1" x14ac:dyDescent="0.2"/>
    <row r="4511" s="2" customFormat="1" x14ac:dyDescent="0.2"/>
    <row r="4512" s="2" customFormat="1" x14ac:dyDescent="0.2"/>
    <row r="4513" s="2" customFormat="1" x14ac:dyDescent="0.2"/>
    <row r="4514" s="2" customFormat="1" x14ac:dyDescent="0.2"/>
    <row r="4515" s="2" customFormat="1" x14ac:dyDescent="0.2"/>
    <row r="4516" s="2" customFormat="1" x14ac:dyDescent="0.2"/>
    <row r="4517" s="2" customFormat="1" x14ac:dyDescent="0.2"/>
    <row r="4518" s="2" customFormat="1" x14ac:dyDescent="0.2"/>
    <row r="4519" s="2" customFormat="1" x14ac:dyDescent="0.2"/>
    <row r="4520" s="2" customFormat="1" x14ac:dyDescent="0.2"/>
    <row r="4521" s="2" customFormat="1" x14ac:dyDescent="0.2"/>
    <row r="4522" s="2" customFormat="1" x14ac:dyDescent="0.2"/>
    <row r="4523" s="2" customFormat="1" x14ac:dyDescent="0.2"/>
    <row r="4524" s="2" customFormat="1" x14ac:dyDescent="0.2"/>
    <row r="4525" s="2" customFormat="1" x14ac:dyDescent="0.2"/>
    <row r="4526" s="2" customFormat="1" x14ac:dyDescent="0.2"/>
    <row r="4527" s="2" customFormat="1" x14ac:dyDescent="0.2"/>
    <row r="4528" s="2" customFormat="1" x14ac:dyDescent="0.2"/>
    <row r="4529" s="2" customFormat="1" x14ac:dyDescent="0.2"/>
    <row r="4530" s="2" customFormat="1" x14ac:dyDescent="0.2"/>
    <row r="4531" s="2" customFormat="1" x14ac:dyDescent="0.2"/>
    <row r="4532" s="2" customFormat="1" x14ac:dyDescent="0.2"/>
    <row r="4533" s="2" customFormat="1" x14ac:dyDescent="0.2"/>
    <row r="4534" s="2" customFormat="1" x14ac:dyDescent="0.2"/>
    <row r="4535" s="2" customFormat="1" x14ac:dyDescent="0.2"/>
    <row r="4536" s="2" customFormat="1" x14ac:dyDescent="0.2"/>
    <row r="4537" s="2" customFormat="1" x14ac:dyDescent="0.2"/>
    <row r="4538" s="2" customFormat="1" x14ac:dyDescent="0.2"/>
    <row r="4539" s="2" customFormat="1" x14ac:dyDescent="0.2"/>
    <row r="4540" s="2" customFormat="1" x14ac:dyDescent="0.2"/>
    <row r="4541" s="2" customFormat="1" x14ac:dyDescent="0.2"/>
    <row r="4542" s="2" customFormat="1" x14ac:dyDescent="0.2"/>
    <row r="4543" s="2" customFormat="1" x14ac:dyDescent="0.2"/>
    <row r="4544" s="2" customFormat="1" x14ac:dyDescent="0.2"/>
    <row r="4545" s="2" customFormat="1" x14ac:dyDescent="0.2"/>
    <row r="4546" s="2" customFormat="1" x14ac:dyDescent="0.2"/>
    <row r="4547" s="2" customFormat="1" x14ac:dyDescent="0.2"/>
    <row r="4548" s="2" customFormat="1" x14ac:dyDescent="0.2"/>
    <row r="4549" s="2" customFormat="1" x14ac:dyDescent="0.2"/>
    <row r="4550" s="2" customFormat="1" x14ac:dyDescent="0.2"/>
    <row r="4551" s="2" customFormat="1" x14ac:dyDescent="0.2"/>
    <row r="4552" s="2" customFormat="1" x14ac:dyDescent="0.2"/>
    <row r="4553" s="2" customFormat="1" x14ac:dyDescent="0.2"/>
    <row r="4554" s="2" customFormat="1" x14ac:dyDescent="0.2"/>
    <row r="4555" s="2" customFormat="1" x14ac:dyDescent="0.2"/>
    <row r="4556" s="2" customFormat="1" x14ac:dyDescent="0.2"/>
    <row r="4557" s="2" customFormat="1" x14ac:dyDescent="0.2"/>
    <row r="4558" s="2" customFormat="1" x14ac:dyDescent="0.2"/>
    <row r="4559" s="2" customFormat="1" x14ac:dyDescent="0.2"/>
    <row r="4560" s="2" customFormat="1" x14ac:dyDescent="0.2"/>
    <row r="4561" s="2" customFormat="1" x14ac:dyDescent="0.2"/>
    <row r="4562" s="2" customFormat="1" x14ac:dyDescent="0.2"/>
    <row r="4563" s="2" customFormat="1" x14ac:dyDescent="0.2"/>
    <row r="4564" s="2" customFormat="1" x14ac:dyDescent="0.2"/>
    <row r="4565" s="2" customFormat="1" x14ac:dyDescent="0.2"/>
    <row r="4566" s="2" customFormat="1" x14ac:dyDescent="0.2"/>
    <row r="4567" s="2" customFormat="1" x14ac:dyDescent="0.2"/>
    <row r="4568" s="2" customFormat="1" x14ac:dyDescent="0.2"/>
    <row r="4569" s="2" customFormat="1" x14ac:dyDescent="0.2"/>
    <row r="4570" s="2" customFormat="1" x14ac:dyDescent="0.2"/>
    <row r="4571" s="2" customFormat="1" x14ac:dyDescent="0.2"/>
    <row r="4572" s="2" customFormat="1" x14ac:dyDescent="0.2"/>
    <row r="4573" s="2" customFormat="1" x14ac:dyDescent="0.2"/>
    <row r="4574" s="2" customFormat="1" x14ac:dyDescent="0.2"/>
    <row r="4575" s="2" customFormat="1" x14ac:dyDescent="0.2"/>
    <row r="4576" s="2" customFormat="1" x14ac:dyDescent="0.2"/>
    <row r="4577" s="2" customFormat="1" x14ac:dyDescent="0.2"/>
    <row r="4578" s="2" customFormat="1" x14ac:dyDescent="0.2"/>
    <row r="4579" s="2" customFormat="1" x14ac:dyDescent="0.2"/>
    <row r="4580" s="2" customFormat="1" x14ac:dyDescent="0.2"/>
    <row r="4581" s="2" customFormat="1" x14ac:dyDescent="0.2"/>
    <row r="4582" s="2" customFormat="1" x14ac:dyDescent="0.2"/>
    <row r="4583" s="2" customFormat="1" x14ac:dyDescent="0.2"/>
    <row r="4584" s="2" customFormat="1" x14ac:dyDescent="0.2"/>
    <row r="4585" s="2" customFormat="1" x14ac:dyDescent="0.2"/>
    <row r="4586" s="2" customFormat="1" x14ac:dyDescent="0.2"/>
    <row r="4587" s="2" customFormat="1" x14ac:dyDescent="0.2"/>
    <row r="4588" s="2" customFormat="1" x14ac:dyDescent="0.2"/>
    <row r="4589" s="2" customFormat="1" x14ac:dyDescent="0.2"/>
    <row r="4590" s="2" customFormat="1" x14ac:dyDescent="0.2"/>
    <row r="4591" s="2" customFormat="1" x14ac:dyDescent="0.2"/>
    <row r="4592" s="2" customFormat="1" x14ac:dyDescent="0.2"/>
    <row r="4593" s="2" customFormat="1" x14ac:dyDescent="0.2"/>
    <row r="4594" s="2" customFormat="1" x14ac:dyDescent="0.2"/>
    <row r="4595" s="2" customFormat="1" x14ac:dyDescent="0.2"/>
    <row r="4596" s="2" customFormat="1" x14ac:dyDescent="0.2"/>
    <row r="4597" s="2" customFormat="1" x14ac:dyDescent="0.2"/>
    <row r="4598" s="2" customFormat="1" x14ac:dyDescent="0.2"/>
    <row r="4599" s="2" customFormat="1" x14ac:dyDescent="0.2"/>
    <row r="4600" s="2" customFormat="1" x14ac:dyDescent="0.2"/>
    <row r="4601" s="2" customFormat="1" x14ac:dyDescent="0.2"/>
    <row r="4602" s="2" customFormat="1" x14ac:dyDescent="0.2"/>
    <row r="4603" s="2" customFormat="1" x14ac:dyDescent="0.2"/>
    <row r="4604" s="2" customFormat="1" x14ac:dyDescent="0.2"/>
    <row r="4605" s="2" customFormat="1" x14ac:dyDescent="0.2"/>
    <row r="4606" s="2" customFormat="1" x14ac:dyDescent="0.2"/>
    <row r="4607" s="2" customFormat="1" x14ac:dyDescent="0.2"/>
    <row r="4608" s="2" customFormat="1" x14ac:dyDescent="0.2"/>
    <row r="4609" s="2" customFormat="1" x14ac:dyDescent="0.2"/>
    <row r="4610" s="2" customFormat="1" x14ac:dyDescent="0.2"/>
    <row r="4611" s="2" customFormat="1" x14ac:dyDescent="0.2"/>
    <row r="4612" s="2" customFormat="1" x14ac:dyDescent="0.2"/>
    <row r="4613" s="2" customFormat="1" x14ac:dyDescent="0.2"/>
    <row r="4614" s="2" customFormat="1" x14ac:dyDescent="0.2"/>
    <row r="4615" s="2" customFormat="1" x14ac:dyDescent="0.2"/>
    <row r="4616" s="2" customFormat="1" x14ac:dyDescent="0.2"/>
    <row r="4617" s="2" customFormat="1" x14ac:dyDescent="0.2"/>
    <row r="4618" s="2" customFormat="1" x14ac:dyDescent="0.2"/>
    <row r="4619" s="2" customFormat="1" x14ac:dyDescent="0.2"/>
    <row r="4620" s="2" customFormat="1" x14ac:dyDescent="0.2"/>
    <row r="4621" s="2" customFormat="1" x14ac:dyDescent="0.2"/>
    <row r="4622" s="2" customFormat="1" x14ac:dyDescent="0.2"/>
    <row r="4623" s="2" customFormat="1" x14ac:dyDescent="0.2"/>
    <row r="4624" s="2" customFormat="1" x14ac:dyDescent="0.2"/>
    <row r="4625" s="2" customFormat="1" x14ac:dyDescent="0.2"/>
    <row r="4626" s="2" customFormat="1" x14ac:dyDescent="0.2"/>
    <row r="4627" s="2" customFormat="1" x14ac:dyDescent="0.2"/>
    <row r="4628" s="2" customFormat="1" x14ac:dyDescent="0.2"/>
    <row r="4629" s="2" customFormat="1" x14ac:dyDescent="0.2"/>
    <row r="4630" s="2" customFormat="1" x14ac:dyDescent="0.2"/>
    <row r="4631" s="2" customFormat="1" x14ac:dyDescent="0.2"/>
    <row r="4632" s="2" customFormat="1" x14ac:dyDescent="0.2"/>
    <row r="4633" s="2" customFormat="1" x14ac:dyDescent="0.2"/>
    <row r="4634" s="2" customFormat="1" x14ac:dyDescent="0.2"/>
    <row r="4635" s="2" customFormat="1" x14ac:dyDescent="0.2"/>
    <row r="4636" s="2" customFormat="1" x14ac:dyDescent="0.2"/>
    <row r="4637" s="2" customFormat="1" x14ac:dyDescent="0.2"/>
    <row r="4638" s="2" customFormat="1" x14ac:dyDescent="0.2"/>
    <row r="4639" s="2" customFormat="1" x14ac:dyDescent="0.2"/>
    <row r="4640" s="2" customFormat="1" x14ac:dyDescent="0.2"/>
    <row r="4641" s="2" customFormat="1" x14ac:dyDescent="0.2"/>
    <row r="4642" s="2" customFormat="1" x14ac:dyDescent="0.2"/>
    <row r="4643" s="2" customFormat="1" x14ac:dyDescent="0.2"/>
    <row r="4644" s="2" customFormat="1" x14ac:dyDescent="0.2"/>
    <row r="4645" s="2" customFormat="1" x14ac:dyDescent="0.2"/>
    <row r="4646" s="2" customFormat="1" x14ac:dyDescent="0.2"/>
    <row r="4647" s="2" customFormat="1" x14ac:dyDescent="0.2"/>
    <row r="4648" s="2" customFormat="1" x14ac:dyDescent="0.2"/>
    <row r="4649" s="2" customFormat="1" x14ac:dyDescent="0.2"/>
    <row r="4650" s="2" customFormat="1" x14ac:dyDescent="0.2"/>
    <row r="4651" s="2" customFormat="1" x14ac:dyDescent="0.2"/>
    <row r="4652" s="2" customFormat="1" x14ac:dyDescent="0.2"/>
    <row r="4653" s="2" customFormat="1" x14ac:dyDescent="0.2"/>
    <row r="4654" s="2" customFormat="1" x14ac:dyDescent="0.2"/>
    <row r="4655" s="2" customFormat="1" x14ac:dyDescent="0.2"/>
    <row r="4656" s="2" customFormat="1" x14ac:dyDescent="0.2"/>
    <row r="4657" s="2" customFormat="1" x14ac:dyDescent="0.2"/>
    <row r="4658" s="2" customFormat="1" x14ac:dyDescent="0.2"/>
    <row r="4659" s="2" customFormat="1" x14ac:dyDescent="0.2"/>
    <row r="4660" s="2" customFormat="1" x14ac:dyDescent="0.2"/>
    <row r="4661" s="2" customFormat="1" x14ac:dyDescent="0.2"/>
    <row r="4662" s="2" customFormat="1" x14ac:dyDescent="0.2"/>
    <row r="4663" s="2" customFormat="1" x14ac:dyDescent="0.2"/>
    <row r="4664" s="2" customFormat="1" x14ac:dyDescent="0.2"/>
    <row r="4665" s="2" customFormat="1" x14ac:dyDescent="0.2"/>
    <row r="4666" s="2" customFormat="1" x14ac:dyDescent="0.2"/>
    <row r="4667" s="2" customFormat="1" x14ac:dyDescent="0.2"/>
    <row r="4668" s="2" customFormat="1" x14ac:dyDescent="0.2"/>
    <row r="4669" s="2" customFormat="1" x14ac:dyDescent="0.2"/>
    <row r="4670" s="2" customFormat="1" x14ac:dyDescent="0.2"/>
    <row r="4671" s="2" customFormat="1" x14ac:dyDescent="0.2"/>
    <row r="4672" s="2" customFormat="1" x14ac:dyDescent="0.2"/>
    <row r="4673" s="2" customFormat="1" x14ac:dyDescent="0.2"/>
    <row r="4674" s="2" customFormat="1" x14ac:dyDescent="0.2"/>
    <row r="4675" s="2" customFormat="1" x14ac:dyDescent="0.2"/>
    <row r="4676" s="2" customFormat="1" x14ac:dyDescent="0.2"/>
    <row r="4677" s="2" customFormat="1" x14ac:dyDescent="0.2"/>
    <row r="4678" s="2" customFormat="1" x14ac:dyDescent="0.2"/>
    <row r="4679" s="2" customFormat="1" x14ac:dyDescent="0.2"/>
    <row r="4680" s="2" customFormat="1" x14ac:dyDescent="0.2"/>
    <row r="4681" s="2" customFormat="1" x14ac:dyDescent="0.2"/>
    <row r="4682" s="2" customFormat="1" x14ac:dyDescent="0.2"/>
    <row r="4683" s="2" customFormat="1" x14ac:dyDescent="0.2"/>
    <row r="4684" s="2" customFormat="1" x14ac:dyDescent="0.2"/>
    <row r="4685" s="2" customFormat="1" x14ac:dyDescent="0.2"/>
    <row r="4686" s="2" customFormat="1" x14ac:dyDescent="0.2"/>
    <row r="4687" s="2" customFormat="1" x14ac:dyDescent="0.2"/>
    <row r="4688" s="2" customFormat="1" x14ac:dyDescent="0.2"/>
    <row r="4689" s="2" customFormat="1" x14ac:dyDescent="0.2"/>
    <row r="4690" s="2" customFormat="1" x14ac:dyDescent="0.2"/>
    <row r="4691" s="2" customFormat="1" x14ac:dyDescent="0.2"/>
    <row r="4692" s="2" customFormat="1" x14ac:dyDescent="0.2"/>
    <row r="4693" s="2" customFormat="1" x14ac:dyDescent="0.2"/>
    <row r="4694" s="2" customFormat="1" x14ac:dyDescent="0.2"/>
    <row r="4695" s="2" customFormat="1" x14ac:dyDescent="0.2"/>
    <row r="4696" s="2" customFormat="1" x14ac:dyDescent="0.2"/>
    <row r="4697" s="2" customFormat="1" x14ac:dyDescent="0.2"/>
    <row r="4698" s="2" customFormat="1" x14ac:dyDescent="0.2"/>
    <row r="4699" s="2" customFormat="1" x14ac:dyDescent="0.2"/>
    <row r="4700" s="2" customFormat="1" x14ac:dyDescent="0.2"/>
    <row r="4701" s="2" customFormat="1" x14ac:dyDescent="0.2"/>
    <row r="4702" s="2" customFormat="1" x14ac:dyDescent="0.2"/>
    <row r="4703" s="2" customFormat="1" x14ac:dyDescent="0.2"/>
    <row r="4704" s="2" customFormat="1" x14ac:dyDescent="0.2"/>
    <row r="4705" s="2" customFormat="1" x14ac:dyDescent="0.2"/>
    <row r="4706" s="2" customFormat="1" x14ac:dyDescent="0.2"/>
    <row r="4707" s="2" customFormat="1" x14ac:dyDescent="0.2"/>
    <row r="4708" s="2" customFormat="1" x14ac:dyDescent="0.2"/>
    <row r="4709" s="2" customFormat="1" x14ac:dyDescent="0.2"/>
    <row r="4710" s="2" customFormat="1" x14ac:dyDescent="0.2"/>
    <row r="4711" s="2" customFormat="1" x14ac:dyDescent="0.2"/>
    <row r="4712" s="2" customFormat="1" x14ac:dyDescent="0.2"/>
    <row r="4713" s="2" customFormat="1" x14ac:dyDescent="0.2"/>
    <row r="4714" s="2" customFormat="1" x14ac:dyDescent="0.2"/>
    <row r="4715" s="2" customFormat="1" x14ac:dyDescent="0.2"/>
    <row r="4716" s="2" customFormat="1" x14ac:dyDescent="0.2"/>
    <row r="4717" s="2" customFormat="1" x14ac:dyDescent="0.2"/>
    <row r="4718" s="2" customFormat="1" x14ac:dyDescent="0.2"/>
    <row r="4719" s="2" customFormat="1" x14ac:dyDescent="0.2"/>
    <row r="4720" s="2" customFormat="1" x14ac:dyDescent="0.2"/>
    <row r="4721" s="2" customFormat="1" x14ac:dyDescent="0.2"/>
    <row r="4722" s="2" customFormat="1" x14ac:dyDescent="0.2"/>
    <row r="4723" s="2" customFormat="1" x14ac:dyDescent="0.2"/>
    <row r="4724" s="2" customFormat="1" x14ac:dyDescent="0.2"/>
    <row r="4725" s="2" customFormat="1" x14ac:dyDescent="0.2"/>
    <row r="4726" s="2" customFormat="1" x14ac:dyDescent="0.2"/>
    <row r="4727" s="2" customFormat="1" x14ac:dyDescent="0.2"/>
    <row r="4728" s="2" customFormat="1" x14ac:dyDescent="0.2"/>
    <row r="4729" s="2" customFormat="1" x14ac:dyDescent="0.2"/>
    <row r="4730" s="2" customFormat="1" x14ac:dyDescent="0.2"/>
    <row r="4731" s="2" customFormat="1" x14ac:dyDescent="0.2"/>
    <row r="4732" s="2" customFormat="1" x14ac:dyDescent="0.2"/>
    <row r="4733" s="2" customFormat="1" x14ac:dyDescent="0.2"/>
    <row r="4734" s="2" customFormat="1" x14ac:dyDescent="0.2"/>
    <row r="4735" s="2" customFormat="1" x14ac:dyDescent="0.2"/>
    <row r="4736" s="2" customFormat="1" x14ac:dyDescent="0.2"/>
    <row r="4737" s="2" customFormat="1" x14ac:dyDescent="0.2"/>
    <row r="4738" s="2" customFormat="1" x14ac:dyDescent="0.2"/>
    <row r="4739" s="2" customFormat="1" x14ac:dyDescent="0.2"/>
    <row r="4740" s="2" customFormat="1" x14ac:dyDescent="0.2"/>
    <row r="4741" s="2" customFormat="1" x14ac:dyDescent="0.2"/>
    <row r="4742" s="2" customFormat="1" x14ac:dyDescent="0.2"/>
    <row r="4743" s="2" customFormat="1" x14ac:dyDescent="0.2"/>
    <row r="4744" s="2" customFormat="1" x14ac:dyDescent="0.2"/>
    <row r="4745" s="2" customFormat="1" x14ac:dyDescent="0.2"/>
    <row r="4746" s="2" customFormat="1" x14ac:dyDescent="0.2"/>
    <row r="4747" s="2" customFormat="1" x14ac:dyDescent="0.2"/>
    <row r="4748" s="2" customFormat="1" x14ac:dyDescent="0.2"/>
    <row r="4749" s="2" customFormat="1" x14ac:dyDescent="0.2"/>
    <row r="4750" s="2" customFormat="1" x14ac:dyDescent="0.2"/>
    <row r="4751" s="2" customFormat="1" x14ac:dyDescent="0.2"/>
    <row r="4752" s="2" customFormat="1" x14ac:dyDescent="0.2"/>
    <row r="4753" s="2" customFormat="1" x14ac:dyDescent="0.2"/>
    <row r="4754" s="2" customFormat="1" x14ac:dyDescent="0.2"/>
    <row r="4755" s="2" customFormat="1" x14ac:dyDescent="0.2"/>
    <row r="4756" s="2" customFormat="1" x14ac:dyDescent="0.2"/>
    <row r="4757" s="2" customFormat="1" x14ac:dyDescent="0.2"/>
    <row r="4758" s="2" customFormat="1" x14ac:dyDescent="0.2"/>
    <row r="4759" s="2" customFormat="1" x14ac:dyDescent="0.2"/>
    <row r="4760" s="2" customFormat="1" x14ac:dyDescent="0.2"/>
    <row r="4761" s="2" customFormat="1" x14ac:dyDescent="0.2"/>
    <row r="4762" s="2" customFormat="1" x14ac:dyDescent="0.2"/>
    <row r="4763" s="2" customFormat="1" x14ac:dyDescent="0.2"/>
    <row r="4764" s="2" customFormat="1" x14ac:dyDescent="0.2"/>
    <row r="4765" s="2" customFormat="1" x14ac:dyDescent="0.2"/>
    <row r="4766" s="2" customFormat="1" x14ac:dyDescent="0.2"/>
    <row r="4767" s="2" customFormat="1" x14ac:dyDescent="0.2"/>
    <row r="4768" s="2" customFormat="1" x14ac:dyDescent="0.2"/>
    <row r="4769" s="2" customFormat="1" x14ac:dyDescent="0.2"/>
    <row r="4770" s="2" customFormat="1" x14ac:dyDescent="0.2"/>
    <row r="4771" s="2" customFormat="1" x14ac:dyDescent="0.2"/>
    <row r="4772" s="2" customFormat="1" x14ac:dyDescent="0.2"/>
    <row r="4773" s="2" customFormat="1" x14ac:dyDescent="0.2"/>
    <row r="4774" s="2" customFormat="1" x14ac:dyDescent="0.2"/>
    <row r="4775" s="2" customFormat="1" x14ac:dyDescent="0.2"/>
    <row r="4776" s="2" customFormat="1" x14ac:dyDescent="0.2"/>
    <row r="4777" s="2" customFormat="1" x14ac:dyDescent="0.2"/>
    <row r="4778" s="2" customFormat="1" x14ac:dyDescent="0.2"/>
    <row r="4779" s="2" customFormat="1" x14ac:dyDescent="0.2"/>
    <row r="4780" s="2" customFormat="1" x14ac:dyDescent="0.2"/>
    <row r="4781" s="2" customFormat="1" x14ac:dyDescent="0.2"/>
    <row r="4782" s="2" customFormat="1" x14ac:dyDescent="0.2"/>
    <row r="4783" s="2" customFormat="1" x14ac:dyDescent="0.2"/>
    <row r="4784" s="2" customFormat="1" x14ac:dyDescent="0.2"/>
    <row r="4785" s="2" customFormat="1" x14ac:dyDescent="0.2"/>
    <row r="4786" s="2" customFormat="1" x14ac:dyDescent="0.2"/>
    <row r="4787" s="2" customFormat="1" x14ac:dyDescent="0.2"/>
    <row r="4788" s="2" customFormat="1" x14ac:dyDescent="0.2"/>
    <row r="4789" s="2" customFormat="1" x14ac:dyDescent="0.2"/>
    <row r="4790" s="2" customFormat="1" x14ac:dyDescent="0.2"/>
    <row r="4791" s="2" customFormat="1" x14ac:dyDescent="0.2"/>
    <row r="4792" s="2" customFormat="1" x14ac:dyDescent="0.2"/>
    <row r="4793" s="2" customFormat="1" x14ac:dyDescent="0.2"/>
    <row r="4794" s="2" customFormat="1" x14ac:dyDescent="0.2"/>
    <row r="4795" s="2" customFormat="1" x14ac:dyDescent="0.2"/>
    <row r="4796" s="2" customFormat="1" x14ac:dyDescent="0.2"/>
    <row r="4797" s="2" customFormat="1" x14ac:dyDescent="0.2"/>
    <row r="4798" s="2" customFormat="1" x14ac:dyDescent="0.2"/>
    <row r="4799" s="2" customFormat="1" x14ac:dyDescent="0.2"/>
    <row r="4800" s="2" customFormat="1" x14ac:dyDescent="0.2"/>
    <row r="4801" s="2" customFormat="1" x14ac:dyDescent="0.2"/>
    <row r="4802" s="2" customFormat="1" x14ac:dyDescent="0.2"/>
    <row r="4803" s="2" customFormat="1" x14ac:dyDescent="0.2"/>
    <row r="4804" s="2" customFormat="1" x14ac:dyDescent="0.2"/>
    <row r="4805" s="2" customFormat="1" x14ac:dyDescent="0.2"/>
    <row r="4806" s="2" customFormat="1" x14ac:dyDescent="0.2"/>
    <row r="4807" s="2" customFormat="1" x14ac:dyDescent="0.2"/>
    <row r="4808" s="2" customFormat="1" x14ac:dyDescent="0.2"/>
    <row r="4809" s="2" customFormat="1" x14ac:dyDescent="0.2"/>
    <row r="4810" s="2" customFormat="1" x14ac:dyDescent="0.2"/>
    <row r="4811" s="2" customFormat="1" x14ac:dyDescent="0.2"/>
    <row r="4812" s="2" customFormat="1" x14ac:dyDescent="0.2"/>
    <row r="4813" s="2" customFormat="1" x14ac:dyDescent="0.2"/>
    <row r="4814" s="2" customFormat="1" x14ac:dyDescent="0.2"/>
    <row r="4815" s="2" customFormat="1" x14ac:dyDescent="0.2"/>
    <row r="4816" s="2" customFormat="1" x14ac:dyDescent="0.2"/>
    <row r="4817" s="2" customFormat="1" x14ac:dyDescent="0.2"/>
    <row r="4818" s="2" customFormat="1" x14ac:dyDescent="0.2"/>
    <row r="4819" s="2" customFormat="1" x14ac:dyDescent="0.2"/>
    <row r="4820" s="2" customFormat="1" x14ac:dyDescent="0.2"/>
    <row r="4821" s="2" customFormat="1" x14ac:dyDescent="0.2"/>
    <row r="4822" s="2" customFormat="1" x14ac:dyDescent="0.2"/>
    <row r="4823" s="2" customFormat="1" x14ac:dyDescent="0.2"/>
    <row r="4824" s="2" customFormat="1" x14ac:dyDescent="0.2"/>
    <row r="4825" s="2" customFormat="1" x14ac:dyDescent="0.2"/>
    <row r="4826" s="2" customFormat="1" x14ac:dyDescent="0.2"/>
    <row r="4827" s="2" customFormat="1" x14ac:dyDescent="0.2"/>
    <row r="4828" s="2" customFormat="1" x14ac:dyDescent="0.2"/>
    <row r="4829" s="2" customFormat="1" x14ac:dyDescent="0.2"/>
    <row r="4830" s="2" customFormat="1" x14ac:dyDescent="0.2"/>
    <row r="4831" s="2" customFormat="1" x14ac:dyDescent="0.2"/>
    <row r="4832" s="2" customFormat="1" x14ac:dyDescent="0.2"/>
    <row r="4833" s="2" customFormat="1" x14ac:dyDescent="0.2"/>
    <row r="4834" s="2" customFormat="1" x14ac:dyDescent="0.2"/>
    <row r="4835" s="2" customFormat="1" x14ac:dyDescent="0.2"/>
    <row r="4836" s="2" customFormat="1" x14ac:dyDescent="0.2"/>
    <row r="4837" s="2" customFormat="1" x14ac:dyDescent="0.2"/>
    <row r="4838" s="2" customFormat="1" x14ac:dyDescent="0.2"/>
    <row r="4839" s="2" customFormat="1" x14ac:dyDescent="0.2"/>
    <row r="4840" s="2" customFormat="1" x14ac:dyDescent="0.2"/>
    <row r="4841" s="2" customFormat="1" x14ac:dyDescent="0.2"/>
    <row r="4842" s="2" customFormat="1" x14ac:dyDescent="0.2"/>
    <row r="4843" s="2" customFormat="1" x14ac:dyDescent="0.2"/>
    <row r="4844" s="2" customFormat="1" x14ac:dyDescent="0.2"/>
    <row r="4845" s="2" customFormat="1" x14ac:dyDescent="0.2"/>
    <row r="4846" s="2" customFormat="1" x14ac:dyDescent="0.2"/>
    <row r="4847" s="2" customFormat="1" x14ac:dyDescent="0.2"/>
    <row r="4848" s="2" customFormat="1" x14ac:dyDescent="0.2"/>
    <row r="4849" s="2" customFormat="1" x14ac:dyDescent="0.2"/>
    <row r="4850" s="2" customFormat="1" x14ac:dyDescent="0.2"/>
    <row r="4851" s="2" customFormat="1" x14ac:dyDescent="0.2"/>
    <row r="4852" s="2" customFormat="1" x14ac:dyDescent="0.2"/>
    <row r="4853" s="2" customFormat="1" x14ac:dyDescent="0.2"/>
    <row r="4854" s="2" customFormat="1" x14ac:dyDescent="0.2"/>
    <row r="4855" s="2" customFormat="1" x14ac:dyDescent="0.2"/>
    <row r="4856" s="2" customFormat="1" x14ac:dyDescent="0.2"/>
    <row r="4857" s="2" customFormat="1" x14ac:dyDescent="0.2"/>
    <row r="4858" s="2" customFormat="1" x14ac:dyDescent="0.2"/>
    <row r="4859" s="2" customFormat="1" x14ac:dyDescent="0.2"/>
    <row r="4860" s="2" customFormat="1" x14ac:dyDescent="0.2"/>
    <row r="4861" s="2" customFormat="1" x14ac:dyDescent="0.2"/>
    <row r="4862" s="2" customFormat="1" x14ac:dyDescent="0.2"/>
    <row r="4863" s="2" customFormat="1" x14ac:dyDescent="0.2"/>
    <row r="4864" s="2" customFormat="1" x14ac:dyDescent="0.2"/>
    <row r="4865" s="2" customFormat="1" x14ac:dyDescent="0.2"/>
    <row r="4866" s="2" customFormat="1" x14ac:dyDescent="0.2"/>
    <row r="4867" s="2" customFormat="1" x14ac:dyDescent="0.2"/>
    <row r="4868" s="2" customFormat="1" x14ac:dyDescent="0.2"/>
    <row r="4869" s="2" customFormat="1" x14ac:dyDescent="0.2"/>
    <row r="4870" s="2" customFormat="1" x14ac:dyDescent="0.2"/>
    <row r="4871" s="2" customFormat="1" x14ac:dyDescent="0.2"/>
    <row r="4872" s="2" customFormat="1" x14ac:dyDescent="0.2"/>
    <row r="4873" s="2" customFormat="1" x14ac:dyDescent="0.2"/>
    <row r="4874" s="2" customFormat="1" x14ac:dyDescent="0.2"/>
    <row r="4875" s="2" customFormat="1" x14ac:dyDescent="0.2"/>
    <row r="4876" s="2" customFormat="1" x14ac:dyDescent="0.2"/>
    <row r="4877" s="2" customFormat="1" x14ac:dyDescent="0.2"/>
    <row r="4878" s="2" customFormat="1" x14ac:dyDescent="0.2"/>
    <row r="4879" s="2" customFormat="1" x14ac:dyDescent="0.2"/>
    <row r="4880" s="2" customFormat="1" x14ac:dyDescent="0.2"/>
    <row r="4881" s="2" customFormat="1" x14ac:dyDescent="0.2"/>
    <row r="4882" s="2" customFormat="1" x14ac:dyDescent="0.2"/>
    <row r="4883" s="2" customFormat="1" x14ac:dyDescent="0.2"/>
    <row r="4884" s="2" customFormat="1" x14ac:dyDescent="0.2"/>
    <row r="4885" s="2" customFormat="1" x14ac:dyDescent="0.2"/>
    <row r="4886" s="2" customFormat="1" x14ac:dyDescent="0.2"/>
    <row r="4887" s="2" customFormat="1" x14ac:dyDescent="0.2"/>
    <row r="4888" s="2" customFormat="1" x14ac:dyDescent="0.2"/>
    <row r="4889" s="2" customFormat="1" x14ac:dyDescent="0.2"/>
    <row r="4890" s="2" customFormat="1" x14ac:dyDescent="0.2"/>
    <row r="4891" s="2" customFormat="1" x14ac:dyDescent="0.2"/>
    <row r="4892" s="2" customFormat="1" x14ac:dyDescent="0.2"/>
    <row r="4893" s="2" customFormat="1" x14ac:dyDescent="0.2"/>
    <row r="4894" s="2" customFormat="1" x14ac:dyDescent="0.2"/>
    <row r="4895" s="2" customFormat="1" x14ac:dyDescent="0.2"/>
    <row r="4896" s="2" customFormat="1" x14ac:dyDescent="0.2"/>
    <row r="4897" s="2" customFormat="1" x14ac:dyDescent="0.2"/>
    <row r="4898" s="2" customFormat="1" x14ac:dyDescent="0.2"/>
    <row r="4899" s="2" customFormat="1" x14ac:dyDescent="0.2"/>
    <row r="4900" s="2" customFormat="1" x14ac:dyDescent="0.2"/>
    <row r="4901" s="2" customFormat="1" x14ac:dyDescent="0.2"/>
    <row r="4902" s="2" customFormat="1" x14ac:dyDescent="0.2"/>
    <row r="4903" s="2" customFormat="1" x14ac:dyDescent="0.2"/>
    <row r="4904" s="2" customFormat="1" x14ac:dyDescent="0.2"/>
    <row r="4905" s="2" customFormat="1" x14ac:dyDescent="0.2"/>
    <row r="4906" s="2" customFormat="1" x14ac:dyDescent="0.2"/>
    <row r="4907" s="2" customFormat="1" x14ac:dyDescent="0.2"/>
    <row r="4908" s="2" customFormat="1" x14ac:dyDescent="0.2"/>
    <row r="4909" s="2" customFormat="1" x14ac:dyDescent="0.2"/>
    <row r="4910" s="2" customFormat="1" x14ac:dyDescent="0.2"/>
    <row r="4911" s="2" customFormat="1" x14ac:dyDescent="0.2"/>
    <row r="4912" s="2" customFormat="1" x14ac:dyDescent="0.2"/>
    <row r="4913" s="2" customFormat="1" x14ac:dyDescent="0.2"/>
    <row r="4914" s="2" customFormat="1" x14ac:dyDescent="0.2"/>
    <row r="4915" s="2" customFormat="1" x14ac:dyDescent="0.2"/>
    <row r="4916" s="2" customFormat="1" x14ac:dyDescent="0.2"/>
    <row r="4917" s="2" customFormat="1" x14ac:dyDescent="0.2"/>
    <row r="4918" s="2" customFormat="1" x14ac:dyDescent="0.2"/>
    <row r="4919" s="2" customFormat="1" x14ac:dyDescent="0.2"/>
    <row r="4920" s="2" customFormat="1" x14ac:dyDescent="0.2"/>
    <row r="4921" s="2" customFormat="1" x14ac:dyDescent="0.2"/>
    <row r="4922" s="2" customFormat="1" x14ac:dyDescent="0.2"/>
    <row r="4923" s="2" customFormat="1" x14ac:dyDescent="0.2"/>
    <row r="4924" s="2" customFormat="1" x14ac:dyDescent="0.2"/>
    <row r="4925" s="2" customFormat="1" x14ac:dyDescent="0.2"/>
    <row r="4926" s="2" customFormat="1" x14ac:dyDescent="0.2"/>
    <row r="4927" s="2" customFormat="1" x14ac:dyDescent="0.2"/>
    <row r="4928" s="2" customFormat="1" x14ac:dyDescent="0.2"/>
    <row r="4929" s="2" customFormat="1" x14ac:dyDescent="0.2"/>
    <row r="4930" s="2" customFormat="1" x14ac:dyDescent="0.2"/>
    <row r="4931" s="2" customFormat="1" x14ac:dyDescent="0.2"/>
    <row r="4932" s="2" customFormat="1" x14ac:dyDescent="0.2"/>
    <row r="4933" s="2" customFormat="1" x14ac:dyDescent="0.2"/>
    <row r="4934" s="2" customFormat="1" x14ac:dyDescent="0.2"/>
    <row r="4935" s="2" customFormat="1" x14ac:dyDescent="0.2"/>
    <row r="4936" s="2" customFormat="1" x14ac:dyDescent="0.2"/>
    <row r="4937" s="2" customFormat="1" x14ac:dyDescent="0.2"/>
    <row r="4938" s="2" customFormat="1" x14ac:dyDescent="0.2"/>
    <row r="4939" s="2" customFormat="1" x14ac:dyDescent="0.2"/>
    <row r="4940" s="2" customFormat="1" x14ac:dyDescent="0.2"/>
    <row r="4941" s="2" customFormat="1" x14ac:dyDescent="0.2"/>
    <row r="4942" s="2" customFormat="1" x14ac:dyDescent="0.2"/>
    <row r="4943" s="2" customFormat="1" x14ac:dyDescent="0.2"/>
    <row r="4944" s="2" customFormat="1" x14ac:dyDescent="0.2"/>
    <row r="4945" s="2" customFormat="1" x14ac:dyDescent="0.2"/>
    <row r="4946" s="2" customFormat="1" x14ac:dyDescent="0.2"/>
    <row r="4947" s="2" customFormat="1" x14ac:dyDescent="0.2"/>
    <row r="4948" s="2" customFormat="1" x14ac:dyDescent="0.2"/>
    <row r="4949" s="2" customFormat="1" x14ac:dyDescent="0.2"/>
    <row r="4950" s="2" customFormat="1" x14ac:dyDescent="0.2"/>
    <row r="4951" s="2" customFormat="1" x14ac:dyDescent="0.2"/>
    <row r="4952" s="2" customFormat="1" x14ac:dyDescent="0.2"/>
    <row r="4953" s="2" customFormat="1" x14ac:dyDescent="0.2"/>
    <row r="4954" s="2" customFormat="1" x14ac:dyDescent="0.2"/>
    <row r="4955" s="2" customFormat="1" x14ac:dyDescent="0.2"/>
    <row r="4956" s="2" customFormat="1" x14ac:dyDescent="0.2"/>
    <row r="4957" s="2" customFormat="1" x14ac:dyDescent="0.2"/>
    <row r="4958" s="2" customFormat="1" x14ac:dyDescent="0.2"/>
    <row r="4959" s="2" customFormat="1" x14ac:dyDescent="0.2"/>
    <row r="4960" s="2" customFormat="1" x14ac:dyDescent="0.2"/>
    <row r="4961" s="2" customFormat="1" x14ac:dyDescent="0.2"/>
    <row r="4962" s="2" customFormat="1" x14ac:dyDescent="0.2"/>
    <row r="4963" s="2" customFormat="1" x14ac:dyDescent="0.2"/>
    <row r="4964" s="2" customFormat="1" x14ac:dyDescent="0.2"/>
    <row r="4965" s="2" customFormat="1" x14ac:dyDescent="0.2"/>
    <row r="4966" s="2" customFormat="1" x14ac:dyDescent="0.2"/>
    <row r="4967" s="2" customFormat="1" x14ac:dyDescent="0.2"/>
    <row r="4968" s="2" customFormat="1" x14ac:dyDescent="0.2"/>
    <row r="4969" s="2" customFormat="1" x14ac:dyDescent="0.2"/>
    <row r="4970" s="2" customFormat="1" x14ac:dyDescent="0.2"/>
    <row r="4971" s="2" customFormat="1" x14ac:dyDescent="0.2"/>
    <row r="4972" s="2" customFormat="1" x14ac:dyDescent="0.2"/>
    <row r="4973" s="2" customFormat="1" x14ac:dyDescent="0.2"/>
    <row r="4974" s="2" customFormat="1" x14ac:dyDescent="0.2"/>
    <row r="4975" s="2" customFormat="1" x14ac:dyDescent="0.2"/>
    <row r="4976" s="2" customFormat="1" x14ac:dyDescent="0.2"/>
    <row r="4977" s="2" customFormat="1" x14ac:dyDescent="0.2"/>
    <row r="4978" s="2" customFormat="1" x14ac:dyDescent="0.2"/>
    <row r="4979" s="2" customFormat="1" x14ac:dyDescent="0.2"/>
    <row r="4980" s="2" customFormat="1" x14ac:dyDescent="0.2"/>
    <row r="4981" s="2" customFormat="1" x14ac:dyDescent="0.2"/>
    <row r="4982" s="2" customFormat="1" x14ac:dyDescent="0.2"/>
    <row r="4983" s="2" customFormat="1" x14ac:dyDescent="0.2"/>
    <row r="4984" s="2" customFormat="1" x14ac:dyDescent="0.2"/>
    <row r="4985" s="2" customFormat="1" x14ac:dyDescent="0.2"/>
    <row r="4986" s="2" customFormat="1" x14ac:dyDescent="0.2"/>
    <row r="4987" s="2" customFormat="1" x14ac:dyDescent="0.2"/>
    <row r="4988" s="2" customFormat="1" x14ac:dyDescent="0.2"/>
    <row r="4989" s="2" customFormat="1" x14ac:dyDescent="0.2"/>
    <row r="4990" s="2" customFormat="1" x14ac:dyDescent="0.2"/>
    <row r="4991" s="2" customFormat="1" x14ac:dyDescent="0.2"/>
    <row r="4992" s="2" customFormat="1" x14ac:dyDescent="0.2"/>
    <row r="4993" s="2" customFormat="1" x14ac:dyDescent="0.2"/>
    <row r="4994" s="2" customFormat="1" x14ac:dyDescent="0.2"/>
    <row r="4995" s="2" customFormat="1" x14ac:dyDescent="0.2"/>
    <row r="4996" s="2" customFormat="1" x14ac:dyDescent="0.2"/>
    <row r="4997" s="2" customFormat="1" x14ac:dyDescent="0.2"/>
    <row r="4998" s="2" customFormat="1" x14ac:dyDescent="0.2"/>
    <row r="4999" s="2" customFormat="1" x14ac:dyDescent="0.2"/>
    <row r="5000" s="2" customFormat="1" x14ac:dyDescent="0.2"/>
    <row r="5001" s="2" customFormat="1" x14ac:dyDescent="0.2"/>
    <row r="5002" s="2" customFormat="1" x14ac:dyDescent="0.2"/>
    <row r="5003" s="2" customFormat="1" x14ac:dyDescent="0.2"/>
    <row r="5004" s="2" customFormat="1" x14ac:dyDescent="0.2"/>
    <row r="5005" s="2" customFormat="1" x14ac:dyDescent="0.2"/>
    <row r="5006" s="2" customFormat="1" x14ac:dyDescent="0.2"/>
    <row r="5007" s="2" customFormat="1" x14ac:dyDescent="0.2"/>
    <row r="5008" s="2" customFormat="1" x14ac:dyDescent="0.2"/>
    <row r="5009" s="2" customFormat="1" x14ac:dyDescent="0.2"/>
    <row r="5010" s="2" customFormat="1" x14ac:dyDescent="0.2"/>
    <row r="5011" s="2" customFormat="1" x14ac:dyDescent="0.2"/>
    <row r="5012" s="2" customFormat="1" x14ac:dyDescent="0.2"/>
    <row r="5013" s="2" customFormat="1" x14ac:dyDescent="0.2"/>
    <row r="5014" s="2" customFormat="1" x14ac:dyDescent="0.2"/>
    <row r="5015" s="2" customFormat="1" x14ac:dyDescent="0.2"/>
    <row r="5016" s="2" customFormat="1" x14ac:dyDescent="0.2"/>
    <row r="5017" s="2" customFormat="1" x14ac:dyDescent="0.2"/>
    <row r="5018" s="2" customFormat="1" x14ac:dyDescent="0.2"/>
    <row r="5019" s="2" customFormat="1" x14ac:dyDescent="0.2"/>
    <row r="5020" s="2" customFormat="1" x14ac:dyDescent="0.2"/>
    <row r="5021" s="2" customFormat="1" x14ac:dyDescent="0.2"/>
    <row r="5022" s="2" customFormat="1" x14ac:dyDescent="0.2"/>
    <row r="5023" s="2" customFormat="1" x14ac:dyDescent="0.2"/>
    <row r="5024" s="2" customFormat="1" x14ac:dyDescent="0.2"/>
    <row r="5025" s="2" customFormat="1" x14ac:dyDescent="0.2"/>
    <row r="5026" s="2" customFormat="1" x14ac:dyDescent="0.2"/>
    <row r="5027" s="2" customFormat="1" x14ac:dyDescent="0.2"/>
    <row r="5028" s="2" customFormat="1" x14ac:dyDescent="0.2"/>
    <row r="5029" s="2" customFormat="1" x14ac:dyDescent="0.2"/>
    <row r="5030" s="2" customFormat="1" x14ac:dyDescent="0.2"/>
    <row r="5031" s="2" customFormat="1" x14ac:dyDescent="0.2"/>
    <row r="5032" s="2" customFormat="1" x14ac:dyDescent="0.2"/>
    <row r="5033" s="2" customFormat="1" x14ac:dyDescent="0.2"/>
    <row r="5034" s="2" customFormat="1" x14ac:dyDescent="0.2"/>
    <row r="5035" s="2" customFormat="1" x14ac:dyDescent="0.2"/>
    <row r="5036" s="2" customFormat="1" x14ac:dyDescent="0.2"/>
    <row r="5037" s="2" customFormat="1" x14ac:dyDescent="0.2"/>
    <row r="5038" s="2" customFormat="1" x14ac:dyDescent="0.2"/>
    <row r="5039" s="2" customFormat="1" x14ac:dyDescent="0.2"/>
    <row r="5040" s="2" customFormat="1" x14ac:dyDescent="0.2"/>
    <row r="5041" s="2" customFormat="1" x14ac:dyDescent="0.2"/>
    <row r="5042" s="2" customFormat="1" x14ac:dyDescent="0.2"/>
    <row r="5043" s="2" customFormat="1" x14ac:dyDescent="0.2"/>
    <row r="5044" s="2" customFormat="1" x14ac:dyDescent="0.2"/>
    <row r="5045" s="2" customFormat="1" x14ac:dyDescent="0.2"/>
    <row r="5046" s="2" customFormat="1" x14ac:dyDescent="0.2"/>
    <row r="5047" s="2" customFormat="1" x14ac:dyDescent="0.2"/>
    <row r="5048" s="2" customFormat="1" x14ac:dyDescent="0.2"/>
    <row r="5049" s="2" customFormat="1" x14ac:dyDescent="0.2"/>
    <row r="5050" s="2" customFormat="1" x14ac:dyDescent="0.2"/>
    <row r="5051" s="2" customFormat="1" x14ac:dyDescent="0.2"/>
    <row r="5052" s="2" customFormat="1" x14ac:dyDescent="0.2"/>
    <row r="5053" s="2" customFormat="1" x14ac:dyDescent="0.2"/>
    <row r="5054" s="2" customFormat="1" x14ac:dyDescent="0.2"/>
    <row r="5055" s="2" customFormat="1" x14ac:dyDescent="0.2"/>
    <row r="5056" s="2" customFormat="1" x14ac:dyDescent="0.2"/>
    <row r="5057" s="2" customFormat="1" x14ac:dyDescent="0.2"/>
    <row r="5058" s="2" customFormat="1" x14ac:dyDescent="0.2"/>
    <row r="5059" s="2" customFormat="1" x14ac:dyDescent="0.2"/>
    <row r="5060" s="2" customFormat="1" x14ac:dyDescent="0.2"/>
    <row r="5061" s="2" customFormat="1" x14ac:dyDescent="0.2"/>
    <row r="5062" s="2" customFormat="1" x14ac:dyDescent="0.2"/>
    <row r="5063" s="2" customFormat="1" x14ac:dyDescent="0.2"/>
    <row r="5064" s="2" customFormat="1" x14ac:dyDescent="0.2"/>
    <row r="5065" s="2" customFormat="1" x14ac:dyDescent="0.2"/>
    <row r="5066" s="2" customFormat="1" x14ac:dyDescent="0.2"/>
    <row r="5067" s="2" customFormat="1" x14ac:dyDescent="0.2"/>
    <row r="5068" s="2" customFormat="1" x14ac:dyDescent="0.2"/>
    <row r="5069" s="2" customFormat="1" x14ac:dyDescent="0.2"/>
    <row r="5070" s="2" customFormat="1" x14ac:dyDescent="0.2"/>
    <row r="5071" s="2" customFormat="1" x14ac:dyDescent="0.2"/>
    <row r="5072" s="2" customFormat="1" x14ac:dyDescent="0.2"/>
    <row r="5073" s="2" customFormat="1" x14ac:dyDescent="0.2"/>
    <row r="5074" s="2" customFormat="1" x14ac:dyDescent="0.2"/>
    <row r="5075" s="2" customFormat="1" x14ac:dyDescent="0.2"/>
    <row r="5076" s="2" customFormat="1" x14ac:dyDescent="0.2"/>
    <row r="5077" s="2" customFormat="1" x14ac:dyDescent="0.2"/>
    <row r="5078" s="2" customFormat="1" x14ac:dyDescent="0.2"/>
    <row r="5079" s="2" customFormat="1" x14ac:dyDescent="0.2"/>
    <row r="5080" s="2" customFormat="1" x14ac:dyDescent="0.2"/>
    <row r="5081" s="2" customFormat="1" x14ac:dyDescent="0.2"/>
    <row r="5082" s="2" customFormat="1" x14ac:dyDescent="0.2"/>
    <row r="5083" s="2" customFormat="1" x14ac:dyDescent="0.2"/>
    <row r="5084" s="2" customFormat="1" x14ac:dyDescent="0.2"/>
    <row r="5085" s="2" customFormat="1" x14ac:dyDescent="0.2"/>
    <row r="5086" s="2" customFormat="1" x14ac:dyDescent="0.2"/>
    <row r="5087" s="2" customFormat="1" x14ac:dyDescent="0.2"/>
    <row r="5088" s="2" customFormat="1" x14ac:dyDescent="0.2"/>
    <row r="5089" s="2" customFormat="1" x14ac:dyDescent="0.2"/>
    <row r="5090" s="2" customFormat="1" x14ac:dyDescent="0.2"/>
    <row r="5091" s="2" customFormat="1" x14ac:dyDescent="0.2"/>
    <row r="5092" s="2" customFormat="1" x14ac:dyDescent="0.2"/>
    <row r="5093" s="2" customFormat="1" x14ac:dyDescent="0.2"/>
    <row r="5094" s="2" customFormat="1" x14ac:dyDescent="0.2"/>
    <row r="5095" s="2" customFormat="1" x14ac:dyDescent="0.2"/>
    <row r="5096" s="2" customFormat="1" x14ac:dyDescent="0.2"/>
    <row r="5097" s="2" customFormat="1" x14ac:dyDescent="0.2"/>
    <row r="5098" s="2" customFormat="1" x14ac:dyDescent="0.2"/>
    <row r="5099" s="2" customFormat="1" x14ac:dyDescent="0.2"/>
    <row r="5100" s="2" customFormat="1" x14ac:dyDescent="0.2"/>
    <row r="5101" s="2" customFormat="1" x14ac:dyDescent="0.2"/>
    <row r="5102" s="2" customFormat="1" x14ac:dyDescent="0.2"/>
    <row r="5103" s="2" customFormat="1" x14ac:dyDescent="0.2"/>
    <row r="5104" s="2" customFormat="1" x14ac:dyDescent="0.2"/>
    <row r="5105" s="2" customFormat="1" x14ac:dyDescent="0.2"/>
    <row r="5106" s="2" customFormat="1" x14ac:dyDescent="0.2"/>
    <row r="5107" s="2" customFormat="1" x14ac:dyDescent="0.2"/>
    <row r="5108" s="2" customFormat="1" x14ac:dyDescent="0.2"/>
    <row r="5109" s="2" customFormat="1" x14ac:dyDescent="0.2"/>
    <row r="5110" s="2" customFormat="1" x14ac:dyDescent="0.2"/>
    <row r="5111" s="2" customFormat="1" x14ac:dyDescent="0.2"/>
    <row r="5112" s="2" customFormat="1" x14ac:dyDescent="0.2"/>
    <row r="5113" s="2" customFormat="1" x14ac:dyDescent="0.2"/>
    <row r="5114" s="2" customFormat="1" x14ac:dyDescent="0.2"/>
    <row r="5115" s="2" customFormat="1" x14ac:dyDescent="0.2"/>
    <row r="5116" s="2" customFormat="1" x14ac:dyDescent="0.2"/>
    <row r="5117" s="2" customFormat="1" x14ac:dyDescent="0.2"/>
    <row r="5118" s="2" customFormat="1" x14ac:dyDescent="0.2"/>
    <row r="5119" s="2" customFormat="1" x14ac:dyDescent="0.2"/>
    <row r="5120" s="2" customFormat="1" x14ac:dyDescent="0.2"/>
    <row r="5121" s="2" customFormat="1" x14ac:dyDescent="0.2"/>
    <row r="5122" s="2" customFormat="1" x14ac:dyDescent="0.2"/>
    <row r="5123" s="2" customFormat="1" x14ac:dyDescent="0.2"/>
    <row r="5124" s="2" customFormat="1" x14ac:dyDescent="0.2"/>
    <row r="5125" s="2" customFormat="1" x14ac:dyDescent="0.2"/>
    <row r="5126" s="2" customFormat="1" x14ac:dyDescent="0.2"/>
    <row r="5127" s="2" customFormat="1" x14ac:dyDescent="0.2"/>
    <row r="5128" s="2" customFormat="1" x14ac:dyDescent="0.2"/>
    <row r="5129" s="2" customFormat="1" x14ac:dyDescent="0.2"/>
    <row r="5130" s="2" customFormat="1" x14ac:dyDescent="0.2"/>
    <row r="5131" s="2" customFormat="1" x14ac:dyDescent="0.2"/>
    <row r="5132" s="2" customFormat="1" x14ac:dyDescent="0.2"/>
    <row r="5133" s="2" customFormat="1" x14ac:dyDescent="0.2"/>
    <row r="5134" s="2" customFormat="1" x14ac:dyDescent="0.2"/>
    <row r="5135" s="2" customFormat="1" x14ac:dyDescent="0.2"/>
    <row r="5136" s="2" customFormat="1" x14ac:dyDescent="0.2"/>
    <row r="5137" s="2" customFormat="1" x14ac:dyDescent="0.2"/>
    <row r="5138" s="2" customFormat="1" x14ac:dyDescent="0.2"/>
    <row r="5139" s="2" customFormat="1" x14ac:dyDescent="0.2"/>
    <row r="5140" s="2" customFormat="1" x14ac:dyDescent="0.2"/>
    <row r="5141" s="2" customFormat="1" x14ac:dyDescent="0.2"/>
    <row r="5142" s="2" customFormat="1" x14ac:dyDescent="0.2"/>
    <row r="5143" s="2" customFormat="1" x14ac:dyDescent="0.2"/>
    <row r="5144" s="2" customFormat="1" x14ac:dyDescent="0.2"/>
    <row r="5145" s="2" customFormat="1" x14ac:dyDescent="0.2"/>
    <row r="5146" s="2" customFormat="1" x14ac:dyDescent="0.2"/>
    <row r="5147" s="2" customFormat="1" x14ac:dyDescent="0.2"/>
    <row r="5148" s="2" customFormat="1" x14ac:dyDescent="0.2"/>
    <row r="5149" s="2" customFormat="1" x14ac:dyDescent="0.2"/>
    <row r="5150" s="2" customFormat="1" x14ac:dyDescent="0.2"/>
    <row r="5151" s="2" customFormat="1" x14ac:dyDescent="0.2"/>
    <row r="5152" s="2" customFormat="1" x14ac:dyDescent="0.2"/>
    <row r="5153" s="2" customFormat="1" x14ac:dyDescent="0.2"/>
    <row r="5154" s="2" customFormat="1" x14ac:dyDescent="0.2"/>
    <row r="5155" s="2" customFormat="1" x14ac:dyDescent="0.2"/>
    <row r="5156" s="2" customFormat="1" x14ac:dyDescent="0.2"/>
    <row r="5157" s="2" customFormat="1" x14ac:dyDescent="0.2"/>
    <row r="5158" s="2" customFormat="1" x14ac:dyDescent="0.2"/>
    <row r="5159" s="2" customFormat="1" x14ac:dyDescent="0.2"/>
    <row r="5160" s="2" customFormat="1" x14ac:dyDescent="0.2"/>
    <row r="5161" s="2" customFormat="1" x14ac:dyDescent="0.2"/>
    <row r="5162" s="2" customFormat="1" x14ac:dyDescent="0.2"/>
    <row r="5163" s="2" customFormat="1" x14ac:dyDescent="0.2"/>
    <row r="5164" s="2" customFormat="1" x14ac:dyDescent="0.2"/>
    <row r="5165" s="2" customFormat="1" x14ac:dyDescent="0.2"/>
    <row r="5166" s="2" customFormat="1" x14ac:dyDescent="0.2"/>
    <row r="5167" s="2" customFormat="1" x14ac:dyDescent="0.2"/>
    <row r="5168" s="2" customFormat="1" x14ac:dyDescent="0.2"/>
    <row r="5169" s="2" customFormat="1" x14ac:dyDescent="0.2"/>
    <row r="5170" s="2" customFormat="1" x14ac:dyDescent="0.2"/>
    <row r="5171" s="2" customFormat="1" x14ac:dyDescent="0.2"/>
    <row r="5172" s="2" customFormat="1" x14ac:dyDescent="0.2"/>
    <row r="5173" s="2" customFormat="1" x14ac:dyDescent="0.2"/>
    <row r="5174" s="2" customFormat="1" x14ac:dyDescent="0.2"/>
    <row r="5175" s="2" customFormat="1" x14ac:dyDescent="0.2"/>
    <row r="5176" s="2" customFormat="1" x14ac:dyDescent="0.2"/>
    <row r="5177" s="2" customFormat="1" x14ac:dyDescent="0.2"/>
    <row r="5178" s="2" customFormat="1" x14ac:dyDescent="0.2"/>
    <row r="5179" s="2" customFormat="1" x14ac:dyDescent="0.2"/>
    <row r="5180" s="2" customFormat="1" x14ac:dyDescent="0.2"/>
    <row r="5181" s="2" customFormat="1" x14ac:dyDescent="0.2"/>
    <row r="5182" s="2" customFormat="1" x14ac:dyDescent="0.2"/>
    <row r="5183" s="2" customFormat="1" x14ac:dyDescent="0.2"/>
    <row r="5184" s="2" customFormat="1" x14ac:dyDescent="0.2"/>
    <row r="5185" s="2" customFormat="1" x14ac:dyDescent="0.2"/>
    <row r="5186" s="2" customFormat="1" x14ac:dyDescent="0.2"/>
    <row r="5187" s="2" customFormat="1" x14ac:dyDescent="0.2"/>
    <row r="5188" s="2" customFormat="1" x14ac:dyDescent="0.2"/>
    <row r="5189" s="2" customFormat="1" x14ac:dyDescent="0.2"/>
    <row r="5190" s="2" customFormat="1" x14ac:dyDescent="0.2"/>
    <row r="5191" s="2" customFormat="1" x14ac:dyDescent="0.2"/>
    <row r="5192" s="2" customFormat="1" x14ac:dyDescent="0.2"/>
    <row r="5193" s="2" customFormat="1" x14ac:dyDescent="0.2"/>
    <row r="5194" s="2" customFormat="1" x14ac:dyDescent="0.2"/>
    <row r="5195" s="2" customFormat="1" x14ac:dyDescent="0.2"/>
    <row r="5196" s="2" customFormat="1" x14ac:dyDescent="0.2"/>
    <row r="5197" s="2" customFormat="1" x14ac:dyDescent="0.2"/>
    <row r="5198" s="2" customFormat="1" x14ac:dyDescent="0.2"/>
    <row r="5199" s="2" customFormat="1" x14ac:dyDescent="0.2"/>
    <row r="5200" s="2" customFormat="1" x14ac:dyDescent="0.2"/>
    <row r="5201" s="2" customFormat="1" x14ac:dyDescent="0.2"/>
    <row r="5202" s="2" customFormat="1" x14ac:dyDescent="0.2"/>
    <row r="5203" s="2" customFormat="1" x14ac:dyDescent="0.2"/>
    <row r="5204" s="2" customFormat="1" x14ac:dyDescent="0.2"/>
    <row r="5205" s="2" customFormat="1" x14ac:dyDescent="0.2"/>
    <row r="5206" s="2" customFormat="1" x14ac:dyDescent="0.2"/>
    <row r="5207" s="2" customFormat="1" x14ac:dyDescent="0.2"/>
    <row r="5208" s="2" customFormat="1" x14ac:dyDescent="0.2"/>
    <row r="5209" s="2" customFormat="1" x14ac:dyDescent="0.2"/>
    <row r="5210" s="2" customFormat="1" x14ac:dyDescent="0.2"/>
    <row r="5211" s="2" customFormat="1" x14ac:dyDescent="0.2"/>
    <row r="5212" s="2" customFormat="1" x14ac:dyDescent="0.2"/>
    <row r="5213" s="2" customFormat="1" x14ac:dyDescent="0.2"/>
    <row r="5214" s="2" customFormat="1" x14ac:dyDescent="0.2"/>
    <row r="5215" s="2" customFormat="1" x14ac:dyDescent="0.2"/>
    <row r="5216" s="2" customFormat="1" x14ac:dyDescent="0.2"/>
    <row r="5217" s="2" customFormat="1" x14ac:dyDescent="0.2"/>
    <row r="5218" s="2" customFormat="1" x14ac:dyDescent="0.2"/>
    <row r="5219" s="2" customFormat="1" x14ac:dyDescent="0.2"/>
    <row r="5220" s="2" customFormat="1" x14ac:dyDescent="0.2"/>
    <row r="5221" s="2" customFormat="1" x14ac:dyDescent="0.2"/>
    <row r="5222" s="2" customFormat="1" x14ac:dyDescent="0.2"/>
    <row r="5223" s="2" customFormat="1" x14ac:dyDescent="0.2"/>
    <row r="5224" s="2" customFormat="1" x14ac:dyDescent="0.2"/>
    <row r="5225" s="2" customFormat="1" x14ac:dyDescent="0.2"/>
    <row r="5226" s="2" customFormat="1" x14ac:dyDescent="0.2"/>
    <row r="5227" s="2" customFormat="1" x14ac:dyDescent="0.2"/>
    <row r="5228" s="2" customFormat="1" x14ac:dyDescent="0.2"/>
    <row r="5229" s="2" customFormat="1" x14ac:dyDescent="0.2"/>
    <row r="5230" s="2" customFormat="1" x14ac:dyDescent="0.2"/>
    <row r="5231" s="2" customFormat="1" x14ac:dyDescent="0.2"/>
    <row r="5232" s="2" customFormat="1" x14ac:dyDescent="0.2"/>
    <row r="5233" s="2" customFormat="1" x14ac:dyDescent="0.2"/>
    <row r="5234" s="2" customFormat="1" x14ac:dyDescent="0.2"/>
    <row r="5235" s="2" customFormat="1" x14ac:dyDescent="0.2"/>
    <row r="5236" s="2" customFormat="1" x14ac:dyDescent="0.2"/>
    <row r="5237" s="2" customFormat="1" x14ac:dyDescent="0.2"/>
    <row r="5238" s="2" customFormat="1" x14ac:dyDescent="0.2"/>
    <row r="5239" s="2" customFormat="1" x14ac:dyDescent="0.2"/>
    <row r="5240" s="2" customFormat="1" x14ac:dyDescent="0.2"/>
    <row r="5241" s="2" customFormat="1" x14ac:dyDescent="0.2"/>
    <row r="5242" s="2" customFormat="1" x14ac:dyDescent="0.2"/>
    <row r="5243" s="2" customFormat="1" x14ac:dyDescent="0.2"/>
    <row r="5244" s="2" customFormat="1" x14ac:dyDescent="0.2"/>
    <row r="5245" s="2" customFormat="1" x14ac:dyDescent="0.2"/>
    <row r="5246" s="2" customFormat="1" x14ac:dyDescent="0.2"/>
    <row r="5247" s="2" customFormat="1" x14ac:dyDescent="0.2"/>
    <row r="5248" s="2" customFormat="1" x14ac:dyDescent="0.2"/>
    <row r="5249" s="2" customFormat="1" x14ac:dyDescent="0.2"/>
    <row r="5250" s="2" customFormat="1" x14ac:dyDescent="0.2"/>
    <row r="5251" s="2" customFormat="1" x14ac:dyDescent="0.2"/>
    <row r="5252" s="2" customFormat="1" x14ac:dyDescent="0.2"/>
    <row r="5253" s="2" customFormat="1" x14ac:dyDescent="0.2"/>
    <row r="5254" s="2" customFormat="1" x14ac:dyDescent="0.2"/>
    <row r="5255" s="2" customFormat="1" x14ac:dyDescent="0.2"/>
    <row r="5256" s="2" customFormat="1" x14ac:dyDescent="0.2"/>
    <row r="5257" s="2" customFormat="1" x14ac:dyDescent="0.2"/>
    <row r="5258" s="2" customFormat="1" x14ac:dyDescent="0.2"/>
    <row r="5259" s="2" customFormat="1" x14ac:dyDescent="0.2"/>
    <row r="5260" s="2" customFormat="1" x14ac:dyDescent="0.2"/>
    <row r="5261" s="2" customFormat="1" x14ac:dyDescent="0.2"/>
    <row r="5262" s="2" customFormat="1" x14ac:dyDescent="0.2"/>
    <row r="5263" s="2" customFormat="1" x14ac:dyDescent="0.2"/>
    <row r="5264" s="2" customFormat="1" x14ac:dyDescent="0.2"/>
    <row r="5265" s="2" customFormat="1" x14ac:dyDescent="0.2"/>
    <row r="5266" s="2" customFormat="1" x14ac:dyDescent="0.2"/>
    <row r="5267" s="2" customFormat="1" x14ac:dyDescent="0.2"/>
    <row r="5268" s="2" customFormat="1" x14ac:dyDescent="0.2"/>
    <row r="5269" s="2" customFormat="1" x14ac:dyDescent="0.2"/>
    <row r="5270" s="2" customFormat="1" x14ac:dyDescent="0.2"/>
    <row r="5271" s="2" customFormat="1" x14ac:dyDescent="0.2"/>
    <row r="5272" s="2" customFormat="1" x14ac:dyDescent="0.2"/>
    <row r="5273" s="2" customFormat="1" x14ac:dyDescent="0.2"/>
    <row r="5274" s="2" customFormat="1" x14ac:dyDescent="0.2"/>
    <row r="5275" s="2" customFormat="1" x14ac:dyDescent="0.2"/>
    <row r="5276" s="2" customFormat="1" x14ac:dyDescent="0.2"/>
    <row r="5277" s="2" customFormat="1" x14ac:dyDescent="0.2"/>
    <row r="5278" s="2" customFormat="1" x14ac:dyDescent="0.2"/>
    <row r="5279" s="2" customFormat="1" x14ac:dyDescent="0.2"/>
    <row r="5280" s="2" customFormat="1" x14ac:dyDescent="0.2"/>
    <row r="5281" s="2" customFormat="1" x14ac:dyDescent="0.2"/>
    <row r="5282" s="2" customFormat="1" x14ac:dyDescent="0.2"/>
    <row r="5283" s="2" customFormat="1" x14ac:dyDescent="0.2"/>
    <row r="5284" s="2" customFormat="1" x14ac:dyDescent="0.2"/>
    <row r="5285" s="2" customFormat="1" x14ac:dyDescent="0.2"/>
    <row r="5286" s="2" customFormat="1" x14ac:dyDescent="0.2"/>
    <row r="5287" s="2" customFormat="1" x14ac:dyDescent="0.2"/>
    <row r="5288" s="2" customFormat="1" x14ac:dyDescent="0.2"/>
    <row r="5289" s="2" customFormat="1" x14ac:dyDescent="0.2"/>
    <row r="5290" s="2" customFormat="1" x14ac:dyDescent="0.2"/>
    <row r="5291" s="2" customFormat="1" x14ac:dyDescent="0.2"/>
    <row r="5292" s="2" customFormat="1" x14ac:dyDescent="0.2"/>
    <row r="5293" s="2" customFormat="1" x14ac:dyDescent="0.2"/>
    <row r="5294" s="2" customFormat="1" x14ac:dyDescent="0.2"/>
    <row r="5295" s="2" customFormat="1" x14ac:dyDescent="0.2"/>
    <row r="5296" s="2" customFormat="1" x14ac:dyDescent="0.2"/>
    <row r="5297" s="2" customFormat="1" x14ac:dyDescent="0.2"/>
    <row r="5298" s="2" customFormat="1" x14ac:dyDescent="0.2"/>
    <row r="5299" s="2" customFormat="1" x14ac:dyDescent="0.2"/>
    <row r="5300" s="2" customFormat="1" x14ac:dyDescent="0.2"/>
    <row r="5301" s="2" customFormat="1" x14ac:dyDescent="0.2"/>
    <row r="5302" s="2" customFormat="1" x14ac:dyDescent="0.2"/>
    <row r="5303" s="2" customFormat="1" x14ac:dyDescent="0.2"/>
    <row r="5304" s="2" customFormat="1" x14ac:dyDescent="0.2"/>
    <row r="5305" s="2" customFormat="1" x14ac:dyDescent="0.2"/>
    <row r="5306" s="2" customFormat="1" x14ac:dyDescent="0.2"/>
    <row r="5307" s="2" customFormat="1" x14ac:dyDescent="0.2"/>
    <row r="5308" s="2" customFormat="1" x14ac:dyDescent="0.2"/>
    <row r="5309" s="2" customFormat="1" x14ac:dyDescent="0.2"/>
    <row r="5310" s="2" customFormat="1" x14ac:dyDescent="0.2"/>
    <row r="5311" s="2" customFormat="1" x14ac:dyDescent="0.2"/>
    <row r="5312" s="2" customFormat="1" x14ac:dyDescent="0.2"/>
    <row r="5313" s="2" customFormat="1" x14ac:dyDescent="0.2"/>
    <row r="5314" s="2" customFormat="1" x14ac:dyDescent="0.2"/>
    <row r="5315" s="2" customFormat="1" x14ac:dyDescent="0.2"/>
    <row r="5316" s="2" customFormat="1" x14ac:dyDescent="0.2"/>
    <row r="5317" s="2" customFormat="1" x14ac:dyDescent="0.2"/>
    <row r="5318" s="2" customFormat="1" x14ac:dyDescent="0.2"/>
    <row r="5319" s="2" customFormat="1" x14ac:dyDescent="0.2"/>
    <row r="5320" s="2" customFormat="1" x14ac:dyDescent="0.2"/>
    <row r="5321" s="2" customFormat="1" x14ac:dyDescent="0.2"/>
    <row r="5322" s="2" customFormat="1" x14ac:dyDescent="0.2"/>
    <row r="5323" s="2" customFormat="1" x14ac:dyDescent="0.2"/>
    <row r="5324" s="2" customFormat="1" x14ac:dyDescent="0.2"/>
    <row r="5325" s="2" customFormat="1" x14ac:dyDescent="0.2"/>
    <row r="5326" s="2" customFormat="1" x14ac:dyDescent="0.2"/>
    <row r="5327" s="2" customFormat="1" x14ac:dyDescent="0.2"/>
    <row r="5328" s="2" customFormat="1" x14ac:dyDescent="0.2"/>
    <row r="5329" s="2" customFormat="1" x14ac:dyDescent="0.2"/>
    <row r="5330" s="2" customFormat="1" x14ac:dyDescent="0.2"/>
    <row r="5331" s="2" customFormat="1" x14ac:dyDescent="0.2"/>
    <row r="5332" s="2" customFormat="1" x14ac:dyDescent="0.2"/>
    <row r="5333" s="2" customFormat="1" x14ac:dyDescent="0.2"/>
    <row r="5334" s="2" customFormat="1" x14ac:dyDescent="0.2"/>
    <row r="5335" s="2" customFormat="1" x14ac:dyDescent="0.2"/>
    <row r="5336" s="2" customFormat="1" x14ac:dyDescent="0.2"/>
    <row r="5337" s="2" customFormat="1" x14ac:dyDescent="0.2"/>
    <row r="5338" s="2" customFormat="1" x14ac:dyDescent="0.2"/>
    <row r="5339" s="2" customFormat="1" x14ac:dyDescent="0.2"/>
    <row r="5340" s="2" customFormat="1" x14ac:dyDescent="0.2"/>
    <row r="5341" s="2" customFormat="1" x14ac:dyDescent="0.2"/>
    <row r="5342" s="2" customFormat="1" x14ac:dyDescent="0.2"/>
    <row r="5343" s="2" customFormat="1" x14ac:dyDescent="0.2"/>
    <row r="5344" s="2" customFormat="1" x14ac:dyDescent="0.2"/>
    <row r="5345" s="2" customFormat="1" x14ac:dyDescent="0.2"/>
    <row r="5346" s="2" customFormat="1" x14ac:dyDescent="0.2"/>
    <row r="5347" s="2" customFormat="1" x14ac:dyDescent="0.2"/>
    <row r="5348" s="2" customFormat="1" x14ac:dyDescent="0.2"/>
    <row r="5349" s="2" customFormat="1" x14ac:dyDescent="0.2"/>
    <row r="5350" s="2" customFormat="1" x14ac:dyDescent="0.2"/>
    <row r="5351" s="2" customFormat="1" x14ac:dyDescent="0.2"/>
    <row r="5352" s="2" customFormat="1" x14ac:dyDescent="0.2"/>
    <row r="5353" s="2" customFormat="1" x14ac:dyDescent="0.2"/>
    <row r="5354" s="2" customFormat="1" x14ac:dyDescent="0.2"/>
    <row r="5355" s="2" customFormat="1" x14ac:dyDescent="0.2"/>
    <row r="5356" s="2" customFormat="1" x14ac:dyDescent="0.2"/>
    <row r="5357" s="2" customFormat="1" x14ac:dyDescent="0.2"/>
    <row r="5358" s="2" customFormat="1" x14ac:dyDescent="0.2"/>
    <row r="5359" s="2" customFormat="1" x14ac:dyDescent="0.2"/>
    <row r="5360" s="2" customFormat="1" x14ac:dyDescent="0.2"/>
    <row r="5361" s="2" customFormat="1" x14ac:dyDescent="0.2"/>
    <row r="5362" s="2" customFormat="1" x14ac:dyDescent="0.2"/>
    <row r="5363" s="2" customFormat="1" x14ac:dyDescent="0.2"/>
    <row r="5364" s="2" customFormat="1" x14ac:dyDescent="0.2"/>
    <row r="5365" s="2" customFormat="1" x14ac:dyDescent="0.2"/>
    <row r="5366" s="2" customFormat="1" x14ac:dyDescent="0.2"/>
    <row r="5367" s="2" customFormat="1" x14ac:dyDescent="0.2"/>
    <row r="5368" s="2" customFormat="1" x14ac:dyDescent="0.2"/>
    <row r="5369" s="2" customFormat="1" x14ac:dyDescent="0.2"/>
    <row r="5370" s="2" customFormat="1" x14ac:dyDescent="0.2"/>
    <row r="5371" s="2" customFormat="1" x14ac:dyDescent="0.2"/>
    <row r="5372" s="2" customFormat="1" x14ac:dyDescent="0.2"/>
    <row r="5373" s="2" customFormat="1" x14ac:dyDescent="0.2"/>
    <row r="5374" s="2" customFormat="1" x14ac:dyDescent="0.2"/>
    <row r="5375" s="2" customFormat="1" x14ac:dyDescent="0.2"/>
    <row r="5376" s="2" customFormat="1" x14ac:dyDescent="0.2"/>
    <row r="5377" s="2" customFormat="1" x14ac:dyDescent="0.2"/>
    <row r="5378" s="2" customFormat="1" x14ac:dyDescent="0.2"/>
    <row r="5379" s="2" customFormat="1" x14ac:dyDescent="0.2"/>
    <row r="5380" s="2" customFormat="1" x14ac:dyDescent="0.2"/>
    <row r="5381" s="2" customFormat="1" x14ac:dyDescent="0.2"/>
    <row r="5382" s="2" customFormat="1" x14ac:dyDescent="0.2"/>
    <row r="5383" s="2" customFormat="1" x14ac:dyDescent="0.2"/>
    <row r="5384" s="2" customFormat="1" x14ac:dyDescent="0.2"/>
    <row r="5385" s="2" customFormat="1" x14ac:dyDescent="0.2"/>
    <row r="5386" s="2" customFormat="1" x14ac:dyDescent="0.2"/>
    <row r="5387" s="2" customFormat="1" x14ac:dyDescent="0.2"/>
    <row r="5388" s="2" customFormat="1" x14ac:dyDescent="0.2"/>
    <row r="5389" s="2" customFormat="1" x14ac:dyDescent="0.2"/>
    <row r="5390" s="2" customFormat="1" x14ac:dyDescent="0.2"/>
    <row r="5391" s="2" customFormat="1" x14ac:dyDescent="0.2"/>
    <row r="5392" s="2" customFormat="1" x14ac:dyDescent="0.2"/>
    <row r="5393" s="2" customFormat="1" x14ac:dyDescent="0.2"/>
    <row r="5394" s="2" customFormat="1" x14ac:dyDescent="0.2"/>
    <row r="5395" s="2" customFormat="1" x14ac:dyDescent="0.2"/>
    <row r="5396" s="2" customFormat="1" x14ac:dyDescent="0.2"/>
    <row r="5397" s="2" customFormat="1" x14ac:dyDescent="0.2"/>
    <row r="5398" s="2" customFormat="1" x14ac:dyDescent="0.2"/>
    <row r="5399" s="2" customFormat="1" x14ac:dyDescent="0.2"/>
    <row r="5400" s="2" customFormat="1" x14ac:dyDescent="0.2"/>
    <row r="5401" s="2" customFormat="1" x14ac:dyDescent="0.2"/>
    <row r="5402" s="2" customFormat="1" x14ac:dyDescent="0.2"/>
    <row r="5403" s="2" customFormat="1" x14ac:dyDescent="0.2"/>
    <row r="5404" s="2" customFormat="1" x14ac:dyDescent="0.2"/>
    <row r="5405" s="2" customFormat="1" x14ac:dyDescent="0.2"/>
    <row r="5406" s="2" customFormat="1" x14ac:dyDescent="0.2"/>
    <row r="5407" s="2" customFormat="1" x14ac:dyDescent="0.2"/>
    <row r="5408" s="2" customFormat="1" x14ac:dyDescent="0.2"/>
    <row r="5409" s="2" customFormat="1" x14ac:dyDescent="0.2"/>
    <row r="5410" s="2" customFormat="1" x14ac:dyDescent="0.2"/>
    <row r="5411" s="2" customFormat="1" x14ac:dyDescent="0.2"/>
    <row r="5412" s="2" customFormat="1" x14ac:dyDescent="0.2"/>
    <row r="5413" s="2" customFormat="1" x14ac:dyDescent="0.2"/>
    <row r="5414" s="2" customFormat="1" x14ac:dyDescent="0.2"/>
    <row r="5415" s="2" customFormat="1" x14ac:dyDescent="0.2"/>
    <row r="5416" s="2" customFormat="1" x14ac:dyDescent="0.2"/>
    <row r="5417" s="2" customFormat="1" x14ac:dyDescent="0.2"/>
    <row r="5418" s="2" customFormat="1" x14ac:dyDescent="0.2"/>
    <row r="5419" s="2" customFormat="1" x14ac:dyDescent="0.2"/>
    <row r="5420" s="2" customFormat="1" x14ac:dyDescent="0.2"/>
    <row r="5421" s="2" customFormat="1" x14ac:dyDescent="0.2"/>
    <row r="5422" s="2" customFormat="1" x14ac:dyDescent="0.2"/>
    <row r="5423" s="2" customFormat="1" x14ac:dyDescent="0.2"/>
    <row r="5424" s="2" customFormat="1" x14ac:dyDescent="0.2"/>
    <row r="5425" s="2" customFormat="1" x14ac:dyDescent="0.2"/>
    <row r="5426" s="2" customFormat="1" x14ac:dyDescent="0.2"/>
    <row r="5427" s="2" customFormat="1" x14ac:dyDescent="0.2"/>
    <row r="5428" s="2" customFormat="1" x14ac:dyDescent="0.2"/>
    <row r="5429" s="2" customFormat="1" x14ac:dyDescent="0.2"/>
    <row r="5430" s="2" customFormat="1" x14ac:dyDescent="0.2"/>
    <row r="5431" s="2" customFormat="1" x14ac:dyDescent="0.2"/>
    <row r="5432" s="2" customFormat="1" x14ac:dyDescent="0.2"/>
    <row r="5433" s="2" customFormat="1" x14ac:dyDescent="0.2"/>
    <row r="5434" s="2" customFormat="1" x14ac:dyDescent="0.2"/>
    <row r="5435" s="2" customFormat="1" x14ac:dyDescent="0.2"/>
    <row r="5436" s="2" customFormat="1" x14ac:dyDescent="0.2"/>
    <row r="5437" s="2" customFormat="1" x14ac:dyDescent="0.2"/>
    <row r="5438" s="2" customFormat="1" x14ac:dyDescent="0.2"/>
    <row r="5439" s="2" customFormat="1" x14ac:dyDescent="0.2"/>
    <row r="5440" s="2" customFormat="1" x14ac:dyDescent="0.2"/>
    <row r="5441" s="2" customFormat="1" x14ac:dyDescent="0.2"/>
    <row r="5442" s="2" customFormat="1" x14ac:dyDescent="0.2"/>
    <row r="5443" s="2" customFormat="1" x14ac:dyDescent="0.2"/>
    <row r="5444" s="2" customFormat="1" x14ac:dyDescent="0.2"/>
    <row r="5445" s="2" customFormat="1" x14ac:dyDescent="0.2"/>
    <row r="5446" s="2" customFormat="1" x14ac:dyDescent="0.2"/>
    <row r="5447" s="2" customFormat="1" x14ac:dyDescent="0.2"/>
    <row r="5448" s="2" customFormat="1" x14ac:dyDescent="0.2"/>
    <row r="5449" s="2" customFormat="1" x14ac:dyDescent="0.2"/>
    <row r="5450" s="2" customFormat="1" x14ac:dyDescent="0.2"/>
    <row r="5451" s="2" customFormat="1" x14ac:dyDescent="0.2"/>
    <row r="5452" s="2" customFormat="1" x14ac:dyDescent="0.2"/>
    <row r="5453" s="2" customFormat="1" x14ac:dyDescent="0.2"/>
    <row r="5454" s="2" customFormat="1" x14ac:dyDescent="0.2"/>
    <row r="5455" s="2" customFormat="1" x14ac:dyDescent="0.2"/>
    <row r="5456" s="2" customFormat="1" x14ac:dyDescent="0.2"/>
    <row r="5457" s="2" customFormat="1" x14ac:dyDescent="0.2"/>
    <row r="5458" s="2" customFormat="1" x14ac:dyDescent="0.2"/>
    <row r="5459" s="2" customFormat="1" x14ac:dyDescent="0.2"/>
    <row r="5460" s="2" customFormat="1" x14ac:dyDescent="0.2"/>
    <row r="5461" s="2" customFormat="1" x14ac:dyDescent="0.2"/>
    <row r="5462" s="2" customFormat="1" x14ac:dyDescent="0.2"/>
    <row r="5463" s="2" customFormat="1" x14ac:dyDescent="0.2"/>
    <row r="5464" s="2" customFormat="1" x14ac:dyDescent="0.2"/>
    <row r="5465" s="2" customFormat="1" x14ac:dyDescent="0.2"/>
    <row r="5466" s="2" customFormat="1" x14ac:dyDescent="0.2"/>
    <row r="5467" s="2" customFormat="1" x14ac:dyDescent="0.2"/>
    <row r="5468" s="2" customFormat="1" x14ac:dyDescent="0.2"/>
    <row r="5469" s="2" customFormat="1" x14ac:dyDescent="0.2"/>
    <row r="5470" s="2" customFormat="1" x14ac:dyDescent="0.2"/>
    <row r="5471" s="2" customFormat="1" x14ac:dyDescent="0.2"/>
    <row r="5472" s="2" customFormat="1" x14ac:dyDescent="0.2"/>
    <row r="5473" s="2" customFormat="1" x14ac:dyDescent="0.2"/>
    <row r="5474" s="2" customFormat="1" x14ac:dyDescent="0.2"/>
    <row r="5475" s="2" customFormat="1" x14ac:dyDescent="0.2"/>
    <row r="5476" s="2" customFormat="1" x14ac:dyDescent="0.2"/>
    <row r="5477" s="2" customFormat="1" x14ac:dyDescent="0.2"/>
    <row r="5478" s="2" customFormat="1" x14ac:dyDescent="0.2"/>
    <row r="5479" s="2" customFormat="1" x14ac:dyDescent="0.2"/>
    <row r="5480" s="2" customFormat="1" x14ac:dyDescent="0.2"/>
    <row r="5481" s="2" customFormat="1" x14ac:dyDescent="0.2"/>
    <row r="5482" s="2" customFormat="1" x14ac:dyDescent="0.2"/>
    <row r="5483" s="2" customFormat="1" x14ac:dyDescent="0.2"/>
    <row r="5484" s="2" customFormat="1" x14ac:dyDescent="0.2"/>
    <row r="5485" s="2" customFormat="1" x14ac:dyDescent="0.2"/>
    <row r="5486" s="2" customFormat="1" x14ac:dyDescent="0.2"/>
    <row r="5487" s="2" customFormat="1" x14ac:dyDescent="0.2"/>
    <row r="5488" s="2" customFormat="1" x14ac:dyDescent="0.2"/>
    <row r="5489" s="2" customFormat="1" x14ac:dyDescent="0.2"/>
    <row r="5490" s="2" customFormat="1" x14ac:dyDescent="0.2"/>
    <row r="5491" s="2" customFormat="1" x14ac:dyDescent="0.2"/>
    <row r="5492" s="2" customFormat="1" x14ac:dyDescent="0.2"/>
    <row r="5493" s="2" customFormat="1" x14ac:dyDescent="0.2"/>
    <row r="5494" s="2" customFormat="1" x14ac:dyDescent="0.2"/>
    <row r="5495" s="2" customFormat="1" x14ac:dyDescent="0.2"/>
    <row r="5496" s="2" customFormat="1" x14ac:dyDescent="0.2"/>
    <row r="5497" s="2" customFormat="1" x14ac:dyDescent="0.2"/>
    <row r="5498" s="2" customFormat="1" x14ac:dyDescent="0.2"/>
    <row r="5499" s="2" customFormat="1" x14ac:dyDescent="0.2"/>
    <row r="5500" s="2" customFormat="1" x14ac:dyDescent="0.2"/>
    <row r="5501" s="2" customFormat="1" x14ac:dyDescent="0.2"/>
    <row r="5502" s="2" customFormat="1" x14ac:dyDescent="0.2"/>
    <row r="5503" s="2" customFormat="1" x14ac:dyDescent="0.2"/>
    <row r="5504" s="2" customFormat="1" x14ac:dyDescent="0.2"/>
    <row r="5505" s="2" customFormat="1" x14ac:dyDescent="0.2"/>
    <row r="5506" s="2" customFormat="1" x14ac:dyDescent="0.2"/>
    <row r="5507" s="2" customFormat="1" x14ac:dyDescent="0.2"/>
    <row r="5508" s="2" customFormat="1" x14ac:dyDescent="0.2"/>
    <row r="5509" s="2" customFormat="1" x14ac:dyDescent="0.2"/>
    <row r="5510" s="2" customFormat="1" x14ac:dyDescent="0.2"/>
    <row r="5511" s="2" customFormat="1" x14ac:dyDescent="0.2"/>
    <row r="5512" s="2" customFormat="1" x14ac:dyDescent="0.2"/>
    <row r="5513" s="2" customFormat="1" x14ac:dyDescent="0.2"/>
    <row r="5514" s="2" customFormat="1" x14ac:dyDescent="0.2"/>
    <row r="5515" s="2" customFormat="1" x14ac:dyDescent="0.2"/>
    <row r="5516" s="2" customFormat="1" x14ac:dyDescent="0.2"/>
    <row r="5517" s="2" customFormat="1" x14ac:dyDescent="0.2"/>
    <row r="5518" s="2" customFormat="1" x14ac:dyDescent="0.2"/>
    <row r="5519" s="2" customFormat="1" x14ac:dyDescent="0.2"/>
    <row r="5520" s="2" customFormat="1" x14ac:dyDescent="0.2"/>
    <row r="5521" s="2" customFormat="1" x14ac:dyDescent="0.2"/>
    <row r="5522" s="2" customFormat="1" x14ac:dyDescent="0.2"/>
    <row r="5523" s="2" customFormat="1" x14ac:dyDescent="0.2"/>
    <row r="5524" s="2" customFormat="1" x14ac:dyDescent="0.2"/>
    <row r="5525" s="2" customFormat="1" x14ac:dyDescent="0.2"/>
    <row r="5526" s="2" customFormat="1" x14ac:dyDescent="0.2"/>
    <row r="5527" s="2" customFormat="1" x14ac:dyDescent="0.2"/>
    <row r="5528" s="2" customFormat="1" x14ac:dyDescent="0.2"/>
    <row r="5529" s="2" customFormat="1" x14ac:dyDescent="0.2"/>
    <row r="5530" s="2" customFormat="1" x14ac:dyDescent="0.2"/>
    <row r="5531" s="2" customFormat="1" x14ac:dyDescent="0.2"/>
    <row r="5532" s="2" customFormat="1" x14ac:dyDescent="0.2"/>
    <row r="5533" s="2" customFormat="1" x14ac:dyDescent="0.2"/>
    <row r="5534" s="2" customFormat="1" x14ac:dyDescent="0.2"/>
    <row r="5535" s="2" customFormat="1" x14ac:dyDescent="0.2"/>
    <row r="5536" s="2" customFormat="1" x14ac:dyDescent="0.2"/>
    <row r="5537" s="2" customFormat="1" x14ac:dyDescent="0.2"/>
    <row r="5538" s="2" customFormat="1" x14ac:dyDescent="0.2"/>
    <row r="5539" s="2" customFormat="1" x14ac:dyDescent="0.2"/>
    <row r="5540" s="2" customFormat="1" x14ac:dyDescent="0.2"/>
    <row r="5541" s="2" customFormat="1" x14ac:dyDescent="0.2"/>
    <row r="5542" s="2" customFormat="1" x14ac:dyDescent="0.2"/>
    <row r="5543" s="2" customFormat="1" x14ac:dyDescent="0.2"/>
    <row r="5544" s="2" customFormat="1" x14ac:dyDescent="0.2"/>
    <row r="5545" s="2" customFormat="1" x14ac:dyDescent="0.2"/>
    <row r="5546" s="2" customFormat="1" x14ac:dyDescent="0.2"/>
    <row r="5547" s="2" customFormat="1" x14ac:dyDescent="0.2"/>
    <row r="5548" s="2" customFormat="1" x14ac:dyDescent="0.2"/>
    <row r="5549" s="2" customFormat="1" x14ac:dyDescent="0.2"/>
    <row r="5550" s="2" customFormat="1" x14ac:dyDescent="0.2"/>
    <row r="5551" s="2" customFormat="1" x14ac:dyDescent="0.2"/>
    <row r="5552" s="2" customFormat="1" x14ac:dyDescent="0.2"/>
    <row r="5553" s="2" customFormat="1" x14ac:dyDescent="0.2"/>
    <row r="5554" s="2" customFormat="1" x14ac:dyDescent="0.2"/>
    <row r="5555" s="2" customFormat="1" x14ac:dyDescent="0.2"/>
    <row r="5556" s="2" customFormat="1" x14ac:dyDescent="0.2"/>
    <row r="5557" s="2" customFormat="1" x14ac:dyDescent="0.2"/>
    <row r="5558" s="2" customFormat="1" x14ac:dyDescent="0.2"/>
    <row r="5559" s="2" customFormat="1" x14ac:dyDescent="0.2"/>
    <row r="5560" s="2" customFormat="1" x14ac:dyDescent="0.2"/>
    <row r="5561" s="2" customFormat="1" x14ac:dyDescent="0.2"/>
    <row r="5562" s="2" customFormat="1" x14ac:dyDescent="0.2"/>
    <row r="5563" s="2" customFormat="1" x14ac:dyDescent="0.2"/>
    <row r="5564" s="2" customFormat="1" x14ac:dyDescent="0.2"/>
    <row r="5565" s="2" customFormat="1" x14ac:dyDescent="0.2"/>
    <row r="5566" s="2" customFormat="1" x14ac:dyDescent="0.2"/>
    <row r="5567" s="2" customFormat="1" x14ac:dyDescent="0.2"/>
    <row r="5568" s="2" customFormat="1" x14ac:dyDescent="0.2"/>
    <row r="5569" s="2" customFormat="1" x14ac:dyDescent="0.2"/>
    <row r="5570" s="2" customFormat="1" x14ac:dyDescent="0.2"/>
    <row r="5571" s="2" customFormat="1" x14ac:dyDescent="0.2"/>
    <row r="5572" s="2" customFormat="1" x14ac:dyDescent="0.2"/>
    <row r="5573" s="2" customFormat="1" x14ac:dyDescent="0.2"/>
    <row r="5574" s="2" customFormat="1" x14ac:dyDescent="0.2"/>
    <row r="5575" s="2" customFormat="1" x14ac:dyDescent="0.2"/>
    <row r="5576" s="2" customFormat="1" x14ac:dyDescent="0.2"/>
  </sheetData>
  <mergeCells count="9">
    <mergeCell ref="A27:B27"/>
    <mergeCell ref="O9:P9"/>
    <mergeCell ref="C2:P6"/>
    <mergeCell ref="A24:B24"/>
    <mergeCell ref="A25:B25"/>
    <mergeCell ref="M9:N9"/>
    <mergeCell ref="E17:F17"/>
    <mergeCell ref="G18:I18"/>
    <mergeCell ref="A22:B22"/>
  </mergeCells>
  <conditionalFormatting sqref="M10:M17 O10:O17">
    <cfRule type="containsText" dxfId="15" priority="4" operator="containsText" text="Sobran">
      <formula>NOT(ISERROR(SEARCH("Sobran",M10)))</formula>
    </cfRule>
    <cfRule type="cellIs" dxfId="14" priority="5" operator="equal">
      <formula>"Sobran"</formula>
    </cfRule>
    <cfRule type="containsText" dxfId="13" priority="6" operator="containsText" text="Faltan">
      <formula>NOT(ISERROR(SEARCH("Faltan",M10)))</formula>
    </cfRule>
  </conditionalFormatting>
  <conditionalFormatting sqref="N10:N17 P10:P17">
    <cfRule type="cellIs" dxfId="12" priority="1" operator="equal">
      <formula>" "</formula>
    </cfRule>
    <cfRule type="cellIs" dxfId="11" priority="2" operator="lessThan">
      <formula>0</formula>
    </cfRule>
    <cfRule type="cellIs" dxfId="10" priority="3" operator="greaterThan">
      <formula>0</formula>
    </cfRule>
  </conditionalFormatting>
  <pageMargins left="0.7" right="0.7" top="0.75" bottom="0.75" header="0.3" footer="0.3"/>
  <pageSetup paperSize="9" scale="65" fitToWidth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C886BF"/>
    <pageSetUpPr fitToPage="1"/>
  </sheetPr>
  <dimension ref="A1:NM5581"/>
  <sheetViews>
    <sheetView zoomScaleNormal="100" workbookViewId="0">
      <pane xSplit="17" ySplit="26" topLeftCell="R27" activePane="bottomRight" state="frozen"/>
      <selection pane="bottomLeft" activeCell="A27" sqref="A27"/>
      <selection pane="topRight" activeCell="R1" sqref="R1"/>
      <selection pane="bottomRight" activeCell="R1" sqref="R1"/>
    </sheetView>
  </sheetViews>
  <sheetFormatPr defaultColWidth="11.43359375" defaultRowHeight="15" x14ac:dyDescent="0.2"/>
  <cols>
    <col min="1" max="1" width="5.109375" style="39" customWidth="1"/>
    <col min="2" max="2" width="7.6640625" style="39" customWidth="1"/>
    <col min="3" max="3" width="16.0078125" style="39" bestFit="1" customWidth="1"/>
    <col min="4" max="4" width="9.14453125" style="39" bestFit="1" customWidth="1"/>
    <col min="5" max="5" width="9.4140625" style="39" bestFit="1" customWidth="1"/>
    <col min="6" max="6" width="5.109375" style="39" bestFit="1" customWidth="1"/>
    <col min="7" max="7" width="9.28125" style="39" bestFit="1" customWidth="1"/>
    <col min="8" max="8" width="6.9921875" style="39" bestFit="1" customWidth="1"/>
    <col min="9" max="9" width="11.296875" style="39" bestFit="1" customWidth="1"/>
    <col min="10" max="10" width="13.44921875" style="39" bestFit="1" customWidth="1"/>
    <col min="11" max="11" width="14.66015625" style="39" bestFit="1" customWidth="1"/>
    <col min="12" max="12" width="16.54296875" style="39" bestFit="1" customWidth="1"/>
    <col min="13" max="13" width="9.01171875" style="39" bestFit="1" customWidth="1"/>
    <col min="14" max="14" width="9.01171875" style="39" customWidth="1"/>
    <col min="15" max="15" width="17.75390625" style="39" bestFit="1" customWidth="1"/>
    <col min="16" max="16384" width="11.43359375" style="39"/>
  </cols>
  <sheetData>
    <row r="1" spans="1:377" ht="15.75" thickBot="1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  <c r="HM1" s="38"/>
      <c r="HN1" s="38"/>
      <c r="HO1" s="38"/>
      <c r="HP1" s="38"/>
      <c r="HQ1" s="38"/>
      <c r="HR1" s="38"/>
      <c r="HS1" s="38"/>
      <c r="HT1" s="38"/>
      <c r="HU1" s="38"/>
      <c r="HV1" s="38"/>
      <c r="HW1" s="38"/>
      <c r="HX1" s="38"/>
      <c r="HY1" s="38"/>
      <c r="HZ1" s="38"/>
      <c r="IA1" s="38"/>
      <c r="IB1" s="38"/>
      <c r="IC1" s="38"/>
      <c r="ID1" s="38"/>
      <c r="IE1" s="38"/>
      <c r="IF1" s="38"/>
      <c r="IG1" s="38"/>
      <c r="IH1" s="38"/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  <c r="IW1" s="38"/>
      <c r="IX1" s="38"/>
      <c r="IY1" s="38"/>
      <c r="IZ1" s="38"/>
      <c r="JA1" s="38"/>
      <c r="JB1" s="38"/>
      <c r="JC1" s="38"/>
      <c r="JD1" s="38"/>
      <c r="JE1" s="38"/>
      <c r="JF1" s="38"/>
      <c r="JG1" s="38"/>
      <c r="JH1" s="38"/>
      <c r="JI1" s="38"/>
      <c r="JJ1" s="38"/>
      <c r="JK1" s="38"/>
      <c r="JL1" s="38"/>
      <c r="JM1" s="38"/>
      <c r="JN1" s="38"/>
      <c r="JO1" s="38"/>
      <c r="JP1" s="38"/>
      <c r="JQ1" s="38"/>
      <c r="JR1" s="38"/>
      <c r="JS1" s="38"/>
      <c r="JT1" s="38"/>
      <c r="JU1" s="38"/>
      <c r="JV1" s="38"/>
      <c r="JW1" s="38"/>
      <c r="JX1" s="38"/>
      <c r="JY1" s="38"/>
      <c r="JZ1" s="38"/>
      <c r="KA1" s="38"/>
      <c r="KB1" s="38"/>
      <c r="KC1" s="38"/>
      <c r="KD1" s="38"/>
      <c r="KE1" s="38"/>
      <c r="KF1" s="38"/>
      <c r="KG1" s="38"/>
      <c r="KH1" s="38"/>
      <c r="KI1" s="38"/>
      <c r="KJ1" s="38"/>
      <c r="KK1" s="38"/>
      <c r="KL1" s="38"/>
      <c r="KM1" s="38"/>
      <c r="KN1" s="38"/>
      <c r="KO1" s="38"/>
      <c r="KP1" s="38"/>
      <c r="KQ1" s="38"/>
      <c r="KR1" s="38"/>
      <c r="KS1" s="38"/>
      <c r="KT1" s="38"/>
      <c r="KU1" s="38"/>
      <c r="KV1" s="38"/>
      <c r="KW1" s="38"/>
      <c r="KX1" s="38"/>
      <c r="KY1" s="38"/>
      <c r="KZ1" s="38"/>
      <c r="LA1" s="38"/>
      <c r="LB1" s="38"/>
      <c r="LC1" s="38"/>
      <c r="LD1" s="38"/>
      <c r="LE1" s="38"/>
      <c r="LF1" s="38"/>
      <c r="LG1" s="38"/>
      <c r="LH1" s="38"/>
      <c r="LI1" s="38"/>
      <c r="LJ1" s="38"/>
      <c r="LK1" s="38"/>
      <c r="LL1" s="38"/>
      <c r="LM1" s="38"/>
      <c r="LN1" s="38"/>
      <c r="LO1" s="38"/>
      <c r="LP1" s="38"/>
      <c r="LQ1" s="38"/>
      <c r="LR1" s="38"/>
      <c r="LS1" s="38"/>
      <c r="LT1" s="38"/>
      <c r="LU1" s="38"/>
      <c r="LV1" s="38"/>
      <c r="LW1" s="38"/>
      <c r="LX1" s="38"/>
      <c r="LY1" s="38"/>
      <c r="LZ1" s="38"/>
      <c r="MA1" s="38"/>
      <c r="MB1" s="38"/>
      <c r="MC1" s="38"/>
      <c r="MD1" s="38"/>
      <c r="ME1" s="38"/>
      <c r="MF1" s="38"/>
      <c r="MG1" s="38"/>
      <c r="MH1" s="38"/>
      <c r="MI1" s="38"/>
      <c r="MJ1" s="38"/>
      <c r="MK1" s="38"/>
      <c r="ML1" s="38"/>
      <c r="MM1" s="38"/>
      <c r="MN1" s="38"/>
      <c r="MO1" s="38"/>
      <c r="MP1" s="38"/>
      <c r="MQ1" s="38"/>
      <c r="MR1" s="38"/>
      <c r="MS1" s="38"/>
      <c r="MT1" s="38"/>
      <c r="MU1" s="38"/>
      <c r="MV1" s="38"/>
      <c r="MW1" s="38"/>
      <c r="MX1" s="38"/>
      <c r="MY1" s="38"/>
      <c r="MZ1" s="38"/>
      <c r="NA1" s="38"/>
      <c r="NB1" s="38"/>
      <c r="NC1" s="38"/>
      <c r="ND1" s="38"/>
      <c r="NE1" s="38"/>
      <c r="NF1" s="38"/>
      <c r="NG1" s="38"/>
      <c r="NH1" s="38"/>
      <c r="NI1" s="38"/>
      <c r="NJ1" s="38"/>
      <c r="NK1" s="38"/>
      <c r="NL1" s="38"/>
      <c r="NM1" s="38"/>
    </row>
    <row r="2" spans="1:377" ht="15" customHeight="1" x14ac:dyDescent="0.2">
      <c r="A2" s="38"/>
      <c r="B2" s="40"/>
      <c r="C2" s="783" t="s">
        <v>38</v>
      </c>
      <c r="D2" s="784"/>
      <c r="E2" s="784"/>
      <c r="F2" s="784"/>
      <c r="G2" s="784"/>
      <c r="H2" s="784"/>
      <c r="I2" s="784"/>
      <c r="J2" s="784"/>
      <c r="K2" s="784"/>
      <c r="L2" s="784"/>
      <c r="M2" s="784"/>
      <c r="N2" s="784"/>
      <c r="O2" s="785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</row>
    <row r="3" spans="1:377" ht="15" customHeight="1" x14ac:dyDescent="0.2">
      <c r="A3" s="38"/>
      <c r="B3" s="40"/>
      <c r="C3" s="786"/>
      <c r="D3" s="787"/>
      <c r="E3" s="787"/>
      <c r="F3" s="787"/>
      <c r="G3" s="787"/>
      <c r="H3" s="787"/>
      <c r="I3" s="787"/>
      <c r="J3" s="787"/>
      <c r="K3" s="787"/>
      <c r="L3" s="787"/>
      <c r="M3" s="787"/>
      <c r="N3" s="787"/>
      <c r="O3" s="78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41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  <c r="IW3" s="38"/>
      <c r="IX3" s="38"/>
      <c r="IY3" s="38"/>
      <c r="IZ3" s="38"/>
      <c r="JA3" s="38"/>
      <c r="JB3" s="38"/>
      <c r="JC3" s="38"/>
      <c r="JD3" s="38"/>
      <c r="JE3" s="38"/>
      <c r="JF3" s="38"/>
      <c r="JG3" s="38"/>
      <c r="JH3" s="38"/>
      <c r="JI3" s="38"/>
      <c r="JJ3" s="38"/>
      <c r="JK3" s="38"/>
      <c r="JL3" s="38"/>
      <c r="JM3" s="38"/>
      <c r="JN3" s="38"/>
      <c r="JO3" s="38"/>
      <c r="JP3" s="38"/>
      <c r="JQ3" s="38"/>
      <c r="JR3" s="38"/>
      <c r="JS3" s="38"/>
      <c r="JT3" s="38"/>
      <c r="JU3" s="38"/>
      <c r="JV3" s="38"/>
      <c r="JW3" s="38"/>
      <c r="JX3" s="38"/>
      <c r="JY3" s="38"/>
      <c r="JZ3" s="38"/>
      <c r="KA3" s="38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  <c r="KP3" s="38"/>
      <c r="KQ3" s="38"/>
      <c r="KR3" s="38"/>
      <c r="KS3" s="38"/>
      <c r="KT3" s="38"/>
      <c r="KU3" s="38"/>
      <c r="KV3" s="38"/>
      <c r="KW3" s="38"/>
      <c r="KX3" s="38"/>
      <c r="KY3" s="38"/>
      <c r="KZ3" s="38"/>
      <c r="LA3" s="38"/>
      <c r="LB3" s="38"/>
      <c r="LC3" s="38"/>
      <c r="LD3" s="38"/>
      <c r="LE3" s="38"/>
      <c r="LF3" s="38"/>
      <c r="LG3" s="38"/>
      <c r="LH3" s="38"/>
      <c r="LI3" s="38"/>
      <c r="LJ3" s="38"/>
      <c r="LK3" s="38"/>
      <c r="LL3" s="38"/>
      <c r="LM3" s="38"/>
      <c r="LN3" s="38"/>
      <c r="LO3" s="38"/>
      <c r="LP3" s="38"/>
      <c r="LQ3" s="38"/>
      <c r="LR3" s="38"/>
      <c r="LS3" s="38"/>
      <c r="LT3" s="38"/>
      <c r="LU3" s="38"/>
      <c r="LV3" s="38"/>
      <c r="LW3" s="38"/>
      <c r="LX3" s="38"/>
      <c r="LY3" s="38"/>
      <c r="LZ3" s="38"/>
      <c r="MA3" s="38"/>
      <c r="MB3" s="38"/>
      <c r="MC3" s="38"/>
      <c r="MD3" s="38"/>
      <c r="ME3" s="38"/>
      <c r="MF3" s="38"/>
      <c r="MG3" s="38"/>
      <c r="MH3" s="38"/>
      <c r="MI3" s="38"/>
      <c r="MJ3" s="38"/>
      <c r="MK3" s="38"/>
      <c r="ML3" s="38"/>
      <c r="MM3" s="38"/>
      <c r="MN3" s="38"/>
      <c r="MO3" s="38"/>
      <c r="MP3" s="38"/>
      <c r="MQ3" s="38"/>
      <c r="MR3" s="38"/>
      <c r="MS3" s="38"/>
      <c r="MT3" s="38"/>
      <c r="MU3" s="38"/>
      <c r="MV3" s="38"/>
      <c r="MW3" s="38"/>
      <c r="MX3" s="38"/>
      <c r="MY3" s="38"/>
      <c r="MZ3" s="38"/>
      <c r="NA3" s="38"/>
      <c r="NB3" s="38"/>
      <c r="NC3" s="38"/>
      <c r="ND3" s="38"/>
      <c r="NE3" s="38"/>
      <c r="NF3" s="38"/>
      <c r="NG3" s="38"/>
      <c r="NH3" s="38"/>
      <c r="NI3" s="38"/>
      <c r="NJ3" s="38"/>
      <c r="NK3" s="38"/>
      <c r="NL3" s="38"/>
      <c r="NM3" s="38"/>
    </row>
    <row r="4" spans="1:377" ht="15" customHeight="1" x14ac:dyDescent="0.2">
      <c r="A4" s="38"/>
      <c r="B4" s="40"/>
      <c r="C4" s="786"/>
      <c r="D4" s="787"/>
      <c r="E4" s="787"/>
      <c r="F4" s="787"/>
      <c r="G4" s="787"/>
      <c r="H4" s="787"/>
      <c r="I4" s="787"/>
      <c r="J4" s="787"/>
      <c r="K4" s="787"/>
      <c r="L4" s="787"/>
      <c r="M4" s="787"/>
      <c r="N4" s="787"/>
      <c r="O4" s="78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</row>
    <row r="5" spans="1:377" ht="15" customHeight="1" x14ac:dyDescent="0.2">
      <c r="A5" s="38"/>
      <c r="B5" s="40"/>
      <c r="C5" s="786"/>
      <c r="D5" s="787"/>
      <c r="E5" s="787"/>
      <c r="F5" s="787"/>
      <c r="G5" s="787"/>
      <c r="H5" s="787"/>
      <c r="I5" s="787"/>
      <c r="J5" s="787"/>
      <c r="K5" s="787"/>
      <c r="L5" s="787"/>
      <c r="M5" s="787"/>
      <c r="N5" s="787"/>
      <c r="O5" s="78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</row>
    <row r="6" spans="1:377" ht="15.75" customHeight="1" thickBot="1" x14ac:dyDescent="0.25">
      <c r="A6" s="38"/>
      <c r="B6" s="40"/>
      <c r="C6" s="789"/>
      <c r="D6" s="790"/>
      <c r="E6" s="790"/>
      <c r="F6" s="790"/>
      <c r="G6" s="790"/>
      <c r="H6" s="790"/>
      <c r="I6" s="790"/>
      <c r="J6" s="790"/>
      <c r="K6" s="790"/>
      <c r="L6" s="790"/>
      <c r="M6" s="790"/>
      <c r="N6" s="790"/>
      <c r="O6" s="791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</row>
    <row r="7" spans="1:377" x14ac:dyDescent="0.2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</row>
    <row r="8" spans="1:377" ht="15.75" thickBot="1" x14ac:dyDescent="0.25">
      <c r="A8" s="38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</row>
    <row r="9" spans="1:377" s="44" customFormat="1" ht="15.75" thickBot="1" x14ac:dyDescent="0.25">
      <c r="A9" s="41"/>
      <c r="B9" s="43"/>
      <c r="C9" s="43"/>
      <c r="D9" s="75" t="s">
        <v>21</v>
      </c>
      <c r="E9" s="76" t="s">
        <v>22</v>
      </c>
      <c r="F9" s="76" t="s">
        <v>28</v>
      </c>
      <c r="G9" s="131" t="s">
        <v>5</v>
      </c>
      <c r="H9" s="131" t="s">
        <v>6</v>
      </c>
      <c r="I9" s="131" t="s">
        <v>23</v>
      </c>
      <c r="J9" s="131" t="s">
        <v>8</v>
      </c>
      <c r="K9" s="131" t="s">
        <v>9</v>
      </c>
      <c r="L9" s="131" t="s">
        <v>30</v>
      </c>
      <c r="M9" s="792" t="s">
        <v>10</v>
      </c>
      <c r="N9" s="792"/>
      <c r="O9" s="792" t="s">
        <v>30</v>
      </c>
      <c r="P9" s="793"/>
      <c r="Q9" s="41"/>
      <c r="R9" s="41"/>
      <c r="S9" s="41"/>
      <c r="T9" s="41"/>
      <c r="U9" s="41"/>
      <c r="V9" s="41"/>
      <c r="W9" s="41"/>
      <c r="X9" s="41"/>
      <c r="Y9" s="41"/>
      <c r="Z9" s="41"/>
      <c r="AA9" s="38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</row>
    <row r="10" spans="1:377" ht="19.5" x14ac:dyDescent="0.2">
      <c r="A10" s="38"/>
      <c r="B10" s="45"/>
      <c r="C10" s="77" t="s">
        <v>34</v>
      </c>
      <c r="D10" s="78"/>
      <c r="E10" s="78"/>
      <c r="F10" s="79"/>
      <c r="G10" s="61"/>
      <c r="H10" s="59"/>
      <c r="I10" s="60">
        <f>0.02*G10</f>
        <v>0</v>
      </c>
      <c r="J10" s="71">
        <f>G10-H10-I10</f>
        <v>0</v>
      </c>
      <c r="K10" s="69"/>
      <c r="L10" s="70"/>
      <c r="M10" s="63" t="str">
        <f>IF(ISBLANK(K10)," ",IF(K10-J10=0,"Correcto ",IF(K10-J10&lt;0,"Faltan","Sobran")))</f>
        <v xml:space="preserve"> </v>
      </c>
      <c r="N10" s="72" t="str">
        <f>IF(ISBLANK(K10)," ",IF(K10-J10=0," ",K10-J10))</f>
        <v xml:space="preserve"> </v>
      </c>
      <c r="O10" s="62" t="str">
        <f t="shared" ref="O10:O21" si="0">IF(ISBLANK(L10)," ",IF(L10-K10=0,"Correcto ",IF(L10-K10&lt;0,"Faltan por ingresar","Sobran")))</f>
        <v xml:space="preserve"> </v>
      </c>
      <c r="P10" s="64" t="str">
        <f>IF(ISBLANK(K10)," ",IF(L10-K10=0," ",L10-K10))</f>
        <v xml:space="preserve"> </v>
      </c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</row>
    <row r="11" spans="1:377" ht="19.5" x14ac:dyDescent="0.2">
      <c r="A11" s="38"/>
      <c r="B11" s="45"/>
      <c r="C11" s="80" t="s">
        <v>35</v>
      </c>
      <c r="D11" s="57"/>
      <c r="E11" s="57"/>
      <c r="F11" s="81"/>
      <c r="G11" s="58"/>
      <c r="H11" s="59"/>
      <c r="I11" s="60">
        <f t="shared" ref="I11:I12" si="1">0.02*G11</f>
        <v>0</v>
      </c>
      <c r="J11" s="71">
        <f t="shared" ref="J11:J21" si="2">G11-H11-I11</f>
        <v>0</v>
      </c>
      <c r="K11" s="69"/>
      <c r="L11" s="70"/>
      <c r="M11" s="63" t="str">
        <f t="shared" ref="M11:M21" si="3">IF(ISBLANK(K11)," ",IF(K11-J11=0,"Correcto ",IF(K11-J11&lt;0,"Faltan","Sobran")))</f>
        <v xml:space="preserve"> </v>
      </c>
      <c r="N11" s="68" t="str">
        <f t="shared" ref="N11:N21" si="4">IF(ISBLANK(K11)," ",IF(K11-J11=0," ",K11-J11))</f>
        <v xml:space="preserve"> </v>
      </c>
      <c r="O11" s="62" t="str">
        <f t="shared" si="0"/>
        <v xml:space="preserve"> </v>
      </c>
      <c r="P11" s="64" t="str">
        <f t="shared" ref="P11:P22" si="5">IF(ISBLANK(K11)," ",IF(L11-K11=0," ",L11-K11))</f>
        <v xml:space="preserve"> </v>
      </c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</row>
    <row r="12" spans="1:377" ht="19.5" x14ac:dyDescent="0.2">
      <c r="A12" s="38"/>
      <c r="B12" s="45"/>
      <c r="C12" s="80" t="s">
        <v>36</v>
      </c>
      <c r="D12" s="57"/>
      <c r="E12" s="57"/>
      <c r="F12" s="81"/>
      <c r="G12" s="61"/>
      <c r="H12" s="59"/>
      <c r="I12" s="60">
        <f t="shared" si="1"/>
        <v>0</v>
      </c>
      <c r="J12" s="71">
        <f t="shared" si="2"/>
        <v>0</v>
      </c>
      <c r="K12" s="69"/>
      <c r="L12" s="70"/>
      <c r="M12" s="63" t="str">
        <f t="shared" si="3"/>
        <v xml:space="preserve"> </v>
      </c>
      <c r="N12" s="64" t="str">
        <f t="shared" si="4"/>
        <v xml:space="preserve"> </v>
      </c>
      <c r="O12" s="62" t="str">
        <f t="shared" si="0"/>
        <v xml:space="preserve"> </v>
      </c>
      <c r="P12" s="64" t="str">
        <f t="shared" si="5"/>
        <v xml:space="preserve"> </v>
      </c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</row>
    <row r="13" spans="1:377" ht="19.5" x14ac:dyDescent="0.2">
      <c r="A13" s="38"/>
      <c r="B13" s="45"/>
      <c r="C13" s="80" t="s">
        <v>37</v>
      </c>
      <c r="D13" s="57"/>
      <c r="E13" s="57"/>
      <c r="F13" s="81"/>
      <c r="G13" s="61"/>
      <c r="H13" s="59"/>
      <c r="I13" s="60">
        <f t="shared" ref="I13:I21" si="6">0.02*G13</f>
        <v>0</v>
      </c>
      <c r="J13" s="71">
        <f t="shared" si="2"/>
        <v>0</v>
      </c>
      <c r="K13" s="69"/>
      <c r="L13" s="70"/>
      <c r="M13" s="63" t="str">
        <f t="shared" si="3"/>
        <v xml:space="preserve"> </v>
      </c>
      <c r="N13" s="64" t="str">
        <f t="shared" si="4"/>
        <v xml:space="preserve"> </v>
      </c>
      <c r="O13" s="62" t="str">
        <f t="shared" si="0"/>
        <v xml:space="preserve"> </v>
      </c>
      <c r="P13" s="64" t="str">
        <f t="shared" si="5"/>
        <v xml:space="preserve"> </v>
      </c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</row>
    <row r="14" spans="1:377" ht="19.5" x14ac:dyDescent="0.2">
      <c r="A14" s="38"/>
      <c r="B14" s="45"/>
      <c r="C14" s="80" t="s">
        <v>24</v>
      </c>
      <c r="D14" s="57"/>
      <c r="E14" s="57"/>
      <c r="F14" s="81"/>
      <c r="G14" s="61"/>
      <c r="H14" s="59"/>
      <c r="I14" s="60">
        <f t="shared" si="6"/>
        <v>0</v>
      </c>
      <c r="J14" s="71">
        <f t="shared" si="2"/>
        <v>0</v>
      </c>
      <c r="K14" s="69"/>
      <c r="L14" s="70"/>
      <c r="M14" s="63" t="str">
        <f t="shared" si="3"/>
        <v xml:space="preserve"> </v>
      </c>
      <c r="N14" s="64" t="str">
        <f t="shared" si="4"/>
        <v xml:space="preserve"> </v>
      </c>
      <c r="O14" s="62" t="str">
        <f t="shared" si="0"/>
        <v xml:space="preserve"> </v>
      </c>
      <c r="P14" s="64" t="str">
        <f t="shared" si="5"/>
        <v xml:space="preserve"> </v>
      </c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</row>
    <row r="15" spans="1:377" ht="19.5" x14ac:dyDescent="0.2">
      <c r="A15" s="38"/>
      <c r="B15" s="45"/>
      <c r="C15" s="80" t="s">
        <v>25</v>
      </c>
      <c r="D15" s="57"/>
      <c r="E15" s="57"/>
      <c r="F15" s="81"/>
      <c r="G15" s="61"/>
      <c r="H15" s="59"/>
      <c r="I15" s="60">
        <f t="shared" si="6"/>
        <v>0</v>
      </c>
      <c r="J15" s="71">
        <f t="shared" si="2"/>
        <v>0</v>
      </c>
      <c r="K15" s="69"/>
      <c r="L15" s="70"/>
      <c r="M15" s="63" t="str">
        <f t="shared" si="3"/>
        <v xml:space="preserve"> </v>
      </c>
      <c r="N15" s="64" t="str">
        <f t="shared" si="4"/>
        <v xml:space="preserve"> </v>
      </c>
      <c r="O15" s="62" t="str">
        <f t="shared" si="0"/>
        <v xml:space="preserve"> </v>
      </c>
      <c r="P15" s="64" t="str">
        <f t="shared" si="5"/>
        <v xml:space="preserve"> 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</row>
    <row r="16" spans="1:377" ht="19.5" x14ac:dyDescent="0.2">
      <c r="A16" s="38"/>
      <c r="B16" s="45"/>
      <c r="C16" s="80" t="s">
        <v>26</v>
      </c>
      <c r="D16" s="57"/>
      <c r="E16" s="57"/>
      <c r="F16" s="81"/>
      <c r="G16" s="61"/>
      <c r="H16" s="59"/>
      <c r="I16" s="60">
        <f t="shared" si="6"/>
        <v>0</v>
      </c>
      <c r="J16" s="71">
        <f>G16-H16-I16</f>
        <v>0</v>
      </c>
      <c r="K16" s="69"/>
      <c r="L16" s="70"/>
      <c r="M16" s="63" t="str">
        <f t="shared" si="3"/>
        <v xml:space="preserve"> </v>
      </c>
      <c r="N16" s="64" t="str">
        <f t="shared" si="4"/>
        <v xml:space="preserve"> </v>
      </c>
      <c r="O16" s="62" t="str">
        <f t="shared" si="0"/>
        <v xml:space="preserve"> </v>
      </c>
      <c r="P16" s="64" t="str">
        <f t="shared" si="5"/>
        <v xml:space="preserve"> </v>
      </c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</row>
    <row r="17" spans="1:377" ht="19.5" x14ac:dyDescent="0.2">
      <c r="A17" s="38"/>
      <c r="B17" s="45"/>
      <c r="C17" s="80" t="s">
        <v>39</v>
      </c>
      <c r="D17" s="57"/>
      <c r="E17" s="57"/>
      <c r="F17" s="81"/>
      <c r="G17" s="61"/>
      <c r="H17" s="59"/>
      <c r="I17" s="60">
        <f t="shared" si="6"/>
        <v>0</v>
      </c>
      <c r="J17" s="71">
        <f t="shared" si="2"/>
        <v>0</v>
      </c>
      <c r="K17" s="69"/>
      <c r="L17" s="70"/>
      <c r="M17" s="63" t="str">
        <f t="shared" si="3"/>
        <v xml:space="preserve"> </v>
      </c>
      <c r="N17" s="64" t="str">
        <f t="shared" si="4"/>
        <v xml:space="preserve"> </v>
      </c>
      <c r="O17" s="62" t="str">
        <f t="shared" si="0"/>
        <v xml:space="preserve"> </v>
      </c>
      <c r="P17" s="64" t="str">
        <f t="shared" si="5"/>
        <v xml:space="preserve"> </v>
      </c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</row>
    <row r="18" spans="1:377" ht="19.5" x14ac:dyDescent="0.2">
      <c r="A18" s="38"/>
      <c r="B18" s="45"/>
      <c r="C18" s="80" t="s">
        <v>40</v>
      </c>
      <c r="D18" s="57"/>
      <c r="E18" s="57"/>
      <c r="F18" s="81"/>
      <c r="G18" s="61"/>
      <c r="H18" s="59"/>
      <c r="I18" s="60">
        <f t="shared" si="6"/>
        <v>0</v>
      </c>
      <c r="J18" s="71">
        <f t="shared" si="2"/>
        <v>0</v>
      </c>
      <c r="K18" s="69"/>
      <c r="L18" s="70"/>
      <c r="M18" s="63" t="str">
        <f t="shared" si="3"/>
        <v xml:space="preserve"> </v>
      </c>
      <c r="N18" s="64" t="str">
        <f t="shared" si="4"/>
        <v xml:space="preserve"> </v>
      </c>
      <c r="O18" s="62" t="str">
        <f t="shared" si="0"/>
        <v xml:space="preserve"> </v>
      </c>
      <c r="P18" s="64" t="str">
        <f t="shared" si="5"/>
        <v xml:space="preserve"> </v>
      </c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</row>
    <row r="19" spans="1:377" ht="19.5" x14ac:dyDescent="0.2">
      <c r="A19" s="38"/>
      <c r="B19" s="45"/>
      <c r="C19" s="80" t="s">
        <v>31</v>
      </c>
      <c r="D19" s="57"/>
      <c r="E19" s="57"/>
      <c r="F19" s="81"/>
      <c r="G19" s="61"/>
      <c r="H19" s="59"/>
      <c r="I19" s="60">
        <f t="shared" si="6"/>
        <v>0</v>
      </c>
      <c r="J19" s="71">
        <f t="shared" si="2"/>
        <v>0</v>
      </c>
      <c r="K19" s="69"/>
      <c r="L19" s="70"/>
      <c r="M19" s="63" t="str">
        <f t="shared" si="3"/>
        <v xml:space="preserve"> </v>
      </c>
      <c r="N19" s="64" t="str">
        <f t="shared" si="4"/>
        <v xml:space="preserve"> </v>
      </c>
      <c r="O19" s="62" t="str">
        <f t="shared" si="0"/>
        <v xml:space="preserve"> </v>
      </c>
      <c r="P19" s="64" t="str">
        <f t="shared" si="5"/>
        <v xml:space="preserve"> </v>
      </c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</row>
    <row r="20" spans="1:377" ht="19.5" x14ac:dyDescent="0.2">
      <c r="A20" s="38"/>
      <c r="B20" s="45"/>
      <c r="C20" s="80" t="s">
        <v>32</v>
      </c>
      <c r="D20" s="57"/>
      <c r="E20" s="57"/>
      <c r="F20" s="81"/>
      <c r="G20" s="61"/>
      <c r="H20" s="59"/>
      <c r="I20" s="60">
        <f t="shared" si="6"/>
        <v>0</v>
      </c>
      <c r="J20" s="71">
        <f t="shared" si="2"/>
        <v>0</v>
      </c>
      <c r="K20" s="69"/>
      <c r="L20" s="70"/>
      <c r="M20" s="63" t="str">
        <f t="shared" si="3"/>
        <v xml:space="preserve"> </v>
      </c>
      <c r="N20" s="64" t="str">
        <f t="shared" si="4"/>
        <v xml:space="preserve"> </v>
      </c>
      <c r="O20" s="62" t="str">
        <f t="shared" si="0"/>
        <v xml:space="preserve"> </v>
      </c>
      <c r="P20" s="64" t="str">
        <f t="shared" si="5"/>
        <v xml:space="preserve"> </v>
      </c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</row>
    <row r="21" spans="1:377" ht="20.25" thickBot="1" x14ac:dyDescent="0.25">
      <c r="A21" s="38"/>
      <c r="B21" s="45"/>
      <c r="C21" s="82" t="s">
        <v>33</v>
      </c>
      <c r="D21" s="83"/>
      <c r="E21" s="83"/>
      <c r="F21" s="84"/>
      <c r="G21" s="61"/>
      <c r="H21" s="59"/>
      <c r="I21" s="60">
        <f t="shared" si="6"/>
        <v>0</v>
      </c>
      <c r="J21" s="71">
        <f t="shared" si="2"/>
        <v>0</v>
      </c>
      <c r="K21" s="69"/>
      <c r="L21" s="70"/>
      <c r="M21" s="63" t="str">
        <f t="shared" si="3"/>
        <v xml:space="preserve"> </v>
      </c>
      <c r="N21" s="64" t="str">
        <f t="shared" si="4"/>
        <v xml:space="preserve"> </v>
      </c>
      <c r="O21" s="62" t="str">
        <f t="shared" si="0"/>
        <v xml:space="preserve"> </v>
      </c>
      <c r="P21" s="64" t="str">
        <f t="shared" si="5"/>
        <v xml:space="preserve"> </v>
      </c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</row>
    <row r="22" spans="1:377" ht="20.25" thickBot="1" x14ac:dyDescent="0.25">
      <c r="A22" s="38"/>
      <c r="B22" s="45"/>
      <c r="C22" s="45"/>
      <c r="D22" s="45"/>
      <c r="E22" s="794" t="s">
        <v>3</v>
      </c>
      <c r="F22" s="795"/>
      <c r="G22" s="85">
        <f t="shared" ref="G22:L22" si="7">SUM(G10:G21)</f>
        <v>0</v>
      </c>
      <c r="H22" s="86">
        <f t="shared" si="7"/>
        <v>0</v>
      </c>
      <c r="I22" s="86">
        <f t="shared" si="7"/>
        <v>0</v>
      </c>
      <c r="J22" s="73">
        <f t="shared" si="7"/>
        <v>0</v>
      </c>
      <c r="K22" s="73">
        <f t="shared" si="7"/>
        <v>0</v>
      </c>
      <c r="L22" s="74">
        <f t="shared" si="7"/>
        <v>0</v>
      </c>
      <c r="M22" s="65" t="str">
        <f t="shared" ref="M22" si="8">IF(ISBLANK(K22)," ",IF(K22-J22=0,"Correcto ",IF(K22-J22&lt;0,"Faltan","Sobran")))</f>
        <v xml:space="preserve">Correcto </v>
      </c>
      <c r="N22" s="67" t="str">
        <f>IF(ISBLANK(K22)," ",IF(K22-J22=0," ",K22-J22))</f>
        <v xml:space="preserve"> </v>
      </c>
      <c r="O22" s="66" t="str">
        <f>IF(ISBLANK(L22)," ",IF(L22-K22=0,"Correcto ",IF(L22-K22&lt;0,"Faltan por ingresar","Sobran")))</f>
        <v xml:space="preserve">Correcto </v>
      </c>
      <c r="P22" s="67" t="str">
        <f t="shared" si="5"/>
        <v xml:space="preserve"> </v>
      </c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</row>
    <row r="23" spans="1:377" ht="18.75" thickBot="1" x14ac:dyDescent="0.25">
      <c r="A23" s="38"/>
      <c r="B23" s="42"/>
      <c r="C23" s="42"/>
      <c r="D23" s="42"/>
      <c r="E23" s="42"/>
      <c r="F23" s="42"/>
      <c r="G23" s="796">
        <f>G22-H22-I22</f>
        <v>0</v>
      </c>
      <c r="H23" s="797"/>
      <c r="I23" s="798"/>
      <c r="J23" s="42"/>
      <c r="K23" s="42"/>
      <c r="L23" s="42"/>
      <c r="M23" s="42"/>
      <c r="N23" s="42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</row>
    <row r="24" spans="1:377" s="38" customFormat="1" x14ac:dyDescent="0.2">
      <c r="B24" s="42"/>
      <c r="C24" s="42"/>
      <c r="D24" s="42"/>
      <c r="E24" s="42"/>
      <c r="F24" s="42"/>
      <c r="G24" s="42"/>
      <c r="H24" s="42"/>
      <c r="I24" s="46"/>
      <c r="J24" s="46"/>
      <c r="K24" s="42"/>
      <c r="L24" s="42"/>
      <c r="M24" s="42"/>
      <c r="N24" s="42"/>
    </row>
    <row r="25" spans="1:377" s="38" customFormat="1" x14ac:dyDescent="0.2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7"/>
      <c r="P25" s="47"/>
    </row>
    <row r="26" spans="1:377" s="38" customFormat="1" x14ac:dyDescent="0.2">
      <c r="B26" s="42"/>
      <c r="C26" s="42"/>
      <c r="D26" s="42"/>
      <c r="E26" s="42"/>
      <c r="F26" s="42"/>
      <c r="G26" s="42"/>
      <c r="H26" s="46"/>
      <c r="I26" s="42"/>
      <c r="J26" s="42"/>
      <c r="K26" s="42"/>
      <c r="L26" s="42"/>
      <c r="M26" s="42"/>
      <c r="N26" s="42"/>
    </row>
    <row r="27" spans="1:377" s="38" customFormat="1" x14ac:dyDescent="0.2">
      <c r="A27" s="769"/>
      <c r="B27" s="769"/>
      <c r="C27" s="49"/>
      <c r="D27" s="50"/>
      <c r="E27" s="50"/>
      <c r="H27" s="51"/>
      <c r="I27" s="51"/>
      <c r="J27" s="51"/>
      <c r="K27" s="51"/>
      <c r="L27" s="51"/>
    </row>
    <row r="28" spans="1:377" s="38" customFormat="1" x14ac:dyDescent="0.2">
      <c r="D28" s="52"/>
      <c r="E28" s="50"/>
    </row>
    <row r="29" spans="1:377" s="38" customFormat="1" x14ac:dyDescent="0.2">
      <c r="A29" s="769"/>
      <c r="B29" s="769"/>
      <c r="C29" s="49"/>
      <c r="D29" s="50"/>
      <c r="E29" s="50"/>
    </row>
    <row r="30" spans="1:377" s="38" customFormat="1" x14ac:dyDescent="0.2">
      <c r="A30" s="769"/>
      <c r="B30" s="769"/>
      <c r="C30" s="49"/>
      <c r="D30" s="50"/>
      <c r="E30" s="50"/>
    </row>
    <row r="31" spans="1:377" s="38" customFormat="1" x14ac:dyDescent="0.2">
      <c r="E31" s="50"/>
    </row>
    <row r="32" spans="1:377" s="38" customFormat="1" x14ac:dyDescent="0.2">
      <c r="A32" s="770"/>
      <c r="B32" s="770"/>
      <c r="C32" s="53"/>
      <c r="D32" s="54"/>
      <c r="E32" s="55"/>
    </row>
    <row r="33" spans="9:9" s="38" customFormat="1" x14ac:dyDescent="0.2"/>
    <row r="34" spans="9:9" s="38" customFormat="1" x14ac:dyDescent="0.2">
      <c r="I34" s="56"/>
    </row>
    <row r="35" spans="9:9" s="38" customFormat="1" x14ac:dyDescent="0.2"/>
    <row r="36" spans="9:9" s="38" customFormat="1" x14ac:dyDescent="0.2"/>
    <row r="37" spans="9:9" s="38" customFormat="1" x14ac:dyDescent="0.2"/>
    <row r="38" spans="9:9" s="38" customFormat="1" x14ac:dyDescent="0.2"/>
    <row r="39" spans="9:9" s="38" customFormat="1" x14ac:dyDescent="0.2"/>
    <row r="40" spans="9:9" s="38" customFormat="1" x14ac:dyDescent="0.2"/>
    <row r="41" spans="9:9" s="38" customFormat="1" x14ac:dyDescent="0.2"/>
    <row r="42" spans="9:9" s="38" customFormat="1" x14ac:dyDescent="0.2"/>
    <row r="43" spans="9:9" s="38" customFormat="1" x14ac:dyDescent="0.2"/>
    <row r="44" spans="9:9" s="38" customFormat="1" x14ac:dyDescent="0.2"/>
    <row r="45" spans="9:9" s="38" customFormat="1" x14ac:dyDescent="0.2"/>
    <row r="46" spans="9:9" s="38" customFormat="1" x14ac:dyDescent="0.2"/>
    <row r="47" spans="9:9" s="38" customFormat="1" x14ac:dyDescent="0.2"/>
    <row r="48" spans="9:9" s="38" customFormat="1" x14ac:dyDescent="0.2"/>
    <row r="49" s="38" customFormat="1" x14ac:dyDescent="0.2"/>
    <row r="50" s="38" customFormat="1" x14ac:dyDescent="0.2"/>
    <row r="51" s="38" customFormat="1" x14ac:dyDescent="0.2"/>
    <row r="52" s="38" customFormat="1" x14ac:dyDescent="0.2"/>
    <row r="53" s="38" customFormat="1" x14ac:dyDescent="0.2"/>
    <row r="54" s="38" customFormat="1" x14ac:dyDescent="0.2"/>
    <row r="55" s="38" customFormat="1" x14ac:dyDescent="0.2"/>
    <row r="56" s="38" customFormat="1" x14ac:dyDescent="0.2"/>
    <row r="57" s="38" customFormat="1" x14ac:dyDescent="0.2"/>
    <row r="58" s="38" customFormat="1" x14ac:dyDescent="0.2"/>
    <row r="59" s="38" customFormat="1" x14ac:dyDescent="0.2"/>
    <row r="60" s="38" customFormat="1" x14ac:dyDescent="0.2"/>
    <row r="61" s="38" customFormat="1" x14ac:dyDescent="0.2"/>
    <row r="62" s="38" customFormat="1" x14ac:dyDescent="0.2"/>
    <row r="63" s="38" customFormat="1" x14ac:dyDescent="0.2"/>
    <row r="64" s="38" customFormat="1" x14ac:dyDescent="0.2"/>
    <row r="65" s="38" customFormat="1" x14ac:dyDescent="0.2"/>
    <row r="66" s="38" customFormat="1" x14ac:dyDescent="0.2"/>
    <row r="67" s="38" customFormat="1" x14ac:dyDescent="0.2"/>
    <row r="68" s="38" customFormat="1" x14ac:dyDescent="0.2"/>
    <row r="69" s="38" customFormat="1" x14ac:dyDescent="0.2"/>
    <row r="70" s="38" customFormat="1" x14ac:dyDescent="0.2"/>
    <row r="71" s="38" customFormat="1" x14ac:dyDescent="0.2"/>
    <row r="72" s="38" customFormat="1" x14ac:dyDescent="0.2"/>
    <row r="73" s="38" customFormat="1" x14ac:dyDescent="0.2"/>
    <row r="74" s="38" customFormat="1" x14ac:dyDescent="0.2"/>
    <row r="75" s="38" customFormat="1" x14ac:dyDescent="0.2"/>
    <row r="76" s="38" customFormat="1" x14ac:dyDescent="0.2"/>
    <row r="77" s="38" customFormat="1" x14ac:dyDescent="0.2"/>
    <row r="78" s="38" customFormat="1" x14ac:dyDescent="0.2"/>
    <row r="79" s="38" customFormat="1" x14ac:dyDescent="0.2"/>
    <row r="80" s="38" customFormat="1" x14ac:dyDescent="0.2"/>
    <row r="81" s="38" customFormat="1" x14ac:dyDescent="0.2"/>
    <row r="82" s="38" customFormat="1" x14ac:dyDescent="0.2"/>
    <row r="83" s="38" customFormat="1" x14ac:dyDescent="0.2"/>
    <row r="84" s="38" customFormat="1" x14ac:dyDescent="0.2"/>
    <row r="85" s="38" customFormat="1" x14ac:dyDescent="0.2"/>
    <row r="86" s="38" customFormat="1" x14ac:dyDescent="0.2"/>
    <row r="87" s="38" customFormat="1" x14ac:dyDescent="0.2"/>
    <row r="88" s="38" customFormat="1" x14ac:dyDescent="0.2"/>
    <row r="89" s="38" customFormat="1" x14ac:dyDescent="0.2"/>
    <row r="90" s="38" customFormat="1" x14ac:dyDescent="0.2"/>
    <row r="91" s="38" customFormat="1" x14ac:dyDescent="0.2"/>
    <row r="92" s="38" customFormat="1" x14ac:dyDescent="0.2"/>
    <row r="93" s="38" customFormat="1" x14ac:dyDescent="0.2"/>
    <row r="94" s="38" customFormat="1" x14ac:dyDescent="0.2"/>
    <row r="95" s="38" customFormat="1" x14ac:dyDescent="0.2"/>
    <row r="96" s="38" customFormat="1" x14ac:dyDescent="0.2"/>
    <row r="97" s="38" customFormat="1" x14ac:dyDescent="0.2"/>
    <row r="98" s="38" customFormat="1" x14ac:dyDescent="0.2"/>
    <row r="99" s="38" customFormat="1" x14ac:dyDescent="0.2"/>
    <row r="100" s="38" customFormat="1" x14ac:dyDescent="0.2"/>
    <row r="101" s="38" customFormat="1" x14ac:dyDescent="0.2"/>
    <row r="102" s="38" customFormat="1" x14ac:dyDescent="0.2"/>
    <row r="103" s="38" customFormat="1" x14ac:dyDescent="0.2"/>
    <row r="104" s="38" customFormat="1" x14ac:dyDescent="0.2"/>
    <row r="105" s="38" customFormat="1" x14ac:dyDescent="0.2"/>
    <row r="106" s="38" customFormat="1" x14ac:dyDescent="0.2"/>
    <row r="107" s="38" customFormat="1" x14ac:dyDescent="0.2"/>
    <row r="108" s="38" customFormat="1" x14ac:dyDescent="0.2"/>
    <row r="109" s="38" customFormat="1" x14ac:dyDescent="0.2"/>
    <row r="110" s="38" customFormat="1" x14ac:dyDescent="0.2"/>
    <row r="111" s="38" customFormat="1" x14ac:dyDescent="0.2"/>
    <row r="112" s="38" customFormat="1" x14ac:dyDescent="0.2"/>
    <row r="113" s="38" customFormat="1" x14ac:dyDescent="0.2"/>
    <row r="114" s="38" customFormat="1" x14ac:dyDescent="0.2"/>
    <row r="115" s="38" customFormat="1" x14ac:dyDescent="0.2"/>
    <row r="116" s="38" customFormat="1" x14ac:dyDescent="0.2"/>
    <row r="117" s="38" customFormat="1" x14ac:dyDescent="0.2"/>
    <row r="118" s="38" customFormat="1" x14ac:dyDescent="0.2"/>
    <row r="119" s="38" customFormat="1" x14ac:dyDescent="0.2"/>
    <row r="120" s="38" customFormat="1" x14ac:dyDescent="0.2"/>
    <row r="121" s="38" customFormat="1" x14ac:dyDescent="0.2"/>
    <row r="122" s="38" customFormat="1" x14ac:dyDescent="0.2"/>
    <row r="123" s="38" customFormat="1" x14ac:dyDescent="0.2"/>
    <row r="124" s="38" customFormat="1" x14ac:dyDescent="0.2"/>
    <row r="125" s="38" customFormat="1" x14ac:dyDescent="0.2"/>
    <row r="126" s="38" customFormat="1" x14ac:dyDescent="0.2"/>
    <row r="127" s="38" customFormat="1" x14ac:dyDescent="0.2"/>
    <row r="128" s="38" customFormat="1" x14ac:dyDescent="0.2"/>
    <row r="129" s="38" customFormat="1" x14ac:dyDescent="0.2"/>
    <row r="130" s="38" customFormat="1" x14ac:dyDescent="0.2"/>
    <row r="131" s="38" customFormat="1" x14ac:dyDescent="0.2"/>
    <row r="132" s="38" customFormat="1" x14ac:dyDescent="0.2"/>
    <row r="133" s="38" customFormat="1" x14ac:dyDescent="0.2"/>
    <row r="134" s="38" customFormat="1" x14ac:dyDescent="0.2"/>
    <row r="135" s="38" customFormat="1" x14ac:dyDescent="0.2"/>
    <row r="136" s="38" customFormat="1" x14ac:dyDescent="0.2"/>
    <row r="137" s="38" customFormat="1" x14ac:dyDescent="0.2"/>
    <row r="138" s="38" customFormat="1" x14ac:dyDescent="0.2"/>
    <row r="139" s="38" customFormat="1" x14ac:dyDescent="0.2"/>
    <row r="140" s="38" customFormat="1" x14ac:dyDescent="0.2"/>
    <row r="141" s="38" customFormat="1" x14ac:dyDescent="0.2"/>
    <row r="142" s="38" customFormat="1" x14ac:dyDescent="0.2"/>
    <row r="143" s="38" customFormat="1" x14ac:dyDescent="0.2"/>
    <row r="144" s="38" customFormat="1" x14ac:dyDescent="0.2"/>
    <row r="145" s="38" customFormat="1" x14ac:dyDescent="0.2"/>
    <row r="146" s="38" customFormat="1" x14ac:dyDescent="0.2"/>
    <row r="147" s="38" customFormat="1" x14ac:dyDescent="0.2"/>
    <row r="148" s="38" customFormat="1" x14ac:dyDescent="0.2"/>
    <row r="149" s="38" customFormat="1" x14ac:dyDescent="0.2"/>
    <row r="150" s="38" customFormat="1" x14ac:dyDescent="0.2"/>
    <row r="151" s="38" customFormat="1" x14ac:dyDescent="0.2"/>
    <row r="152" s="38" customFormat="1" x14ac:dyDescent="0.2"/>
    <row r="153" s="38" customFormat="1" x14ac:dyDescent="0.2"/>
    <row r="154" s="38" customFormat="1" x14ac:dyDescent="0.2"/>
    <row r="155" s="38" customFormat="1" x14ac:dyDescent="0.2"/>
    <row r="156" s="38" customFormat="1" x14ac:dyDescent="0.2"/>
    <row r="157" s="38" customFormat="1" x14ac:dyDescent="0.2"/>
    <row r="158" s="38" customFormat="1" x14ac:dyDescent="0.2"/>
    <row r="159" s="38" customFormat="1" x14ac:dyDescent="0.2"/>
    <row r="160" s="38" customFormat="1" x14ac:dyDescent="0.2"/>
    <row r="161" s="38" customFormat="1" x14ac:dyDescent="0.2"/>
    <row r="162" s="38" customFormat="1" x14ac:dyDescent="0.2"/>
    <row r="163" s="38" customFormat="1" x14ac:dyDescent="0.2"/>
    <row r="164" s="38" customFormat="1" x14ac:dyDescent="0.2"/>
    <row r="165" s="38" customFormat="1" x14ac:dyDescent="0.2"/>
    <row r="166" s="38" customFormat="1" x14ac:dyDescent="0.2"/>
    <row r="167" s="38" customFormat="1" x14ac:dyDescent="0.2"/>
    <row r="168" s="38" customFormat="1" x14ac:dyDescent="0.2"/>
    <row r="169" s="38" customFormat="1" x14ac:dyDescent="0.2"/>
    <row r="170" s="38" customFormat="1" x14ac:dyDescent="0.2"/>
    <row r="171" s="38" customFormat="1" x14ac:dyDescent="0.2"/>
    <row r="172" s="38" customFormat="1" x14ac:dyDescent="0.2"/>
    <row r="173" s="38" customFormat="1" x14ac:dyDescent="0.2"/>
    <row r="174" s="38" customFormat="1" x14ac:dyDescent="0.2"/>
    <row r="175" s="38" customFormat="1" x14ac:dyDescent="0.2"/>
    <row r="176" s="38" customFormat="1" x14ac:dyDescent="0.2"/>
    <row r="177" s="38" customFormat="1" x14ac:dyDescent="0.2"/>
    <row r="178" s="38" customFormat="1" x14ac:dyDescent="0.2"/>
    <row r="179" s="38" customFormat="1" x14ac:dyDescent="0.2"/>
    <row r="180" s="38" customFormat="1" x14ac:dyDescent="0.2"/>
    <row r="181" s="38" customFormat="1" x14ac:dyDescent="0.2"/>
    <row r="182" s="38" customFormat="1" x14ac:dyDescent="0.2"/>
    <row r="183" s="38" customFormat="1" x14ac:dyDescent="0.2"/>
    <row r="184" s="38" customFormat="1" x14ac:dyDescent="0.2"/>
    <row r="185" s="38" customFormat="1" x14ac:dyDescent="0.2"/>
    <row r="186" s="38" customFormat="1" x14ac:dyDescent="0.2"/>
    <row r="187" s="38" customFormat="1" x14ac:dyDescent="0.2"/>
    <row r="188" s="38" customFormat="1" x14ac:dyDescent="0.2"/>
    <row r="189" s="38" customFormat="1" x14ac:dyDescent="0.2"/>
    <row r="190" s="38" customFormat="1" x14ac:dyDescent="0.2"/>
    <row r="191" s="38" customFormat="1" x14ac:dyDescent="0.2"/>
    <row r="192" s="38" customFormat="1" x14ac:dyDescent="0.2"/>
    <row r="193" s="38" customFormat="1" x14ac:dyDescent="0.2"/>
    <row r="194" s="38" customFormat="1" x14ac:dyDescent="0.2"/>
    <row r="195" s="38" customFormat="1" x14ac:dyDescent="0.2"/>
    <row r="196" s="38" customFormat="1" x14ac:dyDescent="0.2"/>
    <row r="197" s="38" customFormat="1" x14ac:dyDescent="0.2"/>
    <row r="198" s="38" customFormat="1" x14ac:dyDescent="0.2"/>
    <row r="199" s="38" customFormat="1" x14ac:dyDescent="0.2"/>
    <row r="200" s="38" customFormat="1" x14ac:dyDescent="0.2"/>
    <row r="201" s="38" customFormat="1" x14ac:dyDescent="0.2"/>
    <row r="202" s="38" customFormat="1" x14ac:dyDescent="0.2"/>
    <row r="203" s="38" customFormat="1" x14ac:dyDescent="0.2"/>
    <row r="204" s="38" customFormat="1" x14ac:dyDescent="0.2"/>
    <row r="205" s="38" customFormat="1" x14ac:dyDescent="0.2"/>
    <row r="206" s="38" customFormat="1" x14ac:dyDescent="0.2"/>
    <row r="207" s="38" customFormat="1" x14ac:dyDescent="0.2"/>
    <row r="208" s="38" customFormat="1" x14ac:dyDescent="0.2"/>
    <row r="209" s="38" customFormat="1" x14ac:dyDescent="0.2"/>
    <row r="210" s="38" customFormat="1" x14ac:dyDescent="0.2"/>
    <row r="211" s="38" customFormat="1" x14ac:dyDescent="0.2"/>
    <row r="212" s="38" customFormat="1" x14ac:dyDescent="0.2"/>
    <row r="213" s="38" customFormat="1" x14ac:dyDescent="0.2"/>
    <row r="214" s="38" customFormat="1" x14ac:dyDescent="0.2"/>
    <row r="215" s="38" customFormat="1" x14ac:dyDescent="0.2"/>
    <row r="216" s="38" customFormat="1" x14ac:dyDescent="0.2"/>
    <row r="217" s="38" customFormat="1" x14ac:dyDescent="0.2"/>
    <row r="218" s="38" customFormat="1" x14ac:dyDescent="0.2"/>
    <row r="219" s="38" customFormat="1" x14ac:dyDescent="0.2"/>
    <row r="220" s="38" customFormat="1" x14ac:dyDescent="0.2"/>
    <row r="221" s="38" customFormat="1" x14ac:dyDescent="0.2"/>
    <row r="222" s="38" customFormat="1" x14ac:dyDescent="0.2"/>
    <row r="223" s="38" customFormat="1" x14ac:dyDescent="0.2"/>
    <row r="224" s="38" customFormat="1" x14ac:dyDescent="0.2"/>
    <row r="225" s="38" customFormat="1" x14ac:dyDescent="0.2"/>
    <row r="226" s="38" customFormat="1" x14ac:dyDescent="0.2"/>
    <row r="227" s="38" customFormat="1" x14ac:dyDescent="0.2"/>
    <row r="228" s="38" customFormat="1" x14ac:dyDescent="0.2"/>
    <row r="229" s="38" customFormat="1" x14ac:dyDescent="0.2"/>
    <row r="230" s="38" customFormat="1" x14ac:dyDescent="0.2"/>
    <row r="231" s="38" customFormat="1" x14ac:dyDescent="0.2"/>
    <row r="232" s="38" customFormat="1" x14ac:dyDescent="0.2"/>
    <row r="233" s="38" customFormat="1" x14ac:dyDescent="0.2"/>
    <row r="234" s="38" customFormat="1" x14ac:dyDescent="0.2"/>
    <row r="235" s="38" customFormat="1" x14ac:dyDescent="0.2"/>
    <row r="236" s="38" customFormat="1" x14ac:dyDescent="0.2"/>
    <row r="237" s="38" customFormat="1" x14ac:dyDescent="0.2"/>
    <row r="238" s="38" customFormat="1" x14ac:dyDescent="0.2"/>
    <row r="239" s="38" customFormat="1" x14ac:dyDescent="0.2"/>
    <row r="240" s="38" customFormat="1" x14ac:dyDescent="0.2"/>
    <row r="241" s="38" customFormat="1" x14ac:dyDescent="0.2"/>
    <row r="242" s="38" customFormat="1" x14ac:dyDescent="0.2"/>
    <row r="243" s="38" customFormat="1" x14ac:dyDescent="0.2"/>
    <row r="244" s="38" customFormat="1" x14ac:dyDescent="0.2"/>
    <row r="245" s="38" customFormat="1" x14ac:dyDescent="0.2"/>
    <row r="246" s="38" customFormat="1" x14ac:dyDescent="0.2"/>
    <row r="247" s="38" customFormat="1" x14ac:dyDescent="0.2"/>
    <row r="248" s="38" customFormat="1" x14ac:dyDescent="0.2"/>
    <row r="249" s="38" customFormat="1" x14ac:dyDescent="0.2"/>
    <row r="250" s="38" customFormat="1" x14ac:dyDescent="0.2"/>
    <row r="251" s="38" customFormat="1" x14ac:dyDescent="0.2"/>
    <row r="252" s="38" customFormat="1" x14ac:dyDescent="0.2"/>
    <row r="253" s="38" customFormat="1" x14ac:dyDescent="0.2"/>
    <row r="254" s="38" customFormat="1" x14ac:dyDescent="0.2"/>
    <row r="255" s="38" customFormat="1" x14ac:dyDescent="0.2"/>
    <row r="256" s="38" customFormat="1" x14ac:dyDescent="0.2"/>
    <row r="257" s="38" customFormat="1" x14ac:dyDescent="0.2"/>
    <row r="258" s="38" customFormat="1" x14ac:dyDescent="0.2"/>
    <row r="259" s="38" customFormat="1" x14ac:dyDescent="0.2"/>
    <row r="260" s="38" customFormat="1" x14ac:dyDescent="0.2"/>
    <row r="261" s="38" customFormat="1" x14ac:dyDescent="0.2"/>
    <row r="262" s="38" customFormat="1" x14ac:dyDescent="0.2"/>
    <row r="263" s="38" customFormat="1" x14ac:dyDescent="0.2"/>
    <row r="264" s="38" customFormat="1" x14ac:dyDescent="0.2"/>
    <row r="265" s="38" customFormat="1" x14ac:dyDescent="0.2"/>
    <row r="266" s="38" customFormat="1" x14ac:dyDescent="0.2"/>
    <row r="267" s="38" customFormat="1" x14ac:dyDescent="0.2"/>
    <row r="268" s="38" customFormat="1" x14ac:dyDescent="0.2"/>
    <row r="269" s="38" customFormat="1" x14ac:dyDescent="0.2"/>
    <row r="270" s="38" customFormat="1" x14ac:dyDescent="0.2"/>
    <row r="271" s="38" customFormat="1" x14ac:dyDescent="0.2"/>
    <row r="272" s="38" customFormat="1" x14ac:dyDescent="0.2"/>
    <row r="273" s="38" customFormat="1" x14ac:dyDescent="0.2"/>
    <row r="274" s="38" customFormat="1" x14ac:dyDescent="0.2"/>
    <row r="275" s="38" customFormat="1" x14ac:dyDescent="0.2"/>
    <row r="276" s="38" customFormat="1" x14ac:dyDescent="0.2"/>
    <row r="277" s="38" customFormat="1" x14ac:dyDescent="0.2"/>
    <row r="278" s="38" customFormat="1" x14ac:dyDescent="0.2"/>
    <row r="279" s="38" customFormat="1" x14ac:dyDescent="0.2"/>
    <row r="280" s="38" customFormat="1" x14ac:dyDescent="0.2"/>
    <row r="281" s="38" customFormat="1" x14ac:dyDescent="0.2"/>
    <row r="282" s="38" customFormat="1" x14ac:dyDescent="0.2"/>
    <row r="283" s="38" customFormat="1" x14ac:dyDescent="0.2"/>
    <row r="284" s="38" customFormat="1" x14ac:dyDescent="0.2"/>
    <row r="285" s="38" customFormat="1" x14ac:dyDescent="0.2"/>
    <row r="286" s="38" customFormat="1" x14ac:dyDescent="0.2"/>
    <row r="287" s="38" customFormat="1" x14ac:dyDescent="0.2"/>
    <row r="288" s="38" customFormat="1" x14ac:dyDescent="0.2"/>
    <row r="289" s="38" customFormat="1" x14ac:dyDescent="0.2"/>
    <row r="290" s="38" customFormat="1" x14ac:dyDescent="0.2"/>
    <row r="291" s="38" customFormat="1" x14ac:dyDescent="0.2"/>
    <row r="292" s="38" customFormat="1" x14ac:dyDescent="0.2"/>
    <row r="293" s="38" customFormat="1" x14ac:dyDescent="0.2"/>
    <row r="294" s="38" customFormat="1" x14ac:dyDescent="0.2"/>
    <row r="295" s="38" customFormat="1" x14ac:dyDescent="0.2"/>
    <row r="296" s="38" customFormat="1" x14ac:dyDescent="0.2"/>
    <row r="297" s="38" customFormat="1" x14ac:dyDescent="0.2"/>
    <row r="298" s="38" customFormat="1" x14ac:dyDescent="0.2"/>
    <row r="299" s="38" customFormat="1" x14ac:dyDescent="0.2"/>
    <row r="300" s="38" customFormat="1" x14ac:dyDescent="0.2"/>
    <row r="301" s="38" customFormat="1" x14ac:dyDescent="0.2"/>
    <row r="302" s="38" customFormat="1" x14ac:dyDescent="0.2"/>
    <row r="303" s="38" customFormat="1" x14ac:dyDescent="0.2"/>
    <row r="304" s="38" customFormat="1" x14ac:dyDescent="0.2"/>
    <row r="305" s="38" customFormat="1" x14ac:dyDescent="0.2"/>
    <row r="306" s="38" customFormat="1" x14ac:dyDescent="0.2"/>
    <row r="307" s="38" customFormat="1" x14ac:dyDescent="0.2"/>
    <row r="308" s="38" customFormat="1" x14ac:dyDescent="0.2"/>
    <row r="309" s="38" customFormat="1" x14ac:dyDescent="0.2"/>
    <row r="310" s="38" customFormat="1" x14ac:dyDescent="0.2"/>
    <row r="311" s="38" customFormat="1" x14ac:dyDescent="0.2"/>
    <row r="312" s="38" customFormat="1" x14ac:dyDescent="0.2"/>
    <row r="313" s="38" customFormat="1" x14ac:dyDescent="0.2"/>
    <row r="314" s="38" customFormat="1" x14ac:dyDescent="0.2"/>
    <row r="315" s="38" customFormat="1" x14ac:dyDescent="0.2"/>
    <row r="316" s="38" customFormat="1" x14ac:dyDescent="0.2"/>
    <row r="317" s="38" customFormat="1" x14ac:dyDescent="0.2"/>
    <row r="318" s="38" customFormat="1" x14ac:dyDescent="0.2"/>
    <row r="319" s="38" customFormat="1" x14ac:dyDescent="0.2"/>
    <row r="320" s="38" customFormat="1" x14ac:dyDescent="0.2"/>
    <row r="321" s="38" customFormat="1" x14ac:dyDescent="0.2"/>
    <row r="322" s="38" customFormat="1" x14ac:dyDescent="0.2"/>
    <row r="323" s="38" customFormat="1" x14ac:dyDescent="0.2"/>
    <row r="324" s="38" customFormat="1" x14ac:dyDescent="0.2"/>
    <row r="325" s="38" customFormat="1" x14ac:dyDescent="0.2"/>
    <row r="326" s="38" customFormat="1" x14ac:dyDescent="0.2"/>
    <row r="327" s="38" customFormat="1" x14ac:dyDescent="0.2"/>
    <row r="328" s="38" customFormat="1" x14ac:dyDescent="0.2"/>
    <row r="329" s="38" customFormat="1" x14ac:dyDescent="0.2"/>
    <row r="330" s="38" customFormat="1" x14ac:dyDescent="0.2"/>
    <row r="331" s="38" customFormat="1" x14ac:dyDescent="0.2"/>
    <row r="332" s="38" customFormat="1" x14ac:dyDescent="0.2"/>
    <row r="333" s="38" customFormat="1" x14ac:dyDescent="0.2"/>
    <row r="334" s="38" customFormat="1" x14ac:dyDescent="0.2"/>
    <row r="335" s="38" customFormat="1" x14ac:dyDescent="0.2"/>
    <row r="336" s="38" customFormat="1" x14ac:dyDescent="0.2"/>
    <row r="337" s="38" customFormat="1" x14ac:dyDescent="0.2"/>
    <row r="338" s="38" customFormat="1" x14ac:dyDescent="0.2"/>
    <row r="339" s="38" customFormat="1" x14ac:dyDescent="0.2"/>
    <row r="340" s="38" customFormat="1" x14ac:dyDescent="0.2"/>
    <row r="341" s="38" customFormat="1" x14ac:dyDescent="0.2"/>
    <row r="342" s="38" customFormat="1" x14ac:dyDescent="0.2"/>
    <row r="343" s="38" customFormat="1" x14ac:dyDescent="0.2"/>
    <row r="344" s="38" customFormat="1" x14ac:dyDescent="0.2"/>
    <row r="345" s="38" customFormat="1" x14ac:dyDescent="0.2"/>
    <row r="346" s="38" customFormat="1" x14ac:dyDescent="0.2"/>
    <row r="347" s="38" customFormat="1" x14ac:dyDescent="0.2"/>
    <row r="348" s="38" customFormat="1" x14ac:dyDescent="0.2"/>
    <row r="349" s="38" customFormat="1" x14ac:dyDescent="0.2"/>
    <row r="350" s="38" customFormat="1" x14ac:dyDescent="0.2"/>
    <row r="351" s="38" customFormat="1" x14ac:dyDescent="0.2"/>
    <row r="352" s="38" customFormat="1" x14ac:dyDescent="0.2"/>
    <row r="353" s="38" customFormat="1" x14ac:dyDescent="0.2"/>
    <row r="354" s="38" customFormat="1" x14ac:dyDescent="0.2"/>
    <row r="355" s="38" customFormat="1" x14ac:dyDescent="0.2"/>
    <row r="356" s="38" customFormat="1" x14ac:dyDescent="0.2"/>
    <row r="357" s="38" customFormat="1" x14ac:dyDescent="0.2"/>
    <row r="358" s="38" customFormat="1" x14ac:dyDescent="0.2"/>
    <row r="359" s="38" customFormat="1" x14ac:dyDescent="0.2"/>
    <row r="360" s="38" customFormat="1" x14ac:dyDescent="0.2"/>
    <row r="361" s="38" customFormat="1" x14ac:dyDescent="0.2"/>
    <row r="362" s="38" customFormat="1" x14ac:dyDescent="0.2"/>
    <row r="363" s="38" customFormat="1" x14ac:dyDescent="0.2"/>
    <row r="364" s="38" customFormat="1" x14ac:dyDescent="0.2"/>
    <row r="365" s="38" customFormat="1" x14ac:dyDescent="0.2"/>
    <row r="366" s="38" customFormat="1" x14ac:dyDescent="0.2"/>
    <row r="367" s="38" customFormat="1" x14ac:dyDescent="0.2"/>
    <row r="368" s="38" customFormat="1" x14ac:dyDescent="0.2"/>
    <row r="369" s="38" customFormat="1" x14ac:dyDescent="0.2"/>
    <row r="370" s="38" customFormat="1" x14ac:dyDescent="0.2"/>
    <row r="371" s="38" customFormat="1" x14ac:dyDescent="0.2"/>
    <row r="372" s="38" customFormat="1" x14ac:dyDescent="0.2"/>
    <row r="373" s="38" customFormat="1" x14ac:dyDescent="0.2"/>
    <row r="374" s="38" customFormat="1" x14ac:dyDescent="0.2"/>
    <row r="375" s="38" customFormat="1" x14ac:dyDescent="0.2"/>
    <row r="376" s="38" customFormat="1" x14ac:dyDescent="0.2"/>
    <row r="377" s="38" customFormat="1" x14ac:dyDescent="0.2"/>
    <row r="378" s="38" customFormat="1" x14ac:dyDescent="0.2"/>
    <row r="379" s="38" customFormat="1" x14ac:dyDescent="0.2"/>
    <row r="380" s="38" customFormat="1" x14ac:dyDescent="0.2"/>
    <row r="381" s="38" customFormat="1" x14ac:dyDescent="0.2"/>
    <row r="382" s="38" customFormat="1" x14ac:dyDescent="0.2"/>
    <row r="383" s="38" customFormat="1" x14ac:dyDescent="0.2"/>
    <row r="384" s="38" customFormat="1" x14ac:dyDescent="0.2"/>
    <row r="385" s="38" customFormat="1" x14ac:dyDescent="0.2"/>
    <row r="386" s="38" customFormat="1" x14ac:dyDescent="0.2"/>
    <row r="387" s="38" customFormat="1" x14ac:dyDescent="0.2"/>
    <row r="388" s="38" customFormat="1" x14ac:dyDescent="0.2"/>
    <row r="389" s="38" customFormat="1" x14ac:dyDescent="0.2"/>
    <row r="390" s="38" customFormat="1" x14ac:dyDescent="0.2"/>
    <row r="391" s="38" customFormat="1" x14ac:dyDescent="0.2"/>
    <row r="392" s="38" customFormat="1" x14ac:dyDescent="0.2"/>
    <row r="393" s="38" customFormat="1" x14ac:dyDescent="0.2"/>
    <row r="394" s="38" customFormat="1" x14ac:dyDescent="0.2"/>
    <row r="395" s="38" customFormat="1" x14ac:dyDescent="0.2"/>
    <row r="396" s="38" customFormat="1" x14ac:dyDescent="0.2"/>
    <row r="397" s="38" customFormat="1" x14ac:dyDescent="0.2"/>
    <row r="398" s="38" customFormat="1" x14ac:dyDescent="0.2"/>
    <row r="399" s="38" customFormat="1" x14ac:dyDescent="0.2"/>
    <row r="400" s="38" customFormat="1" x14ac:dyDescent="0.2"/>
    <row r="401" s="38" customFormat="1" x14ac:dyDescent="0.2"/>
    <row r="402" s="38" customFormat="1" x14ac:dyDescent="0.2"/>
    <row r="403" s="38" customFormat="1" x14ac:dyDescent="0.2"/>
    <row r="404" s="38" customFormat="1" x14ac:dyDescent="0.2"/>
    <row r="405" s="38" customFormat="1" x14ac:dyDescent="0.2"/>
    <row r="406" s="38" customFormat="1" x14ac:dyDescent="0.2"/>
    <row r="407" s="38" customFormat="1" x14ac:dyDescent="0.2"/>
    <row r="408" s="38" customFormat="1" x14ac:dyDescent="0.2"/>
    <row r="409" s="38" customFormat="1" x14ac:dyDescent="0.2"/>
    <row r="410" s="38" customFormat="1" x14ac:dyDescent="0.2"/>
    <row r="411" s="38" customFormat="1" x14ac:dyDescent="0.2"/>
    <row r="412" s="38" customFormat="1" x14ac:dyDescent="0.2"/>
    <row r="413" s="38" customFormat="1" x14ac:dyDescent="0.2"/>
    <row r="414" s="38" customFormat="1" x14ac:dyDescent="0.2"/>
    <row r="415" s="38" customFormat="1" x14ac:dyDescent="0.2"/>
    <row r="416" s="38" customFormat="1" x14ac:dyDescent="0.2"/>
    <row r="417" s="38" customFormat="1" x14ac:dyDescent="0.2"/>
    <row r="418" s="38" customFormat="1" x14ac:dyDescent="0.2"/>
    <row r="419" s="38" customFormat="1" x14ac:dyDescent="0.2"/>
    <row r="420" s="38" customFormat="1" x14ac:dyDescent="0.2"/>
    <row r="421" s="38" customFormat="1" x14ac:dyDescent="0.2"/>
    <row r="422" s="38" customFormat="1" x14ac:dyDescent="0.2"/>
    <row r="423" s="38" customFormat="1" x14ac:dyDescent="0.2"/>
    <row r="424" s="38" customFormat="1" x14ac:dyDescent="0.2"/>
    <row r="425" s="38" customFormat="1" x14ac:dyDescent="0.2"/>
    <row r="426" s="38" customFormat="1" x14ac:dyDescent="0.2"/>
    <row r="427" s="38" customFormat="1" x14ac:dyDescent="0.2"/>
    <row r="428" s="38" customFormat="1" x14ac:dyDescent="0.2"/>
    <row r="429" s="38" customFormat="1" x14ac:dyDescent="0.2"/>
    <row r="430" s="38" customFormat="1" x14ac:dyDescent="0.2"/>
    <row r="431" s="38" customFormat="1" x14ac:dyDescent="0.2"/>
    <row r="432" s="38" customFormat="1" x14ac:dyDescent="0.2"/>
    <row r="433" s="38" customFormat="1" x14ac:dyDescent="0.2"/>
    <row r="434" s="38" customFormat="1" x14ac:dyDescent="0.2"/>
    <row r="435" s="38" customFormat="1" x14ac:dyDescent="0.2"/>
    <row r="436" s="38" customFormat="1" x14ac:dyDescent="0.2"/>
    <row r="437" s="38" customFormat="1" x14ac:dyDescent="0.2"/>
    <row r="438" s="38" customFormat="1" x14ac:dyDescent="0.2"/>
    <row r="439" s="38" customFormat="1" x14ac:dyDescent="0.2"/>
    <row r="440" s="38" customFormat="1" x14ac:dyDescent="0.2"/>
    <row r="441" s="38" customFormat="1" x14ac:dyDescent="0.2"/>
    <row r="442" s="38" customFormat="1" x14ac:dyDescent="0.2"/>
    <row r="443" s="38" customFormat="1" x14ac:dyDescent="0.2"/>
    <row r="444" s="38" customFormat="1" x14ac:dyDescent="0.2"/>
    <row r="445" s="38" customFormat="1" x14ac:dyDescent="0.2"/>
    <row r="446" s="38" customFormat="1" x14ac:dyDescent="0.2"/>
    <row r="447" s="38" customFormat="1" x14ac:dyDescent="0.2"/>
    <row r="448" s="38" customFormat="1" x14ac:dyDescent="0.2"/>
    <row r="449" s="38" customFormat="1" x14ac:dyDescent="0.2"/>
    <row r="450" s="38" customFormat="1" x14ac:dyDescent="0.2"/>
    <row r="451" s="38" customFormat="1" x14ac:dyDescent="0.2"/>
    <row r="452" s="38" customFormat="1" x14ac:dyDescent="0.2"/>
    <row r="453" s="38" customFormat="1" x14ac:dyDescent="0.2"/>
    <row r="454" s="38" customFormat="1" x14ac:dyDescent="0.2"/>
    <row r="455" s="38" customFormat="1" x14ac:dyDescent="0.2"/>
    <row r="456" s="38" customFormat="1" x14ac:dyDescent="0.2"/>
    <row r="457" s="38" customFormat="1" x14ac:dyDescent="0.2"/>
    <row r="458" s="38" customFormat="1" x14ac:dyDescent="0.2"/>
    <row r="459" s="38" customFormat="1" x14ac:dyDescent="0.2"/>
    <row r="460" s="38" customFormat="1" x14ac:dyDescent="0.2"/>
    <row r="461" s="38" customFormat="1" x14ac:dyDescent="0.2"/>
    <row r="462" s="38" customFormat="1" x14ac:dyDescent="0.2"/>
    <row r="463" s="38" customFormat="1" x14ac:dyDescent="0.2"/>
    <row r="464" s="38" customFormat="1" x14ac:dyDescent="0.2"/>
    <row r="465" s="38" customFormat="1" x14ac:dyDescent="0.2"/>
    <row r="466" s="38" customFormat="1" x14ac:dyDescent="0.2"/>
    <row r="467" s="38" customFormat="1" x14ac:dyDescent="0.2"/>
    <row r="468" s="38" customFormat="1" x14ac:dyDescent="0.2"/>
    <row r="469" s="38" customFormat="1" x14ac:dyDescent="0.2"/>
    <row r="470" s="38" customFormat="1" x14ac:dyDescent="0.2"/>
    <row r="471" s="38" customFormat="1" x14ac:dyDescent="0.2"/>
    <row r="472" s="38" customFormat="1" x14ac:dyDescent="0.2"/>
    <row r="473" s="38" customFormat="1" x14ac:dyDescent="0.2"/>
    <row r="474" s="38" customFormat="1" x14ac:dyDescent="0.2"/>
    <row r="475" s="38" customFormat="1" x14ac:dyDescent="0.2"/>
    <row r="476" s="38" customFormat="1" x14ac:dyDescent="0.2"/>
    <row r="477" s="38" customFormat="1" x14ac:dyDescent="0.2"/>
    <row r="478" s="38" customFormat="1" x14ac:dyDescent="0.2"/>
    <row r="479" s="38" customFormat="1" x14ac:dyDescent="0.2"/>
    <row r="480" s="38" customFormat="1" x14ac:dyDescent="0.2"/>
    <row r="481" s="38" customFormat="1" x14ac:dyDescent="0.2"/>
    <row r="482" s="38" customFormat="1" x14ac:dyDescent="0.2"/>
    <row r="483" s="38" customFormat="1" x14ac:dyDescent="0.2"/>
    <row r="484" s="38" customFormat="1" x14ac:dyDescent="0.2"/>
    <row r="485" s="38" customFormat="1" x14ac:dyDescent="0.2"/>
    <row r="486" s="38" customFormat="1" x14ac:dyDescent="0.2"/>
    <row r="487" s="38" customFormat="1" x14ac:dyDescent="0.2"/>
    <row r="488" s="38" customFormat="1" x14ac:dyDescent="0.2"/>
    <row r="489" s="38" customFormat="1" x14ac:dyDescent="0.2"/>
    <row r="490" s="38" customFormat="1" x14ac:dyDescent="0.2"/>
    <row r="491" s="38" customFormat="1" x14ac:dyDescent="0.2"/>
    <row r="492" s="38" customFormat="1" x14ac:dyDescent="0.2"/>
    <row r="493" s="38" customFormat="1" x14ac:dyDescent="0.2"/>
    <row r="494" s="38" customFormat="1" x14ac:dyDescent="0.2"/>
    <row r="495" s="38" customFormat="1" x14ac:dyDescent="0.2"/>
    <row r="496" s="38" customFormat="1" x14ac:dyDescent="0.2"/>
    <row r="497" s="38" customFormat="1" x14ac:dyDescent="0.2"/>
    <row r="498" s="38" customFormat="1" x14ac:dyDescent="0.2"/>
    <row r="499" s="38" customFormat="1" x14ac:dyDescent="0.2"/>
    <row r="500" s="38" customFormat="1" x14ac:dyDescent="0.2"/>
    <row r="501" s="38" customFormat="1" x14ac:dyDescent="0.2"/>
    <row r="502" s="38" customFormat="1" x14ac:dyDescent="0.2"/>
    <row r="503" s="38" customFormat="1" x14ac:dyDescent="0.2"/>
    <row r="504" s="38" customFormat="1" x14ac:dyDescent="0.2"/>
    <row r="505" s="38" customFormat="1" x14ac:dyDescent="0.2"/>
    <row r="506" s="38" customFormat="1" x14ac:dyDescent="0.2"/>
    <row r="507" s="38" customFormat="1" x14ac:dyDescent="0.2"/>
    <row r="508" s="38" customFormat="1" x14ac:dyDescent="0.2"/>
    <row r="509" s="38" customFormat="1" x14ac:dyDescent="0.2"/>
    <row r="510" s="38" customFormat="1" x14ac:dyDescent="0.2"/>
    <row r="511" s="38" customFormat="1" x14ac:dyDescent="0.2"/>
    <row r="512" s="38" customFormat="1" x14ac:dyDescent="0.2"/>
    <row r="513" s="38" customFormat="1" x14ac:dyDescent="0.2"/>
    <row r="514" s="38" customFormat="1" x14ac:dyDescent="0.2"/>
    <row r="515" s="38" customFormat="1" x14ac:dyDescent="0.2"/>
    <row r="516" s="38" customFormat="1" x14ac:dyDescent="0.2"/>
    <row r="517" s="38" customFormat="1" x14ac:dyDescent="0.2"/>
    <row r="518" s="38" customFormat="1" x14ac:dyDescent="0.2"/>
    <row r="519" s="38" customFormat="1" x14ac:dyDescent="0.2"/>
    <row r="520" s="38" customFormat="1" x14ac:dyDescent="0.2"/>
    <row r="521" s="38" customFormat="1" x14ac:dyDescent="0.2"/>
    <row r="522" s="38" customFormat="1" x14ac:dyDescent="0.2"/>
    <row r="523" s="38" customFormat="1" x14ac:dyDescent="0.2"/>
    <row r="524" s="38" customFormat="1" x14ac:dyDescent="0.2"/>
    <row r="525" s="38" customFormat="1" x14ac:dyDescent="0.2"/>
    <row r="526" s="38" customFormat="1" x14ac:dyDescent="0.2"/>
    <row r="527" s="38" customFormat="1" x14ac:dyDescent="0.2"/>
    <row r="528" s="38" customFormat="1" x14ac:dyDescent="0.2"/>
    <row r="529" s="38" customFormat="1" x14ac:dyDescent="0.2"/>
    <row r="530" s="38" customFormat="1" x14ac:dyDescent="0.2"/>
    <row r="531" s="38" customFormat="1" x14ac:dyDescent="0.2"/>
    <row r="532" s="38" customFormat="1" x14ac:dyDescent="0.2"/>
    <row r="533" s="38" customFormat="1" x14ac:dyDescent="0.2"/>
    <row r="534" s="38" customFormat="1" x14ac:dyDescent="0.2"/>
    <row r="535" s="38" customFormat="1" x14ac:dyDescent="0.2"/>
    <row r="536" s="38" customFormat="1" x14ac:dyDescent="0.2"/>
    <row r="537" s="38" customFormat="1" x14ac:dyDescent="0.2"/>
    <row r="538" s="38" customFormat="1" x14ac:dyDescent="0.2"/>
    <row r="539" s="38" customFormat="1" x14ac:dyDescent="0.2"/>
    <row r="540" s="38" customFormat="1" x14ac:dyDescent="0.2"/>
    <row r="541" s="38" customFormat="1" x14ac:dyDescent="0.2"/>
    <row r="542" s="38" customFormat="1" x14ac:dyDescent="0.2"/>
    <row r="543" s="38" customFormat="1" x14ac:dyDescent="0.2"/>
    <row r="544" s="38" customFormat="1" x14ac:dyDescent="0.2"/>
    <row r="545" s="38" customFormat="1" x14ac:dyDescent="0.2"/>
    <row r="546" s="38" customFormat="1" x14ac:dyDescent="0.2"/>
    <row r="547" s="38" customFormat="1" x14ac:dyDescent="0.2"/>
    <row r="548" s="38" customFormat="1" x14ac:dyDescent="0.2"/>
    <row r="549" s="38" customFormat="1" x14ac:dyDescent="0.2"/>
    <row r="550" s="38" customFormat="1" x14ac:dyDescent="0.2"/>
    <row r="551" s="38" customFormat="1" x14ac:dyDescent="0.2"/>
    <row r="552" s="38" customFormat="1" x14ac:dyDescent="0.2"/>
    <row r="553" s="38" customFormat="1" x14ac:dyDescent="0.2"/>
    <row r="554" s="38" customFormat="1" x14ac:dyDescent="0.2"/>
    <row r="555" s="38" customFormat="1" x14ac:dyDescent="0.2"/>
    <row r="556" s="38" customFormat="1" x14ac:dyDescent="0.2"/>
    <row r="557" s="38" customFormat="1" x14ac:dyDescent="0.2"/>
    <row r="558" s="38" customFormat="1" x14ac:dyDescent="0.2"/>
    <row r="559" s="38" customFormat="1" x14ac:dyDescent="0.2"/>
    <row r="560" s="38" customFormat="1" x14ac:dyDescent="0.2"/>
    <row r="561" s="38" customFormat="1" x14ac:dyDescent="0.2"/>
    <row r="562" s="38" customFormat="1" x14ac:dyDescent="0.2"/>
    <row r="563" s="38" customFormat="1" x14ac:dyDescent="0.2"/>
    <row r="564" s="38" customFormat="1" x14ac:dyDescent="0.2"/>
    <row r="565" s="38" customFormat="1" x14ac:dyDescent="0.2"/>
    <row r="566" s="38" customFormat="1" x14ac:dyDescent="0.2"/>
    <row r="567" s="38" customFormat="1" x14ac:dyDescent="0.2"/>
    <row r="568" s="38" customFormat="1" x14ac:dyDescent="0.2"/>
    <row r="569" s="38" customFormat="1" x14ac:dyDescent="0.2"/>
    <row r="570" s="38" customFormat="1" x14ac:dyDescent="0.2"/>
    <row r="571" s="38" customFormat="1" x14ac:dyDescent="0.2"/>
    <row r="572" s="38" customFormat="1" x14ac:dyDescent="0.2"/>
    <row r="573" s="38" customFormat="1" x14ac:dyDescent="0.2"/>
    <row r="574" s="38" customFormat="1" x14ac:dyDescent="0.2"/>
    <row r="575" s="38" customFormat="1" x14ac:dyDescent="0.2"/>
    <row r="576" s="38" customFormat="1" x14ac:dyDescent="0.2"/>
    <row r="577" s="38" customFormat="1" x14ac:dyDescent="0.2"/>
    <row r="578" s="38" customFormat="1" x14ac:dyDescent="0.2"/>
    <row r="579" s="38" customFormat="1" x14ac:dyDescent="0.2"/>
    <row r="580" s="38" customFormat="1" x14ac:dyDescent="0.2"/>
    <row r="581" s="38" customFormat="1" x14ac:dyDescent="0.2"/>
    <row r="582" s="38" customFormat="1" x14ac:dyDescent="0.2"/>
    <row r="583" s="38" customFormat="1" x14ac:dyDescent="0.2"/>
    <row r="584" s="38" customFormat="1" x14ac:dyDescent="0.2"/>
    <row r="585" s="38" customFormat="1" x14ac:dyDescent="0.2"/>
    <row r="586" s="38" customFormat="1" x14ac:dyDescent="0.2"/>
    <row r="587" s="38" customFormat="1" x14ac:dyDescent="0.2"/>
    <row r="588" s="38" customFormat="1" x14ac:dyDescent="0.2"/>
    <row r="589" s="38" customFormat="1" x14ac:dyDescent="0.2"/>
    <row r="590" s="38" customFormat="1" x14ac:dyDescent="0.2"/>
    <row r="591" s="38" customFormat="1" x14ac:dyDescent="0.2"/>
    <row r="592" s="38" customFormat="1" x14ac:dyDescent="0.2"/>
    <row r="593" s="38" customFormat="1" x14ac:dyDescent="0.2"/>
    <row r="594" s="38" customFormat="1" x14ac:dyDescent="0.2"/>
    <row r="595" s="38" customFormat="1" x14ac:dyDescent="0.2"/>
    <row r="596" s="38" customFormat="1" x14ac:dyDescent="0.2"/>
    <row r="597" s="38" customFormat="1" x14ac:dyDescent="0.2"/>
    <row r="598" s="38" customFormat="1" x14ac:dyDescent="0.2"/>
    <row r="599" s="38" customFormat="1" x14ac:dyDescent="0.2"/>
    <row r="600" s="38" customFormat="1" x14ac:dyDescent="0.2"/>
    <row r="601" s="38" customFormat="1" x14ac:dyDescent="0.2"/>
    <row r="602" s="38" customFormat="1" x14ac:dyDescent="0.2"/>
    <row r="603" s="38" customFormat="1" x14ac:dyDescent="0.2"/>
    <row r="604" s="38" customFormat="1" x14ac:dyDescent="0.2"/>
    <row r="605" s="38" customFormat="1" x14ac:dyDescent="0.2"/>
    <row r="606" s="38" customFormat="1" x14ac:dyDescent="0.2"/>
    <row r="607" s="38" customFormat="1" x14ac:dyDescent="0.2"/>
    <row r="608" s="38" customFormat="1" x14ac:dyDescent="0.2"/>
    <row r="609" s="38" customFormat="1" x14ac:dyDescent="0.2"/>
    <row r="610" s="38" customFormat="1" x14ac:dyDescent="0.2"/>
    <row r="611" s="38" customFormat="1" x14ac:dyDescent="0.2"/>
    <row r="612" s="38" customFormat="1" x14ac:dyDescent="0.2"/>
    <row r="613" s="38" customFormat="1" x14ac:dyDescent="0.2"/>
    <row r="614" s="38" customFormat="1" x14ac:dyDescent="0.2"/>
    <row r="615" s="38" customFormat="1" x14ac:dyDescent="0.2"/>
    <row r="616" s="38" customFormat="1" x14ac:dyDescent="0.2"/>
    <row r="617" s="38" customFormat="1" x14ac:dyDescent="0.2"/>
    <row r="618" s="38" customFormat="1" x14ac:dyDescent="0.2"/>
    <row r="619" s="38" customFormat="1" x14ac:dyDescent="0.2"/>
    <row r="620" s="38" customFormat="1" x14ac:dyDescent="0.2"/>
    <row r="621" s="38" customFormat="1" x14ac:dyDescent="0.2"/>
    <row r="622" s="38" customFormat="1" x14ac:dyDescent="0.2"/>
    <row r="623" s="38" customFormat="1" x14ac:dyDescent="0.2"/>
    <row r="624" s="38" customFormat="1" x14ac:dyDescent="0.2"/>
    <row r="625" s="38" customFormat="1" x14ac:dyDescent="0.2"/>
    <row r="626" s="38" customFormat="1" x14ac:dyDescent="0.2"/>
    <row r="627" s="38" customFormat="1" x14ac:dyDescent="0.2"/>
    <row r="628" s="38" customFormat="1" x14ac:dyDescent="0.2"/>
    <row r="629" s="38" customFormat="1" x14ac:dyDescent="0.2"/>
    <row r="630" s="38" customFormat="1" x14ac:dyDescent="0.2"/>
    <row r="631" s="38" customFormat="1" x14ac:dyDescent="0.2"/>
    <row r="632" s="38" customFormat="1" x14ac:dyDescent="0.2"/>
    <row r="633" s="38" customFormat="1" x14ac:dyDescent="0.2"/>
    <row r="634" s="38" customFormat="1" x14ac:dyDescent="0.2"/>
    <row r="635" s="38" customFormat="1" x14ac:dyDescent="0.2"/>
    <row r="636" s="38" customFormat="1" x14ac:dyDescent="0.2"/>
    <row r="637" s="38" customFormat="1" x14ac:dyDescent="0.2"/>
    <row r="638" s="38" customFormat="1" x14ac:dyDescent="0.2"/>
    <row r="639" s="38" customFormat="1" x14ac:dyDescent="0.2"/>
    <row r="640" s="38" customFormat="1" x14ac:dyDescent="0.2"/>
    <row r="641" s="38" customFormat="1" x14ac:dyDescent="0.2"/>
    <row r="642" s="38" customFormat="1" x14ac:dyDescent="0.2"/>
    <row r="643" s="38" customFormat="1" x14ac:dyDescent="0.2"/>
    <row r="644" s="38" customFormat="1" x14ac:dyDescent="0.2"/>
    <row r="645" s="38" customFormat="1" x14ac:dyDescent="0.2"/>
    <row r="646" s="38" customFormat="1" x14ac:dyDescent="0.2"/>
    <row r="647" s="38" customFormat="1" x14ac:dyDescent="0.2"/>
    <row r="648" s="38" customFormat="1" x14ac:dyDescent="0.2"/>
    <row r="649" s="38" customFormat="1" x14ac:dyDescent="0.2"/>
    <row r="650" s="38" customFormat="1" x14ac:dyDescent="0.2"/>
    <row r="651" s="38" customFormat="1" x14ac:dyDescent="0.2"/>
    <row r="652" s="38" customFormat="1" x14ac:dyDescent="0.2"/>
    <row r="653" s="38" customFormat="1" x14ac:dyDescent="0.2"/>
    <row r="654" s="38" customFormat="1" x14ac:dyDescent="0.2"/>
    <row r="655" s="38" customFormat="1" x14ac:dyDescent="0.2"/>
    <row r="656" s="38" customFormat="1" x14ac:dyDescent="0.2"/>
    <row r="657" s="38" customFormat="1" x14ac:dyDescent="0.2"/>
    <row r="658" s="38" customFormat="1" x14ac:dyDescent="0.2"/>
    <row r="659" s="38" customFormat="1" x14ac:dyDescent="0.2"/>
    <row r="660" s="38" customFormat="1" x14ac:dyDescent="0.2"/>
    <row r="661" s="38" customFormat="1" x14ac:dyDescent="0.2"/>
    <row r="662" s="38" customFormat="1" x14ac:dyDescent="0.2"/>
    <row r="663" s="38" customFormat="1" x14ac:dyDescent="0.2"/>
    <row r="664" s="38" customFormat="1" x14ac:dyDescent="0.2"/>
    <row r="665" s="38" customFormat="1" x14ac:dyDescent="0.2"/>
    <row r="666" s="38" customFormat="1" x14ac:dyDescent="0.2"/>
    <row r="667" s="38" customFormat="1" x14ac:dyDescent="0.2"/>
    <row r="668" s="38" customFormat="1" x14ac:dyDescent="0.2"/>
    <row r="669" s="38" customFormat="1" x14ac:dyDescent="0.2"/>
    <row r="670" s="38" customFormat="1" x14ac:dyDescent="0.2"/>
    <row r="671" s="38" customFormat="1" x14ac:dyDescent="0.2"/>
    <row r="672" s="38" customFormat="1" x14ac:dyDescent="0.2"/>
    <row r="673" s="38" customFormat="1" x14ac:dyDescent="0.2"/>
    <row r="674" s="38" customFormat="1" x14ac:dyDescent="0.2"/>
    <row r="675" s="38" customFormat="1" x14ac:dyDescent="0.2"/>
    <row r="676" s="38" customFormat="1" x14ac:dyDescent="0.2"/>
    <row r="677" s="38" customFormat="1" x14ac:dyDescent="0.2"/>
    <row r="678" s="38" customFormat="1" x14ac:dyDescent="0.2"/>
    <row r="679" s="38" customFormat="1" x14ac:dyDescent="0.2"/>
    <row r="680" s="38" customFormat="1" x14ac:dyDescent="0.2"/>
    <row r="681" s="38" customFormat="1" x14ac:dyDescent="0.2"/>
    <row r="682" s="38" customFormat="1" x14ac:dyDescent="0.2"/>
    <row r="683" s="38" customFormat="1" x14ac:dyDescent="0.2"/>
    <row r="684" s="38" customFormat="1" x14ac:dyDescent="0.2"/>
    <row r="685" s="38" customFormat="1" x14ac:dyDescent="0.2"/>
    <row r="686" s="38" customFormat="1" x14ac:dyDescent="0.2"/>
    <row r="687" s="38" customFormat="1" x14ac:dyDescent="0.2"/>
    <row r="688" s="38" customFormat="1" x14ac:dyDescent="0.2"/>
    <row r="689" s="38" customFormat="1" x14ac:dyDescent="0.2"/>
    <row r="690" s="38" customFormat="1" x14ac:dyDescent="0.2"/>
    <row r="691" s="38" customFormat="1" x14ac:dyDescent="0.2"/>
    <row r="692" s="38" customFormat="1" x14ac:dyDescent="0.2"/>
    <row r="693" s="38" customFormat="1" x14ac:dyDescent="0.2"/>
    <row r="694" s="38" customFormat="1" x14ac:dyDescent="0.2"/>
    <row r="695" s="38" customFormat="1" x14ac:dyDescent="0.2"/>
    <row r="696" s="38" customFormat="1" x14ac:dyDescent="0.2"/>
    <row r="697" s="38" customFormat="1" x14ac:dyDescent="0.2"/>
    <row r="698" s="38" customFormat="1" x14ac:dyDescent="0.2"/>
    <row r="699" s="38" customFormat="1" x14ac:dyDescent="0.2"/>
    <row r="700" s="38" customFormat="1" x14ac:dyDescent="0.2"/>
    <row r="701" s="38" customFormat="1" x14ac:dyDescent="0.2"/>
    <row r="702" s="38" customFormat="1" x14ac:dyDescent="0.2"/>
    <row r="703" s="38" customFormat="1" x14ac:dyDescent="0.2"/>
    <row r="704" s="38" customFormat="1" x14ac:dyDescent="0.2"/>
    <row r="705" s="38" customFormat="1" x14ac:dyDescent="0.2"/>
    <row r="706" s="38" customFormat="1" x14ac:dyDescent="0.2"/>
    <row r="707" s="38" customFormat="1" x14ac:dyDescent="0.2"/>
    <row r="708" s="38" customFormat="1" x14ac:dyDescent="0.2"/>
    <row r="709" s="38" customFormat="1" x14ac:dyDescent="0.2"/>
    <row r="710" s="38" customFormat="1" x14ac:dyDescent="0.2"/>
    <row r="711" s="38" customFormat="1" x14ac:dyDescent="0.2"/>
    <row r="712" s="38" customFormat="1" x14ac:dyDescent="0.2"/>
    <row r="713" s="38" customFormat="1" x14ac:dyDescent="0.2"/>
    <row r="714" s="38" customFormat="1" x14ac:dyDescent="0.2"/>
    <row r="715" s="38" customFormat="1" x14ac:dyDescent="0.2"/>
    <row r="716" s="38" customFormat="1" x14ac:dyDescent="0.2"/>
    <row r="717" s="38" customFormat="1" x14ac:dyDescent="0.2"/>
    <row r="718" s="38" customFormat="1" x14ac:dyDescent="0.2"/>
    <row r="719" s="38" customFormat="1" x14ac:dyDescent="0.2"/>
    <row r="720" s="38" customFormat="1" x14ac:dyDescent="0.2"/>
    <row r="721" s="38" customFormat="1" x14ac:dyDescent="0.2"/>
    <row r="722" s="38" customFormat="1" x14ac:dyDescent="0.2"/>
    <row r="723" s="38" customFormat="1" x14ac:dyDescent="0.2"/>
    <row r="724" s="38" customFormat="1" x14ac:dyDescent="0.2"/>
    <row r="725" s="38" customFormat="1" x14ac:dyDescent="0.2"/>
    <row r="726" s="38" customFormat="1" x14ac:dyDescent="0.2"/>
    <row r="727" s="38" customFormat="1" x14ac:dyDescent="0.2"/>
    <row r="728" s="38" customFormat="1" x14ac:dyDescent="0.2"/>
    <row r="729" s="38" customFormat="1" x14ac:dyDescent="0.2"/>
    <row r="730" s="38" customFormat="1" x14ac:dyDescent="0.2"/>
    <row r="731" s="38" customFormat="1" x14ac:dyDescent="0.2"/>
    <row r="732" s="38" customFormat="1" x14ac:dyDescent="0.2"/>
    <row r="733" s="38" customFormat="1" x14ac:dyDescent="0.2"/>
    <row r="734" s="38" customFormat="1" x14ac:dyDescent="0.2"/>
    <row r="735" s="38" customFormat="1" x14ac:dyDescent="0.2"/>
    <row r="736" s="38" customFormat="1" x14ac:dyDescent="0.2"/>
    <row r="737" s="38" customFormat="1" x14ac:dyDescent="0.2"/>
    <row r="738" s="38" customFormat="1" x14ac:dyDescent="0.2"/>
    <row r="739" s="38" customFormat="1" x14ac:dyDescent="0.2"/>
    <row r="740" s="38" customFormat="1" x14ac:dyDescent="0.2"/>
    <row r="741" s="38" customFormat="1" x14ac:dyDescent="0.2"/>
    <row r="742" s="38" customFormat="1" x14ac:dyDescent="0.2"/>
    <row r="743" s="38" customFormat="1" x14ac:dyDescent="0.2"/>
    <row r="744" s="38" customFormat="1" x14ac:dyDescent="0.2"/>
    <row r="745" s="38" customFormat="1" x14ac:dyDescent="0.2"/>
    <row r="746" s="38" customFormat="1" x14ac:dyDescent="0.2"/>
    <row r="747" s="38" customFormat="1" x14ac:dyDescent="0.2"/>
    <row r="748" s="38" customFormat="1" x14ac:dyDescent="0.2"/>
    <row r="749" s="38" customFormat="1" x14ac:dyDescent="0.2"/>
    <row r="750" s="38" customFormat="1" x14ac:dyDescent="0.2"/>
    <row r="751" s="38" customFormat="1" x14ac:dyDescent="0.2"/>
    <row r="752" s="38" customFormat="1" x14ac:dyDescent="0.2"/>
    <row r="753" s="38" customFormat="1" x14ac:dyDescent="0.2"/>
    <row r="754" s="38" customFormat="1" x14ac:dyDescent="0.2"/>
    <row r="755" s="38" customFormat="1" x14ac:dyDescent="0.2"/>
    <row r="756" s="38" customFormat="1" x14ac:dyDescent="0.2"/>
    <row r="757" s="38" customFormat="1" x14ac:dyDescent="0.2"/>
    <row r="758" s="38" customFormat="1" x14ac:dyDescent="0.2"/>
    <row r="759" s="38" customFormat="1" x14ac:dyDescent="0.2"/>
    <row r="760" s="38" customFormat="1" x14ac:dyDescent="0.2"/>
    <row r="761" s="38" customFormat="1" x14ac:dyDescent="0.2"/>
    <row r="762" s="38" customFormat="1" x14ac:dyDescent="0.2"/>
    <row r="763" s="38" customFormat="1" x14ac:dyDescent="0.2"/>
    <row r="764" s="38" customFormat="1" x14ac:dyDescent="0.2"/>
    <row r="765" s="38" customFormat="1" x14ac:dyDescent="0.2"/>
    <row r="766" s="38" customFormat="1" x14ac:dyDescent="0.2"/>
    <row r="767" s="38" customFormat="1" x14ac:dyDescent="0.2"/>
    <row r="768" s="38" customFormat="1" x14ac:dyDescent="0.2"/>
    <row r="769" s="38" customFormat="1" x14ac:dyDescent="0.2"/>
    <row r="770" s="38" customFormat="1" x14ac:dyDescent="0.2"/>
    <row r="771" s="38" customFormat="1" x14ac:dyDescent="0.2"/>
    <row r="772" s="38" customFormat="1" x14ac:dyDescent="0.2"/>
    <row r="773" s="38" customFormat="1" x14ac:dyDescent="0.2"/>
    <row r="774" s="38" customFormat="1" x14ac:dyDescent="0.2"/>
    <row r="775" s="38" customFormat="1" x14ac:dyDescent="0.2"/>
    <row r="776" s="38" customFormat="1" x14ac:dyDescent="0.2"/>
    <row r="777" s="38" customFormat="1" x14ac:dyDescent="0.2"/>
    <row r="778" s="38" customFormat="1" x14ac:dyDescent="0.2"/>
    <row r="779" s="38" customFormat="1" x14ac:dyDescent="0.2"/>
    <row r="780" s="38" customFormat="1" x14ac:dyDescent="0.2"/>
    <row r="781" s="38" customFormat="1" x14ac:dyDescent="0.2"/>
    <row r="782" s="38" customFormat="1" x14ac:dyDescent="0.2"/>
    <row r="783" s="38" customFormat="1" x14ac:dyDescent="0.2"/>
    <row r="784" s="38" customFormat="1" x14ac:dyDescent="0.2"/>
    <row r="785" s="38" customFormat="1" x14ac:dyDescent="0.2"/>
    <row r="786" s="38" customFormat="1" x14ac:dyDescent="0.2"/>
    <row r="787" s="38" customFormat="1" x14ac:dyDescent="0.2"/>
    <row r="788" s="38" customFormat="1" x14ac:dyDescent="0.2"/>
    <row r="789" s="38" customFormat="1" x14ac:dyDescent="0.2"/>
    <row r="790" s="38" customFormat="1" x14ac:dyDescent="0.2"/>
    <row r="791" s="38" customFormat="1" x14ac:dyDescent="0.2"/>
    <row r="792" s="38" customFormat="1" x14ac:dyDescent="0.2"/>
    <row r="793" s="38" customFormat="1" x14ac:dyDescent="0.2"/>
    <row r="794" s="38" customFormat="1" x14ac:dyDescent="0.2"/>
    <row r="795" s="38" customFormat="1" x14ac:dyDescent="0.2"/>
    <row r="796" s="38" customFormat="1" x14ac:dyDescent="0.2"/>
    <row r="797" s="38" customFormat="1" x14ac:dyDescent="0.2"/>
    <row r="798" s="38" customFormat="1" x14ac:dyDescent="0.2"/>
    <row r="799" s="38" customFormat="1" x14ac:dyDescent="0.2"/>
    <row r="800" s="38" customFormat="1" x14ac:dyDescent="0.2"/>
    <row r="801" s="38" customFormat="1" x14ac:dyDescent="0.2"/>
    <row r="802" s="38" customFormat="1" x14ac:dyDescent="0.2"/>
    <row r="803" s="38" customFormat="1" x14ac:dyDescent="0.2"/>
    <row r="804" s="38" customFormat="1" x14ac:dyDescent="0.2"/>
    <row r="805" s="38" customFormat="1" x14ac:dyDescent="0.2"/>
    <row r="806" s="38" customFormat="1" x14ac:dyDescent="0.2"/>
    <row r="807" s="38" customFormat="1" x14ac:dyDescent="0.2"/>
    <row r="808" s="38" customFormat="1" x14ac:dyDescent="0.2"/>
    <row r="809" s="38" customFormat="1" x14ac:dyDescent="0.2"/>
    <row r="810" s="38" customFormat="1" x14ac:dyDescent="0.2"/>
    <row r="811" s="38" customFormat="1" x14ac:dyDescent="0.2"/>
    <row r="812" s="38" customFormat="1" x14ac:dyDescent="0.2"/>
    <row r="813" s="38" customFormat="1" x14ac:dyDescent="0.2"/>
    <row r="814" s="38" customFormat="1" x14ac:dyDescent="0.2"/>
    <row r="815" s="38" customFormat="1" x14ac:dyDescent="0.2"/>
    <row r="816" s="38" customFormat="1" x14ac:dyDescent="0.2"/>
    <row r="817" s="38" customFormat="1" x14ac:dyDescent="0.2"/>
    <row r="818" s="38" customFormat="1" x14ac:dyDescent="0.2"/>
    <row r="819" s="38" customFormat="1" x14ac:dyDescent="0.2"/>
    <row r="820" s="38" customFormat="1" x14ac:dyDescent="0.2"/>
    <row r="821" s="38" customFormat="1" x14ac:dyDescent="0.2"/>
    <row r="822" s="38" customFormat="1" x14ac:dyDescent="0.2"/>
    <row r="823" s="38" customFormat="1" x14ac:dyDescent="0.2"/>
    <row r="824" s="38" customFormat="1" x14ac:dyDescent="0.2"/>
    <row r="825" s="38" customFormat="1" x14ac:dyDescent="0.2"/>
    <row r="826" s="38" customFormat="1" x14ac:dyDescent="0.2"/>
    <row r="827" s="38" customFormat="1" x14ac:dyDescent="0.2"/>
    <row r="828" s="38" customFormat="1" x14ac:dyDescent="0.2"/>
    <row r="829" s="38" customFormat="1" x14ac:dyDescent="0.2"/>
    <row r="830" s="38" customFormat="1" x14ac:dyDescent="0.2"/>
    <row r="831" s="38" customFormat="1" x14ac:dyDescent="0.2"/>
    <row r="832" s="38" customFormat="1" x14ac:dyDescent="0.2"/>
    <row r="833" s="38" customFormat="1" x14ac:dyDescent="0.2"/>
    <row r="834" s="38" customFormat="1" x14ac:dyDescent="0.2"/>
    <row r="835" s="38" customFormat="1" x14ac:dyDescent="0.2"/>
    <row r="836" s="38" customFormat="1" x14ac:dyDescent="0.2"/>
    <row r="837" s="38" customFormat="1" x14ac:dyDescent="0.2"/>
    <row r="838" s="38" customFormat="1" x14ac:dyDescent="0.2"/>
    <row r="839" s="38" customFormat="1" x14ac:dyDescent="0.2"/>
    <row r="840" s="38" customFormat="1" x14ac:dyDescent="0.2"/>
    <row r="841" s="38" customFormat="1" x14ac:dyDescent="0.2"/>
    <row r="842" s="38" customFormat="1" x14ac:dyDescent="0.2"/>
    <row r="843" s="38" customFormat="1" x14ac:dyDescent="0.2"/>
    <row r="844" s="38" customFormat="1" x14ac:dyDescent="0.2"/>
    <row r="845" s="38" customFormat="1" x14ac:dyDescent="0.2"/>
    <row r="846" s="38" customFormat="1" x14ac:dyDescent="0.2"/>
    <row r="847" s="38" customFormat="1" x14ac:dyDescent="0.2"/>
    <row r="848" s="38" customFormat="1" x14ac:dyDescent="0.2"/>
    <row r="849" s="38" customFormat="1" x14ac:dyDescent="0.2"/>
    <row r="850" s="38" customFormat="1" x14ac:dyDescent="0.2"/>
    <row r="851" s="38" customFormat="1" x14ac:dyDescent="0.2"/>
    <row r="852" s="38" customFormat="1" x14ac:dyDescent="0.2"/>
    <row r="853" s="38" customFormat="1" x14ac:dyDescent="0.2"/>
    <row r="854" s="38" customFormat="1" x14ac:dyDescent="0.2"/>
    <row r="855" s="38" customFormat="1" x14ac:dyDescent="0.2"/>
    <row r="856" s="38" customFormat="1" x14ac:dyDescent="0.2"/>
    <row r="857" s="38" customFormat="1" x14ac:dyDescent="0.2"/>
    <row r="858" s="38" customFormat="1" x14ac:dyDescent="0.2"/>
    <row r="859" s="38" customFormat="1" x14ac:dyDescent="0.2"/>
    <row r="860" s="38" customFormat="1" x14ac:dyDescent="0.2"/>
    <row r="861" s="38" customFormat="1" x14ac:dyDescent="0.2"/>
    <row r="862" s="38" customFormat="1" x14ac:dyDescent="0.2"/>
    <row r="863" s="38" customFormat="1" x14ac:dyDescent="0.2"/>
    <row r="864" s="38" customFormat="1" x14ac:dyDescent="0.2"/>
    <row r="865" s="38" customFormat="1" x14ac:dyDescent="0.2"/>
    <row r="866" s="38" customFormat="1" x14ac:dyDescent="0.2"/>
    <row r="867" s="38" customFormat="1" x14ac:dyDescent="0.2"/>
    <row r="868" s="38" customFormat="1" x14ac:dyDescent="0.2"/>
    <row r="869" s="38" customFormat="1" x14ac:dyDescent="0.2"/>
    <row r="870" s="38" customFormat="1" x14ac:dyDescent="0.2"/>
    <row r="871" s="38" customFormat="1" x14ac:dyDescent="0.2"/>
    <row r="872" s="38" customFormat="1" x14ac:dyDescent="0.2"/>
    <row r="873" s="38" customFormat="1" x14ac:dyDescent="0.2"/>
    <row r="874" s="38" customFormat="1" x14ac:dyDescent="0.2"/>
    <row r="875" s="38" customFormat="1" x14ac:dyDescent="0.2"/>
    <row r="876" s="38" customFormat="1" x14ac:dyDescent="0.2"/>
    <row r="877" s="38" customFormat="1" x14ac:dyDescent="0.2"/>
    <row r="878" s="38" customFormat="1" x14ac:dyDescent="0.2"/>
    <row r="879" s="38" customFormat="1" x14ac:dyDescent="0.2"/>
    <row r="880" s="38" customFormat="1" x14ac:dyDescent="0.2"/>
    <row r="881" s="38" customFormat="1" x14ac:dyDescent="0.2"/>
    <row r="882" s="38" customFormat="1" x14ac:dyDescent="0.2"/>
    <row r="883" s="38" customFormat="1" x14ac:dyDescent="0.2"/>
    <row r="884" s="38" customFormat="1" x14ac:dyDescent="0.2"/>
    <row r="885" s="38" customFormat="1" x14ac:dyDescent="0.2"/>
    <row r="886" s="38" customFormat="1" x14ac:dyDescent="0.2"/>
    <row r="887" s="38" customFormat="1" x14ac:dyDescent="0.2"/>
    <row r="888" s="38" customFormat="1" x14ac:dyDescent="0.2"/>
    <row r="889" s="38" customFormat="1" x14ac:dyDescent="0.2"/>
    <row r="890" s="38" customFormat="1" x14ac:dyDescent="0.2"/>
    <row r="891" s="38" customFormat="1" x14ac:dyDescent="0.2"/>
    <row r="892" s="38" customFormat="1" x14ac:dyDescent="0.2"/>
    <row r="893" s="38" customFormat="1" x14ac:dyDescent="0.2"/>
    <row r="894" s="38" customFormat="1" x14ac:dyDescent="0.2"/>
    <row r="895" s="38" customFormat="1" x14ac:dyDescent="0.2"/>
    <row r="896" s="38" customFormat="1" x14ac:dyDescent="0.2"/>
    <row r="897" s="38" customFormat="1" x14ac:dyDescent="0.2"/>
    <row r="898" s="38" customFormat="1" x14ac:dyDescent="0.2"/>
    <row r="899" s="38" customFormat="1" x14ac:dyDescent="0.2"/>
    <row r="900" s="38" customFormat="1" x14ac:dyDescent="0.2"/>
    <row r="901" s="38" customFormat="1" x14ac:dyDescent="0.2"/>
    <row r="902" s="38" customFormat="1" x14ac:dyDescent="0.2"/>
    <row r="903" s="38" customFormat="1" x14ac:dyDescent="0.2"/>
    <row r="904" s="38" customFormat="1" x14ac:dyDescent="0.2"/>
    <row r="905" s="38" customFormat="1" x14ac:dyDescent="0.2"/>
    <row r="906" s="38" customFormat="1" x14ac:dyDescent="0.2"/>
    <row r="907" s="38" customFormat="1" x14ac:dyDescent="0.2"/>
    <row r="908" s="38" customFormat="1" x14ac:dyDescent="0.2"/>
    <row r="909" s="38" customFormat="1" x14ac:dyDescent="0.2"/>
    <row r="910" s="38" customFormat="1" x14ac:dyDescent="0.2"/>
    <row r="911" s="38" customFormat="1" x14ac:dyDescent="0.2"/>
    <row r="912" s="38" customFormat="1" x14ac:dyDescent="0.2"/>
    <row r="913" s="38" customFormat="1" x14ac:dyDescent="0.2"/>
    <row r="914" s="38" customFormat="1" x14ac:dyDescent="0.2"/>
    <row r="915" s="38" customFormat="1" x14ac:dyDescent="0.2"/>
    <row r="916" s="38" customFormat="1" x14ac:dyDescent="0.2"/>
    <row r="917" s="38" customFormat="1" x14ac:dyDescent="0.2"/>
    <row r="918" s="38" customFormat="1" x14ac:dyDescent="0.2"/>
    <row r="919" s="38" customFormat="1" x14ac:dyDescent="0.2"/>
    <row r="920" s="38" customFormat="1" x14ac:dyDescent="0.2"/>
    <row r="921" s="38" customFormat="1" x14ac:dyDescent="0.2"/>
    <row r="922" s="38" customFormat="1" x14ac:dyDescent="0.2"/>
    <row r="923" s="38" customFormat="1" x14ac:dyDescent="0.2"/>
    <row r="924" s="38" customFormat="1" x14ac:dyDescent="0.2"/>
    <row r="925" s="38" customFormat="1" x14ac:dyDescent="0.2"/>
    <row r="926" s="38" customFormat="1" x14ac:dyDescent="0.2"/>
    <row r="927" s="38" customFormat="1" x14ac:dyDescent="0.2"/>
    <row r="928" s="38" customFormat="1" x14ac:dyDescent="0.2"/>
    <row r="929" s="38" customFormat="1" x14ac:dyDescent="0.2"/>
    <row r="930" s="38" customFormat="1" x14ac:dyDescent="0.2"/>
    <row r="931" s="38" customFormat="1" x14ac:dyDescent="0.2"/>
    <row r="932" s="38" customFormat="1" x14ac:dyDescent="0.2"/>
    <row r="933" s="38" customFormat="1" x14ac:dyDescent="0.2"/>
    <row r="934" s="38" customFormat="1" x14ac:dyDescent="0.2"/>
    <row r="935" s="38" customFormat="1" x14ac:dyDescent="0.2"/>
    <row r="936" s="38" customFormat="1" x14ac:dyDescent="0.2"/>
    <row r="937" s="38" customFormat="1" x14ac:dyDescent="0.2"/>
    <row r="938" s="38" customFormat="1" x14ac:dyDescent="0.2"/>
    <row r="939" s="38" customFormat="1" x14ac:dyDescent="0.2"/>
    <row r="940" s="38" customFormat="1" x14ac:dyDescent="0.2"/>
    <row r="941" s="38" customFormat="1" x14ac:dyDescent="0.2"/>
    <row r="942" s="38" customFormat="1" x14ac:dyDescent="0.2"/>
    <row r="943" s="38" customFormat="1" x14ac:dyDescent="0.2"/>
    <row r="944" s="38" customFormat="1" x14ac:dyDescent="0.2"/>
    <row r="945" s="38" customFormat="1" x14ac:dyDescent="0.2"/>
    <row r="946" s="38" customFormat="1" x14ac:dyDescent="0.2"/>
    <row r="947" s="38" customFormat="1" x14ac:dyDescent="0.2"/>
    <row r="948" s="38" customFormat="1" x14ac:dyDescent="0.2"/>
    <row r="949" s="38" customFormat="1" x14ac:dyDescent="0.2"/>
    <row r="950" s="38" customFormat="1" x14ac:dyDescent="0.2"/>
    <row r="951" s="38" customFormat="1" x14ac:dyDescent="0.2"/>
    <row r="952" s="38" customFormat="1" x14ac:dyDescent="0.2"/>
    <row r="953" s="38" customFormat="1" x14ac:dyDescent="0.2"/>
    <row r="954" s="38" customFormat="1" x14ac:dyDescent="0.2"/>
    <row r="955" s="38" customFormat="1" x14ac:dyDescent="0.2"/>
    <row r="956" s="38" customFormat="1" x14ac:dyDescent="0.2"/>
    <row r="957" s="38" customFormat="1" x14ac:dyDescent="0.2"/>
    <row r="958" s="38" customFormat="1" x14ac:dyDescent="0.2"/>
    <row r="959" s="38" customFormat="1" x14ac:dyDescent="0.2"/>
    <row r="960" s="38" customFormat="1" x14ac:dyDescent="0.2"/>
    <row r="961" s="38" customFormat="1" x14ac:dyDescent="0.2"/>
    <row r="962" s="38" customFormat="1" x14ac:dyDescent="0.2"/>
    <row r="963" s="38" customFormat="1" x14ac:dyDescent="0.2"/>
    <row r="964" s="38" customFormat="1" x14ac:dyDescent="0.2"/>
    <row r="965" s="38" customFormat="1" x14ac:dyDescent="0.2"/>
    <row r="966" s="38" customFormat="1" x14ac:dyDescent="0.2"/>
    <row r="967" s="38" customFormat="1" x14ac:dyDescent="0.2"/>
    <row r="968" s="38" customFormat="1" x14ac:dyDescent="0.2"/>
    <row r="969" s="38" customFormat="1" x14ac:dyDescent="0.2"/>
    <row r="970" s="38" customFormat="1" x14ac:dyDescent="0.2"/>
    <row r="971" s="38" customFormat="1" x14ac:dyDescent="0.2"/>
    <row r="972" s="38" customFormat="1" x14ac:dyDescent="0.2"/>
    <row r="973" s="38" customFormat="1" x14ac:dyDescent="0.2"/>
    <row r="974" s="38" customFormat="1" x14ac:dyDescent="0.2"/>
    <row r="975" s="38" customFormat="1" x14ac:dyDescent="0.2"/>
    <row r="976" s="38" customFormat="1" x14ac:dyDescent="0.2"/>
    <row r="977" s="38" customFormat="1" x14ac:dyDescent="0.2"/>
    <row r="978" s="38" customFormat="1" x14ac:dyDescent="0.2"/>
    <row r="979" s="38" customFormat="1" x14ac:dyDescent="0.2"/>
    <row r="980" s="38" customFormat="1" x14ac:dyDescent="0.2"/>
    <row r="981" s="38" customFormat="1" x14ac:dyDescent="0.2"/>
    <row r="982" s="38" customFormat="1" x14ac:dyDescent="0.2"/>
    <row r="983" s="38" customFormat="1" x14ac:dyDescent="0.2"/>
    <row r="984" s="38" customFormat="1" x14ac:dyDescent="0.2"/>
    <row r="985" s="38" customFormat="1" x14ac:dyDescent="0.2"/>
    <row r="986" s="38" customFormat="1" x14ac:dyDescent="0.2"/>
    <row r="987" s="38" customFormat="1" x14ac:dyDescent="0.2"/>
    <row r="988" s="38" customFormat="1" x14ac:dyDescent="0.2"/>
    <row r="989" s="38" customFormat="1" x14ac:dyDescent="0.2"/>
    <row r="990" s="38" customFormat="1" x14ac:dyDescent="0.2"/>
    <row r="991" s="38" customFormat="1" x14ac:dyDescent="0.2"/>
    <row r="992" s="38" customFormat="1" x14ac:dyDescent="0.2"/>
    <row r="993" s="38" customFormat="1" x14ac:dyDescent="0.2"/>
    <row r="994" s="38" customFormat="1" x14ac:dyDescent="0.2"/>
    <row r="995" s="38" customFormat="1" x14ac:dyDescent="0.2"/>
    <row r="996" s="38" customFormat="1" x14ac:dyDescent="0.2"/>
    <row r="997" s="38" customFormat="1" x14ac:dyDescent="0.2"/>
    <row r="998" s="38" customFormat="1" x14ac:dyDescent="0.2"/>
    <row r="999" s="38" customFormat="1" x14ac:dyDescent="0.2"/>
    <row r="1000" s="38" customFormat="1" x14ac:dyDescent="0.2"/>
    <row r="1001" s="38" customFormat="1" x14ac:dyDescent="0.2"/>
    <row r="1002" s="38" customFormat="1" x14ac:dyDescent="0.2"/>
    <row r="1003" s="38" customFormat="1" x14ac:dyDescent="0.2"/>
    <row r="1004" s="38" customFormat="1" x14ac:dyDescent="0.2"/>
    <row r="1005" s="38" customFormat="1" x14ac:dyDescent="0.2"/>
    <row r="1006" s="38" customFormat="1" x14ac:dyDescent="0.2"/>
    <row r="1007" s="38" customFormat="1" x14ac:dyDescent="0.2"/>
    <row r="1008" s="38" customFormat="1" x14ac:dyDescent="0.2"/>
    <row r="1009" s="38" customFormat="1" x14ac:dyDescent="0.2"/>
    <row r="1010" s="38" customFormat="1" x14ac:dyDescent="0.2"/>
    <row r="1011" s="38" customFormat="1" x14ac:dyDescent="0.2"/>
    <row r="1012" s="38" customFormat="1" x14ac:dyDescent="0.2"/>
    <row r="1013" s="38" customFormat="1" x14ac:dyDescent="0.2"/>
    <row r="1014" s="38" customFormat="1" x14ac:dyDescent="0.2"/>
    <row r="1015" s="38" customFormat="1" x14ac:dyDescent="0.2"/>
    <row r="1016" s="38" customFormat="1" x14ac:dyDescent="0.2"/>
    <row r="1017" s="38" customFormat="1" x14ac:dyDescent="0.2"/>
    <row r="1018" s="38" customFormat="1" x14ac:dyDescent="0.2"/>
    <row r="1019" s="38" customFormat="1" x14ac:dyDescent="0.2"/>
    <row r="1020" s="38" customFormat="1" x14ac:dyDescent="0.2"/>
    <row r="1021" s="38" customFormat="1" x14ac:dyDescent="0.2"/>
    <row r="1022" s="38" customFormat="1" x14ac:dyDescent="0.2"/>
    <row r="1023" s="38" customFormat="1" x14ac:dyDescent="0.2"/>
    <row r="1024" s="38" customFormat="1" x14ac:dyDescent="0.2"/>
    <row r="1025" s="38" customFormat="1" x14ac:dyDescent="0.2"/>
    <row r="1026" s="38" customFormat="1" x14ac:dyDescent="0.2"/>
    <row r="1027" s="38" customFormat="1" x14ac:dyDescent="0.2"/>
    <row r="1028" s="38" customFormat="1" x14ac:dyDescent="0.2"/>
    <row r="1029" s="38" customFormat="1" x14ac:dyDescent="0.2"/>
    <row r="1030" s="38" customFormat="1" x14ac:dyDescent="0.2"/>
    <row r="1031" s="38" customFormat="1" x14ac:dyDescent="0.2"/>
    <row r="1032" s="38" customFormat="1" x14ac:dyDescent="0.2"/>
    <row r="1033" s="38" customFormat="1" x14ac:dyDescent="0.2"/>
    <row r="1034" s="38" customFormat="1" x14ac:dyDescent="0.2"/>
    <row r="1035" s="38" customFormat="1" x14ac:dyDescent="0.2"/>
    <row r="1036" s="38" customFormat="1" x14ac:dyDescent="0.2"/>
    <row r="1037" s="38" customFormat="1" x14ac:dyDescent="0.2"/>
    <row r="1038" s="38" customFormat="1" x14ac:dyDescent="0.2"/>
    <row r="1039" s="38" customFormat="1" x14ac:dyDescent="0.2"/>
    <row r="1040" s="38" customFormat="1" x14ac:dyDescent="0.2"/>
    <row r="1041" s="38" customFormat="1" x14ac:dyDescent="0.2"/>
    <row r="1042" s="38" customFormat="1" x14ac:dyDescent="0.2"/>
    <row r="1043" s="38" customFormat="1" x14ac:dyDescent="0.2"/>
    <row r="1044" s="38" customFormat="1" x14ac:dyDescent="0.2"/>
    <row r="1045" s="38" customFormat="1" x14ac:dyDescent="0.2"/>
    <row r="1046" s="38" customFormat="1" x14ac:dyDescent="0.2"/>
    <row r="1047" s="38" customFormat="1" x14ac:dyDescent="0.2"/>
    <row r="1048" s="38" customFormat="1" x14ac:dyDescent="0.2"/>
    <row r="1049" s="38" customFormat="1" x14ac:dyDescent="0.2"/>
    <row r="1050" s="38" customFormat="1" x14ac:dyDescent="0.2"/>
    <row r="1051" s="38" customFormat="1" x14ac:dyDescent="0.2"/>
    <row r="1052" s="38" customFormat="1" x14ac:dyDescent="0.2"/>
    <row r="1053" s="38" customFormat="1" x14ac:dyDescent="0.2"/>
    <row r="1054" s="38" customFormat="1" x14ac:dyDescent="0.2"/>
    <row r="1055" s="38" customFormat="1" x14ac:dyDescent="0.2"/>
    <row r="1056" s="38" customFormat="1" x14ac:dyDescent="0.2"/>
    <row r="1057" s="38" customFormat="1" x14ac:dyDescent="0.2"/>
    <row r="1058" s="38" customFormat="1" x14ac:dyDescent="0.2"/>
    <row r="1059" s="38" customFormat="1" x14ac:dyDescent="0.2"/>
    <row r="1060" s="38" customFormat="1" x14ac:dyDescent="0.2"/>
    <row r="1061" s="38" customFormat="1" x14ac:dyDescent="0.2"/>
    <row r="1062" s="38" customFormat="1" x14ac:dyDescent="0.2"/>
    <row r="1063" s="38" customFormat="1" x14ac:dyDescent="0.2"/>
    <row r="1064" s="38" customFormat="1" x14ac:dyDescent="0.2"/>
    <row r="1065" s="38" customFormat="1" x14ac:dyDescent="0.2"/>
    <row r="1066" s="38" customFormat="1" x14ac:dyDescent="0.2"/>
    <row r="1067" s="38" customFormat="1" x14ac:dyDescent="0.2"/>
    <row r="1068" s="38" customFormat="1" x14ac:dyDescent="0.2"/>
    <row r="1069" s="38" customFormat="1" x14ac:dyDescent="0.2"/>
    <row r="1070" s="38" customFormat="1" x14ac:dyDescent="0.2"/>
    <row r="1071" s="38" customFormat="1" x14ac:dyDescent="0.2"/>
    <row r="1072" s="38" customFormat="1" x14ac:dyDescent="0.2"/>
    <row r="1073" s="38" customFormat="1" x14ac:dyDescent="0.2"/>
    <row r="1074" s="38" customFormat="1" x14ac:dyDescent="0.2"/>
    <row r="1075" s="38" customFormat="1" x14ac:dyDescent="0.2"/>
    <row r="1076" s="38" customFormat="1" x14ac:dyDescent="0.2"/>
    <row r="1077" s="38" customFormat="1" x14ac:dyDescent="0.2"/>
    <row r="1078" s="38" customFormat="1" x14ac:dyDescent="0.2"/>
    <row r="1079" s="38" customFormat="1" x14ac:dyDescent="0.2"/>
    <row r="1080" s="38" customFormat="1" x14ac:dyDescent="0.2"/>
    <row r="1081" s="38" customFormat="1" x14ac:dyDescent="0.2"/>
    <row r="1082" s="38" customFormat="1" x14ac:dyDescent="0.2"/>
    <row r="1083" s="38" customFormat="1" x14ac:dyDescent="0.2"/>
    <row r="1084" s="38" customFormat="1" x14ac:dyDescent="0.2"/>
    <row r="1085" s="38" customFormat="1" x14ac:dyDescent="0.2"/>
    <row r="1086" s="38" customFormat="1" x14ac:dyDescent="0.2"/>
    <row r="1087" s="38" customFormat="1" x14ac:dyDescent="0.2"/>
    <row r="1088" s="38" customFormat="1" x14ac:dyDescent="0.2"/>
    <row r="1089" s="38" customFormat="1" x14ac:dyDescent="0.2"/>
    <row r="1090" s="38" customFormat="1" x14ac:dyDescent="0.2"/>
    <row r="1091" s="38" customFormat="1" x14ac:dyDescent="0.2"/>
    <row r="1092" s="38" customFormat="1" x14ac:dyDescent="0.2"/>
    <row r="1093" s="38" customFormat="1" x14ac:dyDescent="0.2"/>
    <row r="1094" s="38" customFormat="1" x14ac:dyDescent="0.2"/>
    <row r="1095" s="38" customFormat="1" x14ac:dyDescent="0.2"/>
    <row r="1096" s="38" customFormat="1" x14ac:dyDescent="0.2"/>
    <row r="1097" s="38" customFormat="1" x14ac:dyDescent="0.2"/>
    <row r="1098" s="38" customFormat="1" x14ac:dyDescent="0.2"/>
    <row r="1099" s="38" customFormat="1" x14ac:dyDescent="0.2"/>
    <row r="1100" s="38" customFormat="1" x14ac:dyDescent="0.2"/>
    <row r="1101" s="38" customFormat="1" x14ac:dyDescent="0.2"/>
    <row r="1102" s="38" customFormat="1" x14ac:dyDescent="0.2"/>
    <row r="1103" s="38" customFormat="1" x14ac:dyDescent="0.2"/>
    <row r="1104" s="38" customFormat="1" x14ac:dyDescent="0.2"/>
    <row r="1105" s="38" customFormat="1" x14ac:dyDescent="0.2"/>
    <row r="1106" s="38" customFormat="1" x14ac:dyDescent="0.2"/>
    <row r="1107" s="38" customFormat="1" x14ac:dyDescent="0.2"/>
    <row r="1108" s="38" customFormat="1" x14ac:dyDescent="0.2"/>
    <row r="1109" s="38" customFormat="1" x14ac:dyDescent="0.2"/>
    <row r="1110" s="38" customFormat="1" x14ac:dyDescent="0.2"/>
    <row r="1111" s="38" customFormat="1" x14ac:dyDescent="0.2"/>
    <row r="1112" s="38" customFormat="1" x14ac:dyDescent="0.2"/>
    <row r="1113" s="38" customFormat="1" x14ac:dyDescent="0.2"/>
    <row r="1114" s="38" customFormat="1" x14ac:dyDescent="0.2"/>
    <row r="1115" s="38" customFormat="1" x14ac:dyDescent="0.2"/>
    <row r="1116" s="38" customFormat="1" x14ac:dyDescent="0.2"/>
    <row r="1117" s="38" customFormat="1" x14ac:dyDescent="0.2"/>
    <row r="1118" s="38" customFormat="1" x14ac:dyDescent="0.2"/>
    <row r="1119" s="38" customFormat="1" x14ac:dyDescent="0.2"/>
    <row r="1120" s="38" customFormat="1" x14ac:dyDescent="0.2"/>
    <row r="1121" s="38" customFormat="1" x14ac:dyDescent="0.2"/>
    <row r="1122" s="38" customFormat="1" x14ac:dyDescent="0.2"/>
    <row r="1123" s="38" customFormat="1" x14ac:dyDescent="0.2"/>
    <row r="1124" s="38" customFormat="1" x14ac:dyDescent="0.2"/>
    <row r="1125" s="38" customFormat="1" x14ac:dyDescent="0.2"/>
    <row r="1126" s="38" customFormat="1" x14ac:dyDescent="0.2"/>
    <row r="1127" s="38" customFormat="1" x14ac:dyDescent="0.2"/>
    <row r="1128" s="38" customFormat="1" x14ac:dyDescent="0.2"/>
    <row r="1129" s="38" customFormat="1" x14ac:dyDescent="0.2"/>
    <row r="1130" s="38" customFormat="1" x14ac:dyDescent="0.2"/>
    <row r="1131" s="38" customFormat="1" x14ac:dyDescent="0.2"/>
    <row r="1132" s="38" customFormat="1" x14ac:dyDescent="0.2"/>
    <row r="1133" s="38" customFormat="1" x14ac:dyDescent="0.2"/>
    <row r="1134" s="38" customFormat="1" x14ac:dyDescent="0.2"/>
    <row r="1135" s="38" customFormat="1" x14ac:dyDescent="0.2"/>
    <row r="1136" s="38" customFormat="1" x14ac:dyDescent="0.2"/>
    <row r="1137" s="38" customFormat="1" x14ac:dyDescent="0.2"/>
    <row r="1138" s="38" customFormat="1" x14ac:dyDescent="0.2"/>
    <row r="1139" s="38" customFormat="1" x14ac:dyDescent="0.2"/>
    <row r="1140" s="38" customFormat="1" x14ac:dyDescent="0.2"/>
    <row r="1141" s="38" customFormat="1" x14ac:dyDescent="0.2"/>
    <row r="1142" s="38" customFormat="1" x14ac:dyDescent="0.2"/>
    <row r="1143" s="38" customFormat="1" x14ac:dyDescent="0.2"/>
    <row r="1144" s="38" customFormat="1" x14ac:dyDescent="0.2"/>
    <row r="1145" s="38" customFormat="1" x14ac:dyDescent="0.2"/>
    <row r="1146" s="38" customFormat="1" x14ac:dyDescent="0.2"/>
    <row r="1147" s="38" customFormat="1" x14ac:dyDescent="0.2"/>
    <row r="1148" s="38" customFormat="1" x14ac:dyDescent="0.2"/>
    <row r="1149" s="38" customFormat="1" x14ac:dyDescent="0.2"/>
    <row r="1150" s="38" customFormat="1" x14ac:dyDescent="0.2"/>
    <row r="1151" s="38" customFormat="1" x14ac:dyDescent="0.2"/>
    <row r="1152" s="38" customFormat="1" x14ac:dyDescent="0.2"/>
    <row r="1153" s="38" customFormat="1" x14ac:dyDescent="0.2"/>
    <row r="1154" s="38" customFormat="1" x14ac:dyDescent="0.2"/>
    <row r="1155" s="38" customFormat="1" x14ac:dyDescent="0.2"/>
    <row r="1156" s="38" customFormat="1" x14ac:dyDescent="0.2"/>
    <row r="1157" s="38" customFormat="1" x14ac:dyDescent="0.2"/>
    <row r="1158" s="38" customFormat="1" x14ac:dyDescent="0.2"/>
    <row r="1159" s="38" customFormat="1" x14ac:dyDescent="0.2"/>
    <row r="1160" s="38" customFormat="1" x14ac:dyDescent="0.2"/>
    <row r="1161" s="38" customFormat="1" x14ac:dyDescent="0.2"/>
    <row r="1162" s="38" customFormat="1" x14ac:dyDescent="0.2"/>
    <row r="1163" s="38" customFormat="1" x14ac:dyDescent="0.2"/>
    <row r="1164" s="38" customFormat="1" x14ac:dyDescent="0.2"/>
    <row r="1165" s="38" customFormat="1" x14ac:dyDescent="0.2"/>
    <row r="1166" s="38" customFormat="1" x14ac:dyDescent="0.2"/>
    <row r="1167" s="38" customFormat="1" x14ac:dyDescent="0.2"/>
    <row r="1168" s="38" customFormat="1" x14ac:dyDescent="0.2"/>
    <row r="1169" s="38" customFormat="1" x14ac:dyDescent="0.2"/>
    <row r="1170" s="38" customFormat="1" x14ac:dyDescent="0.2"/>
    <row r="1171" s="38" customFormat="1" x14ac:dyDescent="0.2"/>
    <row r="1172" s="38" customFormat="1" x14ac:dyDescent="0.2"/>
    <row r="1173" s="38" customFormat="1" x14ac:dyDescent="0.2"/>
    <row r="1174" s="38" customFormat="1" x14ac:dyDescent="0.2"/>
    <row r="1175" s="38" customFormat="1" x14ac:dyDescent="0.2"/>
    <row r="1176" s="38" customFormat="1" x14ac:dyDescent="0.2"/>
    <row r="1177" s="38" customFormat="1" x14ac:dyDescent="0.2"/>
    <row r="1178" s="38" customFormat="1" x14ac:dyDescent="0.2"/>
    <row r="1179" s="38" customFormat="1" x14ac:dyDescent="0.2"/>
    <row r="1180" s="38" customFormat="1" x14ac:dyDescent="0.2"/>
    <row r="1181" s="38" customFormat="1" x14ac:dyDescent="0.2"/>
    <row r="1182" s="38" customFormat="1" x14ac:dyDescent="0.2"/>
    <row r="1183" s="38" customFormat="1" x14ac:dyDescent="0.2"/>
    <row r="1184" s="38" customFormat="1" x14ac:dyDescent="0.2"/>
    <row r="1185" s="38" customFormat="1" x14ac:dyDescent="0.2"/>
    <row r="1186" s="38" customFormat="1" x14ac:dyDescent="0.2"/>
    <row r="1187" s="38" customFormat="1" x14ac:dyDescent="0.2"/>
    <row r="1188" s="38" customFormat="1" x14ac:dyDescent="0.2"/>
    <row r="1189" s="38" customFormat="1" x14ac:dyDescent="0.2"/>
    <row r="1190" s="38" customFormat="1" x14ac:dyDescent="0.2"/>
    <row r="1191" s="38" customFormat="1" x14ac:dyDescent="0.2"/>
    <row r="1192" s="38" customFormat="1" x14ac:dyDescent="0.2"/>
    <row r="1193" s="38" customFormat="1" x14ac:dyDescent="0.2"/>
    <row r="1194" s="38" customFormat="1" x14ac:dyDescent="0.2"/>
    <row r="1195" s="38" customFormat="1" x14ac:dyDescent="0.2"/>
    <row r="1196" s="38" customFormat="1" x14ac:dyDescent="0.2"/>
    <row r="1197" s="38" customFormat="1" x14ac:dyDescent="0.2"/>
    <row r="1198" s="38" customFormat="1" x14ac:dyDescent="0.2"/>
    <row r="1199" s="38" customFormat="1" x14ac:dyDescent="0.2"/>
    <row r="1200" s="38" customFormat="1" x14ac:dyDescent="0.2"/>
    <row r="1201" s="38" customFormat="1" x14ac:dyDescent="0.2"/>
    <row r="1202" s="38" customFormat="1" x14ac:dyDescent="0.2"/>
    <row r="1203" s="38" customFormat="1" x14ac:dyDescent="0.2"/>
    <row r="1204" s="38" customFormat="1" x14ac:dyDescent="0.2"/>
    <row r="1205" s="38" customFormat="1" x14ac:dyDescent="0.2"/>
    <row r="1206" s="38" customFormat="1" x14ac:dyDescent="0.2"/>
    <row r="1207" s="38" customFormat="1" x14ac:dyDescent="0.2"/>
    <row r="1208" s="38" customFormat="1" x14ac:dyDescent="0.2"/>
    <row r="1209" s="38" customFormat="1" x14ac:dyDescent="0.2"/>
    <row r="1210" s="38" customFormat="1" x14ac:dyDescent="0.2"/>
    <row r="1211" s="38" customFormat="1" x14ac:dyDescent="0.2"/>
    <row r="1212" s="38" customFormat="1" x14ac:dyDescent="0.2"/>
    <row r="1213" s="38" customFormat="1" x14ac:dyDescent="0.2"/>
    <row r="1214" s="38" customFormat="1" x14ac:dyDescent="0.2"/>
    <row r="1215" s="38" customFormat="1" x14ac:dyDescent="0.2"/>
    <row r="1216" s="38" customFormat="1" x14ac:dyDescent="0.2"/>
    <row r="1217" s="38" customFormat="1" x14ac:dyDescent="0.2"/>
    <row r="1218" s="38" customFormat="1" x14ac:dyDescent="0.2"/>
    <row r="1219" s="38" customFormat="1" x14ac:dyDescent="0.2"/>
    <row r="1220" s="38" customFormat="1" x14ac:dyDescent="0.2"/>
    <row r="1221" s="38" customFormat="1" x14ac:dyDescent="0.2"/>
    <row r="1222" s="38" customFormat="1" x14ac:dyDescent="0.2"/>
    <row r="1223" s="38" customFormat="1" x14ac:dyDescent="0.2"/>
    <row r="1224" s="38" customFormat="1" x14ac:dyDescent="0.2"/>
    <row r="1225" s="38" customFormat="1" x14ac:dyDescent="0.2"/>
    <row r="1226" s="38" customFormat="1" x14ac:dyDescent="0.2"/>
    <row r="1227" s="38" customFormat="1" x14ac:dyDescent="0.2"/>
    <row r="1228" s="38" customFormat="1" x14ac:dyDescent="0.2"/>
    <row r="1229" s="38" customFormat="1" x14ac:dyDescent="0.2"/>
    <row r="1230" s="38" customFormat="1" x14ac:dyDescent="0.2"/>
    <row r="1231" s="38" customFormat="1" x14ac:dyDescent="0.2"/>
    <row r="1232" s="38" customFormat="1" x14ac:dyDescent="0.2"/>
    <row r="1233" s="38" customFormat="1" x14ac:dyDescent="0.2"/>
    <row r="1234" s="38" customFormat="1" x14ac:dyDescent="0.2"/>
    <row r="1235" s="38" customFormat="1" x14ac:dyDescent="0.2"/>
    <row r="1236" s="38" customFormat="1" x14ac:dyDescent="0.2"/>
    <row r="1237" s="38" customFormat="1" x14ac:dyDescent="0.2"/>
    <row r="1238" s="38" customFormat="1" x14ac:dyDescent="0.2"/>
    <row r="1239" s="38" customFormat="1" x14ac:dyDescent="0.2"/>
    <row r="1240" s="38" customFormat="1" x14ac:dyDescent="0.2"/>
    <row r="1241" s="38" customFormat="1" x14ac:dyDescent="0.2"/>
    <row r="1242" s="38" customFormat="1" x14ac:dyDescent="0.2"/>
    <row r="1243" s="38" customFormat="1" x14ac:dyDescent="0.2"/>
    <row r="1244" s="38" customFormat="1" x14ac:dyDescent="0.2"/>
    <row r="1245" s="38" customFormat="1" x14ac:dyDescent="0.2"/>
    <row r="1246" s="38" customFormat="1" x14ac:dyDescent="0.2"/>
    <row r="1247" s="38" customFormat="1" x14ac:dyDescent="0.2"/>
    <row r="1248" s="38" customFormat="1" x14ac:dyDescent="0.2"/>
    <row r="1249" s="38" customFormat="1" x14ac:dyDescent="0.2"/>
    <row r="1250" s="38" customFormat="1" x14ac:dyDescent="0.2"/>
    <row r="1251" s="38" customFormat="1" x14ac:dyDescent="0.2"/>
    <row r="1252" s="38" customFormat="1" x14ac:dyDescent="0.2"/>
    <row r="1253" s="38" customFormat="1" x14ac:dyDescent="0.2"/>
    <row r="1254" s="38" customFormat="1" x14ac:dyDescent="0.2"/>
    <row r="1255" s="38" customFormat="1" x14ac:dyDescent="0.2"/>
    <row r="1256" s="38" customFormat="1" x14ac:dyDescent="0.2"/>
    <row r="1257" s="38" customFormat="1" x14ac:dyDescent="0.2"/>
    <row r="1258" s="38" customFormat="1" x14ac:dyDescent="0.2"/>
    <row r="1259" s="38" customFormat="1" x14ac:dyDescent="0.2"/>
    <row r="1260" s="38" customFormat="1" x14ac:dyDescent="0.2"/>
    <row r="1261" s="38" customFormat="1" x14ac:dyDescent="0.2"/>
    <row r="1262" s="38" customFormat="1" x14ac:dyDescent="0.2"/>
    <row r="1263" s="38" customFormat="1" x14ac:dyDescent="0.2"/>
    <row r="1264" s="38" customFormat="1" x14ac:dyDescent="0.2"/>
    <row r="1265" s="38" customFormat="1" x14ac:dyDescent="0.2"/>
    <row r="1266" s="38" customFormat="1" x14ac:dyDescent="0.2"/>
    <row r="1267" s="38" customFormat="1" x14ac:dyDescent="0.2"/>
    <row r="1268" s="38" customFormat="1" x14ac:dyDescent="0.2"/>
    <row r="1269" s="38" customFormat="1" x14ac:dyDescent="0.2"/>
    <row r="1270" s="38" customFormat="1" x14ac:dyDescent="0.2"/>
    <row r="1271" s="38" customFormat="1" x14ac:dyDescent="0.2"/>
    <row r="1272" s="38" customFormat="1" x14ac:dyDescent="0.2"/>
    <row r="1273" s="38" customFormat="1" x14ac:dyDescent="0.2"/>
    <row r="1274" s="38" customFormat="1" x14ac:dyDescent="0.2"/>
    <row r="1275" s="38" customFormat="1" x14ac:dyDescent="0.2"/>
    <row r="1276" s="38" customFormat="1" x14ac:dyDescent="0.2"/>
    <row r="1277" s="38" customFormat="1" x14ac:dyDescent="0.2"/>
    <row r="1278" s="38" customFormat="1" x14ac:dyDescent="0.2"/>
    <row r="1279" s="38" customFormat="1" x14ac:dyDescent="0.2"/>
    <row r="1280" s="38" customFormat="1" x14ac:dyDescent="0.2"/>
    <row r="1281" s="38" customFormat="1" x14ac:dyDescent="0.2"/>
    <row r="1282" s="38" customFormat="1" x14ac:dyDescent="0.2"/>
    <row r="1283" s="38" customFormat="1" x14ac:dyDescent="0.2"/>
    <row r="1284" s="38" customFormat="1" x14ac:dyDescent="0.2"/>
    <row r="1285" s="38" customFormat="1" x14ac:dyDescent="0.2"/>
    <row r="1286" s="38" customFormat="1" x14ac:dyDescent="0.2"/>
    <row r="1287" s="38" customFormat="1" x14ac:dyDescent="0.2"/>
    <row r="1288" s="38" customFormat="1" x14ac:dyDescent="0.2"/>
    <row r="1289" s="38" customFormat="1" x14ac:dyDescent="0.2"/>
    <row r="1290" s="38" customFormat="1" x14ac:dyDescent="0.2"/>
    <row r="1291" s="38" customFormat="1" x14ac:dyDescent="0.2"/>
    <row r="1292" s="38" customFormat="1" x14ac:dyDescent="0.2"/>
    <row r="1293" s="38" customFormat="1" x14ac:dyDescent="0.2"/>
    <row r="1294" s="38" customFormat="1" x14ac:dyDescent="0.2"/>
    <row r="1295" s="38" customFormat="1" x14ac:dyDescent="0.2"/>
    <row r="1296" s="38" customFormat="1" x14ac:dyDescent="0.2"/>
    <row r="1297" s="38" customFormat="1" x14ac:dyDescent="0.2"/>
    <row r="1298" s="38" customFormat="1" x14ac:dyDescent="0.2"/>
    <row r="1299" s="38" customFormat="1" x14ac:dyDescent="0.2"/>
    <row r="1300" s="38" customFormat="1" x14ac:dyDescent="0.2"/>
    <row r="1301" s="38" customFormat="1" x14ac:dyDescent="0.2"/>
    <row r="1302" s="38" customFormat="1" x14ac:dyDescent="0.2"/>
    <row r="1303" s="38" customFormat="1" x14ac:dyDescent="0.2"/>
    <row r="1304" s="38" customFormat="1" x14ac:dyDescent="0.2"/>
    <row r="1305" s="38" customFormat="1" x14ac:dyDescent="0.2"/>
    <row r="1306" s="38" customFormat="1" x14ac:dyDescent="0.2"/>
    <row r="1307" s="38" customFormat="1" x14ac:dyDescent="0.2"/>
    <row r="1308" s="38" customFormat="1" x14ac:dyDescent="0.2"/>
    <row r="1309" s="38" customFormat="1" x14ac:dyDescent="0.2"/>
    <row r="1310" s="38" customFormat="1" x14ac:dyDescent="0.2"/>
    <row r="1311" s="38" customFormat="1" x14ac:dyDescent="0.2"/>
    <row r="1312" s="38" customFormat="1" x14ac:dyDescent="0.2"/>
    <row r="1313" s="38" customFormat="1" x14ac:dyDescent="0.2"/>
    <row r="1314" s="38" customFormat="1" x14ac:dyDescent="0.2"/>
    <row r="1315" s="38" customFormat="1" x14ac:dyDescent="0.2"/>
    <row r="1316" s="38" customFormat="1" x14ac:dyDescent="0.2"/>
    <row r="1317" s="38" customFormat="1" x14ac:dyDescent="0.2"/>
    <row r="1318" s="38" customFormat="1" x14ac:dyDescent="0.2"/>
    <row r="1319" s="38" customFormat="1" x14ac:dyDescent="0.2"/>
    <row r="1320" s="38" customFormat="1" x14ac:dyDescent="0.2"/>
    <row r="1321" s="38" customFormat="1" x14ac:dyDescent="0.2"/>
    <row r="1322" s="38" customFormat="1" x14ac:dyDescent="0.2"/>
    <row r="1323" s="38" customFormat="1" x14ac:dyDescent="0.2"/>
    <row r="1324" s="38" customFormat="1" x14ac:dyDescent="0.2"/>
    <row r="1325" s="38" customFormat="1" x14ac:dyDescent="0.2"/>
    <row r="1326" s="38" customFormat="1" x14ac:dyDescent="0.2"/>
    <row r="1327" s="38" customFormat="1" x14ac:dyDescent="0.2"/>
    <row r="1328" s="38" customFormat="1" x14ac:dyDescent="0.2"/>
    <row r="1329" s="38" customFormat="1" x14ac:dyDescent="0.2"/>
    <row r="1330" s="38" customFormat="1" x14ac:dyDescent="0.2"/>
    <row r="1331" s="38" customFormat="1" x14ac:dyDescent="0.2"/>
    <row r="1332" s="38" customFormat="1" x14ac:dyDescent="0.2"/>
    <row r="1333" s="38" customFormat="1" x14ac:dyDescent="0.2"/>
    <row r="1334" s="38" customFormat="1" x14ac:dyDescent="0.2"/>
    <row r="1335" s="38" customFormat="1" x14ac:dyDescent="0.2"/>
    <row r="1336" s="38" customFormat="1" x14ac:dyDescent="0.2"/>
    <row r="1337" s="38" customFormat="1" x14ac:dyDescent="0.2"/>
    <row r="1338" s="38" customFormat="1" x14ac:dyDescent="0.2"/>
    <row r="1339" s="38" customFormat="1" x14ac:dyDescent="0.2"/>
    <row r="1340" s="38" customFormat="1" x14ac:dyDescent="0.2"/>
    <row r="1341" s="38" customFormat="1" x14ac:dyDescent="0.2"/>
    <row r="1342" s="38" customFormat="1" x14ac:dyDescent="0.2"/>
    <row r="1343" s="38" customFormat="1" x14ac:dyDescent="0.2"/>
    <row r="1344" s="38" customFormat="1" x14ac:dyDescent="0.2"/>
    <row r="1345" s="38" customFormat="1" x14ac:dyDescent="0.2"/>
    <row r="1346" s="38" customFormat="1" x14ac:dyDescent="0.2"/>
    <row r="1347" s="38" customFormat="1" x14ac:dyDescent="0.2"/>
    <row r="1348" s="38" customFormat="1" x14ac:dyDescent="0.2"/>
    <row r="1349" s="38" customFormat="1" x14ac:dyDescent="0.2"/>
    <row r="1350" s="38" customFormat="1" x14ac:dyDescent="0.2"/>
    <row r="1351" s="38" customFormat="1" x14ac:dyDescent="0.2"/>
    <row r="1352" s="38" customFormat="1" x14ac:dyDescent="0.2"/>
    <row r="1353" s="38" customFormat="1" x14ac:dyDescent="0.2"/>
    <row r="1354" s="38" customFormat="1" x14ac:dyDescent="0.2"/>
    <row r="1355" s="38" customFormat="1" x14ac:dyDescent="0.2"/>
    <row r="1356" s="38" customFormat="1" x14ac:dyDescent="0.2"/>
    <row r="1357" s="38" customFormat="1" x14ac:dyDescent="0.2"/>
    <row r="1358" s="38" customFormat="1" x14ac:dyDescent="0.2"/>
    <row r="1359" s="38" customFormat="1" x14ac:dyDescent="0.2"/>
    <row r="1360" s="38" customFormat="1" x14ac:dyDescent="0.2"/>
    <row r="1361" s="38" customFormat="1" x14ac:dyDescent="0.2"/>
    <row r="1362" s="38" customFormat="1" x14ac:dyDescent="0.2"/>
    <row r="1363" s="38" customFormat="1" x14ac:dyDescent="0.2"/>
    <row r="1364" s="38" customFormat="1" x14ac:dyDescent="0.2"/>
    <row r="1365" s="38" customFormat="1" x14ac:dyDescent="0.2"/>
    <row r="1366" s="38" customFormat="1" x14ac:dyDescent="0.2"/>
    <row r="1367" s="38" customFormat="1" x14ac:dyDescent="0.2"/>
    <row r="1368" s="38" customFormat="1" x14ac:dyDescent="0.2"/>
    <row r="1369" s="38" customFormat="1" x14ac:dyDescent="0.2"/>
    <row r="1370" s="38" customFormat="1" x14ac:dyDescent="0.2"/>
    <row r="1371" s="38" customFormat="1" x14ac:dyDescent="0.2"/>
    <row r="1372" s="38" customFormat="1" x14ac:dyDescent="0.2"/>
    <row r="1373" s="38" customFormat="1" x14ac:dyDescent="0.2"/>
    <row r="1374" s="38" customFormat="1" x14ac:dyDescent="0.2"/>
    <row r="1375" s="38" customFormat="1" x14ac:dyDescent="0.2"/>
    <row r="1376" s="38" customFormat="1" x14ac:dyDescent="0.2"/>
    <row r="1377" s="38" customFormat="1" x14ac:dyDescent="0.2"/>
    <row r="1378" s="38" customFormat="1" x14ac:dyDescent="0.2"/>
    <row r="1379" s="38" customFormat="1" x14ac:dyDescent="0.2"/>
    <row r="1380" s="38" customFormat="1" x14ac:dyDescent="0.2"/>
    <row r="1381" s="38" customFormat="1" x14ac:dyDescent="0.2"/>
    <row r="1382" s="38" customFormat="1" x14ac:dyDescent="0.2"/>
    <row r="1383" s="38" customFormat="1" x14ac:dyDescent="0.2"/>
    <row r="1384" s="38" customFormat="1" x14ac:dyDescent="0.2"/>
    <row r="1385" s="38" customFormat="1" x14ac:dyDescent="0.2"/>
    <row r="1386" s="38" customFormat="1" x14ac:dyDescent="0.2"/>
    <row r="1387" s="38" customFormat="1" x14ac:dyDescent="0.2"/>
    <row r="1388" s="38" customFormat="1" x14ac:dyDescent="0.2"/>
    <row r="1389" s="38" customFormat="1" x14ac:dyDescent="0.2"/>
    <row r="1390" s="38" customFormat="1" x14ac:dyDescent="0.2"/>
    <row r="1391" s="38" customFormat="1" x14ac:dyDescent="0.2"/>
    <row r="1392" s="38" customFormat="1" x14ac:dyDescent="0.2"/>
    <row r="1393" s="38" customFormat="1" x14ac:dyDescent="0.2"/>
    <row r="1394" s="38" customFormat="1" x14ac:dyDescent="0.2"/>
    <row r="1395" s="38" customFormat="1" x14ac:dyDescent="0.2"/>
    <row r="1396" s="38" customFormat="1" x14ac:dyDescent="0.2"/>
    <row r="1397" s="38" customFormat="1" x14ac:dyDescent="0.2"/>
    <row r="1398" s="38" customFormat="1" x14ac:dyDescent="0.2"/>
    <row r="1399" s="38" customFormat="1" x14ac:dyDescent="0.2"/>
    <row r="1400" s="38" customFormat="1" x14ac:dyDescent="0.2"/>
    <row r="1401" s="38" customFormat="1" x14ac:dyDescent="0.2"/>
    <row r="1402" s="38" customFormat="1" x14ac:dyDescent="0.2"/>
    <row r="1403" s="38" customFormat="1" x14ac:dyDescent="0.2"/>
    <row r="1404" s="38" customFormat="1" x14ac:dyDescent="0.2"/>
    <row r="1405" s="38" customFormat="1" x14ac:dyDescent="0.2"/>
    <row r="1406" s="38" customFormat="1" x14ac:dyDescent="0.2"/>
    <row r="1407" s="38" customFormat="1" x14ac:dyDescent="0.2"/>
    <row r="1408" s="38" customFormat="1" x14ac:dyDescent="0.2"/>
    <row r="1409" s="38" customFormat="1" x14ac:dyDescent="0.2"/>
    <row r="1410" s="38" customFormat="1" x14ac:dyDescent="0.2"/>
    <row r="1411" s="38" customFormat="1" x14ac:dyDescent="0.2"/>
    <row r="1412" s="38" customFormat="1" x14ac:dyDescent="0.2"/>
    <row r="1413" s="38" customFormat="1" x14ac:dyDescent="0.2"/>
    <row r="1414" s="38" customFormat="1" x14ac:dyDescent="0.2"/>
    <row r="1415" s="38" customFormat="1" x14ac:dyDescent="0.2"/>
    <row r="1416" s="38" customFormat="1" x14ac:dyDescent="0.2"/>
    <row r="1417" s="38" customFormat="1" x14ac:dyDescent="0.2"/>
    <row r="1418" s="38" customFormat="1" x14ac:dyDescent="0.2"/>
    <row r="1419" s="38" customFormat="1" x14ac:dyDescent="0.2"/>
    <row r="1420" s="38" customFormat="1" x14ac:dyDescent="0.2"/>
    <row r="1421" s="38" customFormat="1" x14ac:dyDescent="0.2"/>
    <row r="1422" s="38" customFormat="1" x14ac:dyDescent="0.2"/>
    <row r="1423" s="38" customFormat="1" x14ac:dyDescent="0.2"/>
    <row r="1424" s="38" customFormat="1" x14ac:dyDescent="0.2"/>
    <row r="1425" s="38" customFormat="1" x14ac:dyDescent="0.2"/>
    <row r="1426" s="38" customFormat="1" x14ac:dyDescent="0.2"/>
    <row r="1427" s="38" customFormat="1" x14ac:dyDescent="0.2"/>
    <row r="1428" s="38" customFormat="1" x14ac:dyDescent="0.2"/>
    <row r="1429" s="38" customFormat="1" x14ac:dyDescent="0.2"/>
    <row r="1430" s="38" customFormat="1" x14ac:dyDescent="0.2"/>
    <row r="1431" s="38" customFormat="1" x14ac:dyDescent="0.2"/>
    <row r="1432" s="38" customFormat="1" x14ac:dyDescent="0.2"/>
    <row r="1433" s="38" customFormat="1" x14ac:dyDescent="0.2"/>
    <row r="1434" s="38" customFormat="1" x14ac:dyDescent="0.2"/>
    <row r="1435" s="38" customFormat="1" x14ac:dyDescent="0.2"/>
    <row r="1436" s="38" customFormat="1" x14ac:dyDescent="0.2"/>
    <row r="1437" s="38" customFormat="1" x14ac:dyDescent="0.2"/>
    <row r="1438" s="38" customFormat="1" x14ac:dyDescent="0.2"/>
    <row r="1439" s="38" customFormat="1" x14ac:dyDescent="0.2"/>
    <row r="1440" s="38" customFormat="1" x14ac:dyDescent="0.2"/>
    <row r="1441" s="38" customFormat="1" x14ac:dyDescent="0.2"/>
    <row r="1442" s="38" customFormat="1" x14ac:dyDescent="0.2"/>
    <row r="1443" s="38" customFormat="1" x14ac:dyDescent="0.2"/>
    <row r="1444" s="38" customFormat="1" x14ac:dyDescent="0.2"/>
    <row r="1445" s="38" customFormat="1" x14ac:dyDescent="0.2"/>
    <row r="1446" s="38" customFormat="1" x14ac:dyDescent="0.2"/>
    <row r="1447" s="38" customFormat="1" x14ac:dyDescent="0.2"/>
    <row r="1448" s="38" customFormat="1" x14ac:dyDescent="0.2"/>
    <row r="1449" s="38" customFormat="1" x14ac:dyDescent="0.2"/>
    <row r="1450" s="38" customFormat="1" x14ac:dyDescent="0.2"/>
    <row r="1451" s="38" customFormat="1" x14ac:dyDescent="0.2"/>
    <row r="1452" s="38" customFormat="1" x14ac:dyDescent="0.2"/>
    <row r="1453" s="38" customFormat="1" x14ac:dyDescent="0.2"/>
    <row r="1454" s="38" customFormat="1" x14ac:dyDescent="0.2"/>
    <row r="1455" s="38" customFormat="1" x14ac:dyDescent="0.2"/>
    <row r="1456" s="38" customFormat="1" x14ac:dyDescent="0.2"/>
    <row r="1457" s="38" customFormat="1" x14ac:dyDescent="0.2"/>
    <row r="1458" s="38" customFormat="1" x14ac:dyDescent="0.2"/>
    <row r="1459" s="38" customFormat="1" x14ac:dyDescent="0.2"/>
    <row r="1460" s="38" customFormat="1" x14ac:dyDescent="0.2"/>
    <row r="1461" s="38" customFormat="1" x14ac:dyDescent="0.2"/>
    <row r="1462" s="38" customFormat="1" x14ac:dyDescent="0.2"/>
    <row r="1463" s="38" customFormat="1" x14ac:dyDescent="0.2"/>
    <row r="1464" s="38" customFormat="1" x14ac:dyDescent="0.2"/>
    <row r="1465" s="38" customFormat="1" x14ac:dyDescent="0.2"/>
    <row r="1466" s="38" customFormat="1" x14ac:dyDescent="0.2"/>
    <row r="1467" s="38" customFormat="1" x14ac:dyDescent="0.2"/>
    <row r="1468" s="38" customFormat="1" x14ac:dyDescent="0.2"/>
    <row r="1469" s="38" customFormat="1" x14ac:dyDescent="0.2"/>
    <row r="1470" s="38" customFormat="1" x14ac:dyDescent="0.2"/>
    <row r="1471" s="38" customFormat="1" x14ac:dyDescent="0.2"/>
    <row r="1472" s="38" customFormat="1" x14ac:dyDescent="0.2"/>
    <row r="1473" s="38" customFormat="1" x14ac:dyDescent="0.2"/>
    <row r="1474" s="38" customFormat="1" x14ac:dyDescent="0.2"/>
    <row r="1475" s="38" customFormat="1" x14ac:dyDescent="0.2"/>
    <row r="1476" s="38" customFormat="1" x14ac:dyDescent="0.2"/>
    <row r="1477" s="38" customFormat="1" x14ac:dyDescent="0.2"/>
    <row r="1478" s="38" customFormat="1" x14ac:dyDescent="0.2"/>
    <row r="1479" s="38" customFormat="1" x14ac:dyDescent="0.2"/>
    <row r="1480" s="38" customFormat="1" x14ac:dyDescent="0.2"/>
    <row r="1481" s="38" customFormat="1" x14ac:dyDescent="0.2"/>
    <row r="1482" s="38" customFormat="1" x14ac:dyDescent="0.2"/>
    <row r="1483" s="38" customFormat="1" x14ac:dyDescent="0.2"/>
    <row r="1484" s="38" customFormat="1" x14ac:dyDescent="0.2"/>
    <row r="1485" s="38" customFormat="1" x14ac:dyDescent="0.2"/>
    <row r="1486" s="38" customFormat="1" x14ac:dyDescent="0.2"/>
    <row r="1487" s="38" customFormat="1" x14ac:dyDescent="0.2"/>
    <row r="1488" s="38" customFormat="1" x14ac:dyDescent="0.2"/>
    <row r="1489" s="38" customFormat="1" x14ac:dyDescent="0.2"/>
    <row r="1490" s="38" customFormat="1" x14ac:dyDescent="0.2"/>
    <row r="1491" s="38" customFormat="1" x14ac:dyDescent="0.2"/>
    <row r="1492" s="38" customFormat="1" x14ac:dyDescent="0.2"/>
    <row r="1493" s="38" customFormat="1" x14ac:dyDescent="0.2"/>
    <row r="1494" s="38" customFormat="1" x14ac:dyDescent="0.2"/>
    <row r="1495" s="38" customFormat="1" x14ac:dyDescent="0.2"/>
    <row r="1496" s="38" customFormat="1" x14ac:dyDescent="0.2"/>
    <row r="1497" s="38" customFormat="1" x14ac:dyDescent="0.2"/>
    <row r="1498" s="38" customFormat="1" x14ac:dyDescent="0.2"/>
    <row r="1499" s="38" customFormat="1" x14ac:dyDescent="0.2"/>
    <row r="1500" s="38" customFormat="1" x14ac:dyDescent="0.2"/>
    <row r="1501" s="38" customFormat="1" x14ac:dyDescent="0.2"/>
    <row r="1502" s="38" customFormat="1" x14ac:dyDescent="0.2"/>
    <row r="1503" s="38" customFormat="1" x14ac:dyDescent="0.2"/>
    <row r="1504" s="38" customFormat="1" x14ac:dyDescent="0.2"/>
    <row r="1505" s="38" customFormat="1" x14ac:dyDescent="0.2"/>
    <row r="1506" s="38" customFormat="1" x14ac:dyDescent="0.2"/>
    <row r="1507" s="38" customFormat="1" x14ac:dyDescent="0.2"/>
    <row r="1508" s="38" customFormat="1" x14ac:dyDescent="0.2"/>
    <row r="1509" s="38" customFormat="1" x14ac:dyDescent="0.2"/>
    <row r="1510" s="38" customFormat="1" x14ac:dyDescent="0.2"/>
    <row r="1511" s="38" customFormat="1" x14ac:dyDescent="0.2"/>
    <row r="1512" s="38" customFormat="1" x14ac:dyDescent="0.2"/>
    <row r="1513" s="38" customFormat="1" x14ac:dyDescent="0.2"/>
    <row r="1514" s="38" customFormat="1" x14ac:dyDescent="0.2"/>
    <row r="1515" s="38" customFormat="1" x14ac:dyDescent="0.2"/>
    <row r="1516" s="38" customFormat="1" x14ac:dyDescent="0.2"/>
    <row r="1517" s="38" customFormat="1" x14ac:dyDescent="0.2"/>
    <row r="1518" s="38" customFormat="1" x14ac:dyDescent="0.2"/>
    <row r="1519" s="38" customFormat="1" x14ac:dyDescent="0.2"/>
    <row r="1520" s="38" customFormat="1" x14ac:dyDescent="0.2"/>
    <row r="1521" s="38" customFormat="1" x14ac:dyDescent="0.2"/>
    <row r="1522" s="38" customFormat="1" x14ac:dyDescent="0.2"/>
    <row r="1523" s="38" customFormat="1" x14ac:dyDescent="0.2"/>
    <row r="1524" s="38" customFormat="1" x14ac:dyDescent="0.2"/>
    <row r="1525" s="38" customFormat="1" x14ac:dyDescent="0.2"/>
    <row r="1526" s="38" customFormat="1" x14ac:dyDescent="0.2"/>
    <row r="1527" s="38" customFormat="1" x14ac:dyDescent="0.2"/>
    <row r="1528" s="38" customFormat="1" x14ac:dyDescent="0.2"/>
    <row r="1529" s="38" customFormat="1" x14ac:dyDescent="0.2"/>
    <row r="1530" s="38" customFormat="1" x14ac:dyDescent="0.2"/>
    <row r="1531" s="38" customFormat="1" x14ac:dyDescent="0.2"/>
    <row r="1532" s="38" customFormat="1" x14ac:dyDescent="0.2"/>
    <row r="1533" s="38" customFormat="1" x14ac:dyDescent="0.2"/>
    <row r="1534" s="38" customFormat="1" x14ac:dyDescent="0.2"/>
    <row r="1535" s="38" customFormat="1" x14ac:dyDescent="0.2"/>
    <row r="1536" s="38" customFormat="1" x14ac:dyDescent="0.2"/>
    <row r="1537" s="38" customFormat="1" x14ac:dyDescent="0.2"/>
    <row r="1538" s="38" customFormat="1" x14ac:dyDescent="0.2"/>
    <row r="1539" s="38" customFormat="1" x14ac:dyDescent="0.2"/>
    <row r="1540" s="38" customFormat="1" x14ac:dyDescent="0.2"/>
    <row r="1541" s="38" customFormat="1" x14ac:dyDescent="0.2"/>
    <row r="1542" s="38" customFormat="1" x14ac:dyDescent="0.2"/>
    <row r="1543" s="38" customFormat="1" x14ac:dyDescent="0.2"/>
    <row r="1544" s="38" customFormat="1" x14ac:dyDescent="0.2"/>
    <row r="1545" s="38" customFormat="1" x14ac:dyDescent="0.2"/>
    <row r="1546" s="38" customFormat="1" x14ac:dyDescent="0.2"/>
    <row r="1547" s="38" customFormat="1" x14ac:dyDescent="0.2"/>
    <row r="1548" s="38" customFormat="1" x14ac:dyDescent="0.2"/>
    <row r="1549" s="38" customFormat="1" x14ac:dyDescent="0.2"/>
    <row r="1550" s="38" customFormat="1" x14ac:dyDescent="0.2"/>
    <row r="1551" s="38" customFormat="1" x14ac:dyDescent="0.2"/>
    <row r="1552" s="38" customFormat="1" x14ac:dyDescent="0.2"/>
    <row r="1553" s="38" customFormat="1" x14ac:dyDescent="0.2"/>
    <row r="1554" s="38" customFormat="1" x14ac:dyDescent="0.2"/>
    <row r="1555" s="38" customFormat="1" x14ac:dyDescent="0.2"/>
    <row r="1556" s="38" customFormat="1" x14ac:dyDescent="0.2"/>
    <row r="1557" s="38" customFormat="1" x14ac:dyDescent="0.2"/>
    <row r="1558" s="38" customFormat="1" x14ac:dyDescent="0.2"/>
    <row r="1559" s="38" customFormat="1" x14ac:dyDescent="0.2"/>
    <row r="1560" s="38" customFormat="1" x14ac:dyDescent="0.2"/>
    <row r="1561" s="38" customFormat="1" x14ac:dyDescent="0.2"/>
    <row r="1562" s="38" customFormat="1" x14ac:dyDescent="0.2"/>
    <row r="1563" s="38" customFormat="1" x14ac:dyDescent="0.2"/>
    <row r="1564" s="38" customFormat="1" x14ac:dyDescent="0.2"/>
    <row r="1565" s="38" customFormat="1" x14ac:dyDescent="0.2"/>
    <row r="1566" s="38" customFormat="1" x14ac:dyDescent="0.2"/>
    <row r="1567" s="38" customFormat="1" x14ac:dyDescent="0.2"/>
    <row r="1568" s="38" customFormat="1" x14ac:dyDescent="0.2"/>
    <row r="1569" s="38" customFormat="1" x14ac:dyDescent="0.2"/>
    <row r="1570" s="38" customFormat="1" x14ac:dyDescent="0.2"/>
    <row r="1571" s="38" customFormat="1" x14ac:dyDescent="0.2"/>
    <row r="1572" s="38" customFormat="1" x14ac:dyDescent="0.2"/>
    <row r="1573" s="38" customFormat="1" x14ac:dyDescent="0.2"/>
    <row r="1574" s="38" customFormat="1" x14ac:dyDescent="0.2"/>
    <row r="1575" s="38" customFormat="1" x14ac:dyDescent="0.2"/>
    <row r="1576" s="38" customFormat="1" x14ac:dyDescent="0.2"/>
    <row r="1577" s="38" customFormat="1" x14ac:dyDescent="0.2"/>
    <row r="1578" s="38" customFormat="1" x14ac:dyDescent="0.2"/>
    <row r="1579" s="38" customFormat="1" x14ac:dyDescent="0.2"/>
    <row r="1580" s="38" customFormat="1" x14ac:dyDescent="0.2"/>
    <row r="1581" s="38" customFormat="1" x14ac:dyDescent="0.2"/>
    <row r="1582" s="38" customFormat="1" x14ac:dyDescent="0.2"/>
    <row r="1583" s="38" customFormat="1" x14ac:dyDescent="0.2"/>
    <row r="1584" s="38" customFormat="1" x14ac:dyDescent="0.2"/>
    <row r="1585" s="38" customFormat="1" x14ac:dyDescent="0.2"/>
    <row r="1586" s="38" customFormat="1" x14ac:dyDescent="0.2"/>
    <row r="1587" s="38" customFormat="1" x14ac:dyDescent="0.2"/>
    <row r="1588" s="38" customFormat="1" x14ac:dyDescent="0.2"/>
    <row r="1589" s="38" customFormat="1" x14ac:dyDescent="0.2"/>
    <row r="1590" s="38" customFormat="1" x14ac:dyDescent="0.2"/>
    <row r="1591" s="38" customFormat="1" x14ac:dyDescent="0.2"/>
    <row r="1592" s="38" customFormat="1" x14ac:dyDescent="0.2"/>
    <row r="1593" s="38" customFormat="1" x14ac:dyDescent="0.2"/>
    <row r="1594" s="38" customFormat="1" x14ac:dyDescent="0.2"/>
    <row r="1595" s="38" customFormat="1" x14ac:dyDescent="0.2"/>
    <row r="1596" s="38" customFormat="1" x14ac:dyDescent="0.2"/>
    <row r="1597" s="38" customFormat="1" x14ac:dyDescent="0.2"/>
    <row r="1598" s="38" customFormat="1" x14ac:dyDescent="0.2"/>
    <row r="1599" s="38" customFormat="1" x14ac:dyDescent="0.2"/>
    <row r="1600" s="38" customFormat="1" x14ac:dyDescent="0.2"/>
    <row r="1601" s="38" customFormat="1" x14ac:dyDescent="0.2"/>
    <row r="1602" s="38" customFormat="1" x14ac:dyDescent="0.2"/>
    <row r="1603" s="38" customFormat="1" x14ac:dyDescent="0.2"/>
    <row r="1604" s="38" customFormat="1" x14ac:dyDescent="0.2"/>
    <row r="1605" s="38" customFormat="1" x14ac:dyDescent="0.2"/>
    <row r="1606" s="38" customFormat="1" x14ac:dyDescent="0.2"/>
    <row r="1607" s="38" customFormat="1" x14ac:dyDescent="0.2"/>
    <row r="1608" s="38" customFormat="1" x14ac:dyDescent="0.2"/>
    <row r="1609" s="38" customFormat="1" x14ac:dyDescent="0.2"/>
    <row r="1610" s="38" customFormat="1" x14ac:dyDescent="0.2"/>
    <row r="1611" s="38" customFormat="1" x14ac:dyDescent="0.2"/>
    <row r="1612" s="38" customFormat="1" x14ac:dyDescent="0.2"/>
    <row r="1613" s="38" customFormat="1" x14ac:dyDescent="0.2"/>
    <row r="1614" s="38" customFormat="1" x14ac:dyDescent="0.2"/>
    <row r="1615" s="38" customFormat="1" x14ac:dyDescent="0.2"/>
    <row r="1616" s="38" customFormat="1" x14ac:dyDescent="0.2"/>
    <row r="1617" s="38" customFormat="1" x14ac:dyDescent="0.2"/>
    <row r="1618" s="38" customFormat="1" x14ac:dyDescent="0.2"/>
    <row r="1619" s="38" customFormat="1" x14ac:dyDescent="0.2"/>
    <row r="1620" s="38" customFormat="1" x14ac:dyDescent="0.2"/>
    <row r="1621" s="38" customFormat="1" x14ac:dyDescent="0.2"/>
    <row r="1622" s="38" customFormat="1" x14ac:dyDescent="0.2"/>
    <row r="1623" s="38" customFormat="1" x14ac:dyDescent="0.2"/>
    <row r="1624" s="38" customFormat="1" x14ac:dyDescent="0.2"/>
    <row r="1625" s="38" customFormat="1" x14ac:dyDescent="0.2"/>
    <row r="1626" s="38" customFormat="1" x14ac:dyDescent="0.2"/>
    <row r="1627" s="38" customFormat="1" x14ac:dyDescent="0.2"/>
    <row r="1628" s="38" customFormat="1" x14ac:dyDescent="0.2"/>
    <row r="1629" s="38" customFormat="1" x14ac:dyDescent="0.2"/>
    <row r="1630" s="38" customFormat="1" x14ac:dyDescent="0.2"/>
    <row r="1631" s="38" customFormat="1" x14ac:dyDescent="0.2"/>
    <row r="1632" s="38" customFormat="1" x14ac:dyDescent="0.2"/>
    <row r="1633" s="38" customFormat="1" x14ac:dyDescent="0.2"/>
    <row r="1634" s="38" customFormat="1" x14ac:dyDescent="0.2"/>
    <row r="1635" s="38" customFormat="1" x14ac:dyDescent="0.2"/>
    <row r="1636" s="38" customFormat="1" x14ac:dyDescent="0.2"/>
    <row r="1637" s="38" customFormat="1" x14ac:dyDescent="0.2"/>
    <row r="1638" s="38" customFormat="1" x14ac:dyDescent="0.2"/>
    <row r="1639" s="38" customFormat="1" x14ac:dyDescent="0.2"/>
    <row r="1640" s="38" customFormat="1" x14ac:dyDescent="0.2"/>
    <row r="1641" s="38" customFormat="1" x14ac:dyDescent="0.2"/>
    <row r="1642" s="38" customFormat="1" x14ac:dyDescent="0.2"/>
    <row r="1643" s="38" customFormat="1" x14ac:dyDescent="0.2"/>
    <row r="1644" s="38" customFormat="1" x14ac:dyDescent="0.2"/>
    <row r="1645" s="38" customFormat="1" x14ac:dyDescent="0.2"/>
    <row r="1646" s="38" customFormat="1" x14ac:dyDescent="0.2"/>
    <row r="1647" s="38" customFormat="1" x14ac:dyDescent="0.2"/>
    <row r="1648" s="38" customFormat="1" x14ac:dyDescent="0.2"/>
    <row r="1649" s="38" customFormat="1" x14ac:dyDescent="0.2"/>
    <row r="1650" s="38" customFormat="1" x14ac:dyDescent="0.2"/>
    <row r="1651" s="38" customFormat="1" x14ac:dyDescent="0.2"/>
    <row r="1652" s="38" customFormat="1" x14ac:dyDescent="0.2"/>
    <row r="1653" s="38" customFormat="1" x14ac:dyDescent="0.2"/>
    <row r="1654" s="38" customFormat="1" x14ac:dyDescent="0.2"/>
    <row r="1655" s="38" customFormat="1" x14ac:dyDescent="0.2"/>
    <row r="1656" s="38" customFormat="1" x14ac:dyDescent="0.2"/>
    <row r="1657" s="38" customFormat="1" x14ac:dyDescent="0.2"/>
    <row r="1658" s="38" customFormat="1" x14ac:dyDescent="0.2"/>
    <row r="1659" s="38" customFormat="1" x14ac:dyDescent="0.2"/>
    <row r="1660" s="38" customFormat="1" x14ac:dyDescent="0.2"/>
    <row r="1661" s="38" customFormat="1" x14ac:dyDescent="0.2"/>
    <row r="1662" s="38" customFormat="1" x14ac:dyDescent="0.2"/>
    <row r="1663" s="38" customFormat="1" x14ac:dyDescent="0.2"/>
    <row r="1664" s="38" customFormat="1" x14ac:dyDescent="0.2"/>
    <row r="1665" s="38" customFormat="1" x14ac:dyDescent="0.2"/>
    <row r="1666" s="38" customFormat="1" x14ac:dyDescent="0.2"/>
    <row r="1667" s="38" customFormat="1" x14ac:dyDescent="0.2"/>
    <row r="1668" s="38" customFormat="1" x14ac:dyDescent="0.2"/>
    <row r="1669" s="38" customFormat="1" x14ac:dyDescent="0.2"/>
    <row r="1670" s="38" customFormat="1" x14ac:dyDescent="0.2"/>
    <row r="1671" s="38" customFormat="1" x14ac:dyDescent="0.2"/>
    <row r="1672" s="38" customFormat="1" x14ac:dyDescent="0.2"/>
    <row r="1673" s="38" customFormat="1" x14ac:dyDescent="0.2"/>
    <row r="1674" s="38" customFormat="1" x14ac:dyDescent="0.2"/>
    <row r="1675" s="38" customFormat="1" x14ac:dyDescent="0.2"/>
    <row r="1676" s="38" customFormat="1" x14ac:dyDescent="0.2"/>
    <row r="1677" s="38" customFormat="1" x14ac:dyDescent="0.2"/>
    <row r="1678" s="38" customFormat="1" x14ac:dyDescent="0.2"/>
    <row r="1679" s="38" customFormat="1" x14ac:dyDescent="0.2"/>
    <row r="1680" s="38" customFormat="1" x14ac:dyDescent="0.2"/>
    <row r="1681" s="38" customFormat="1" x14ac:dyDescent="0.2"/>
    <row r="1682" s="38" customFormat="1" x14ac:dyDescent="0.2"/>
    <row r="1683" s="38" customFormat="1" x14ac:dyDescent="0.2"/>
    <row r="1684" s="38" customFormat="1" x14ac:dyDescent="0.2"/>
    <row r="1685" s="38" customFormat="1" x14ac:dyDescent="0.2"/>
    <row r="1686" s="38" customFormat="1" x14ac:dyDescent="0.2"/>
    <row r="1687" s="38" customFormat="1" x14ac:dyDescent="0.2"/>
    <row r="1688" s="38" customFormat="1" x14ac:dyDescent="0.2"/>
    <row r="1689" s="38" customFormat="1" x14ac:dyDescent="0.2"/>
    <row r="1690" s="38" customFormat="1" x14ac:dyDescent="0.2"/>
    <row r="1691" s="38" customFormat="1" x14ac:dyDescent="0.2"/>
    <row r="1692" s="38" customFormat="1" x14ac:dyDescent="0.2"/>
    <row r="1693" s="38" customFormat="1" x14ac:dyDescent="0.2"/>
    <row r="1694" s="38" customFormat="1" x14ac:dyDescent="0.2"/>
    <row r="1695" s="38" customFormat="1" x14ac:dyDescent="0.2"/>
    <row r="1696" s="38" customFormat="1" x14ac:dyDescent="0.2"/>
    <row r="1697" s="38" customFormat="1" x14ac:dyDescent="0.2"/>
    <row r="1698" s="38" customFormat="1" x14ac:dyDescent="0.2"/>
    <row r="1699" s="38" customFormat="1" x14ac:dyDescent="0.2"/>
    <row r="1700" s="38" customFormat="1" x14ac:dyDescent="0.2"/>
    <row r="1701" s="38" customFormat="1" x14ac:dyDescent="0.2"/>
    <row r="1702" s="38" customFormat="1" x14ac:dyDescent="0.2"/>
    <row r="1703" s="38" customFormat="1" x14ac:dyDescent="0.2"/>
    <row r="1704" s="38" customFormat="1" x14ac:dyDescent="0.2"/>
    <row r="1705" s="38" customFormat="1" x14ac:dyDescent="0.2"/>
    <row r="1706" s="38" customFormat="1" x14ac:dyDescent="0.2"/>
    <row r="1707" s="38" customFormat="1" x14ac:dyDescent="0.2"/>
    <row r="1708" s="38" customFormat="1" x14ac:dyDescent="0.2"/>
    <row r="1709" s="38" customFormat="1" x14ac:dyDescent="0.2"/>
    <row r="1710" s="38" customFormat="1" x14ac:dyDescent="0.2"/>
    <row r="1711" s="38" customFormat="1" x14ac:dyDescent="0.2"/>
    <row r="1712" s="38" customFormat="1" x14ac:dyDescent="0.2"/>
    <row r="1713" s="38" customFormat="1" x14ac:dyDescent="0.2"/>
    <row r="1714" s="38" customFormat="1" x14ac:dyDescent="0.2"/>
    <row r="1715" s="38" customFormat="1" x14ac:dyDescent="0.2"/>
    <row r="1716" s="38" customFormat="1" x14ac:dyDescent="0.2"/>
    <row r="1717" s="38" customFormat="1" x14ac:dyDescent="0.2"/>
    <row r="1718" s="38" customFormat="1" x14ac:dyDescent="0.2"/>
    <row r="1719" s="38" customFormat="1" x14ac:dyDescent="0.2"/>
    <row r="1720" s="38" customFormat="1" x14ac:dyDescent="0.2"/>
    <row r="1721" s="38" customFormat="1" x14ac:dyDescent="0.2"/>
    <row r="1722" s="38" customFormat="1" x14ac:dyDescent="0.2"/>
    <row r="1723" s="38" customFormat="1" x14ac:dyDescent="0.2"/>
    <row r="1724" s="38" customFormat="1" x14ac:dyDescent="0.2"/>
    <row r="1725" s="38" customFormat="1" x14ac:dyDescent="0.2"/>
    <row r="1726" s="38" customFormat="1" x14ac:dyDescent="0.2"/>
    <row r="1727" s="38" customFormat="1" x14ac:dyDescent="0.2"/>
    <row r="1728" s="38" customFormat="1" x14ac:dyDescent="0.2"/>
    <row r="1729" s="38" customFormat="1" x14ac:dyDescent="0.2"/>
    <row r="1730" s="38" customFormat="1" x14ac:dyDescent="0.2"/>
    <row r="1731" s="38" customFormat="1" x14ac:dyDescent="0.2"/>
    <row r="1732" s="38" customFormat="1" x14ac:dyDescent="0.2"/>
    <row r="1733" s="38" customFormat="1" x14ac:dyDescent="0.2"/>
    <row r="1734" s="38" customFormat="1" x14ac:dyDescent="0.2"/>
    <row r="1735" s="38" customFormat="1" x14ac:dyDescent="0.2"/>
    <row r="1736" s="38" customFormat="1" x14ac:dyDescent="0.2"/>
    <row r="1737" s="38" customFormat="1" x14ac:dyDescent="0.2"/>
    <row r="1738" s="38" customFormat="1" x14ac:dyDescent="0.2"/>
    <row r="1739" s="38" customFormat="1" x14ac:dyDescent="0.2"/>
    <row r="1740" s="38" customFormat="1" x14ac:dyDescent="0.2"/>
    <row r="1741" s="38" customFormat="1" x14ac:dyDescent="0.2"/>
    <row r="1742" s="38" customFormat="1" x14ac:dyDescent="0.2"/>
    <row r="1743" s="38" customFormat="1" x14ac:dyDescent="0.2"/>
    <row r="1744" s="38" customFormat="1" x14ac:dyDescent="0.2"/>
    <row r="1745" s="38" customFormat="1" x14ac:dyDescent="0.2"/>
    <row r="1746" s="38" customFormat="1" x14ac:dyDescent="0.2"/>
    <row r="1747" s="38" customFormat="1" x14ac:dyDescent="0.2"/>
    <row r="1748" s="38" customFormat="1" x14ac:dyDescent="0.2"/>
    <row r="1749" s="38" customFormat="1" x14ac:dyDescent="0.2"/>
    <row r="1750" s="38" customFormat="1" x14ac:dyDescent="0.2"/>
    <row r="1751" s="38" customFormat="1" x14ac:dyDescent="0.2"/>
    <row r="1752" s="38" customFormat="1" x14ac:dyDescent="0.2"/>
    <row r="1753" s="38" customFormat="1" x14ac:dyDescent="0.2"/>
    <row r="1754" s="38" customFormat="1" x14ac:dyDescent="0.2"/>
    <row r="1755" s="38" customFormat="1" x14ac:dyDescent="0.2"/>
    <row r="1756" s="38" customFormat="1" x14ac:dyDescent="0.2"/>
    <row r="1757" s="38" customFormat="1" x14ac:dyDescent="0.2"/>
    <row r="1758" s="38" customFormat="1" x14ac:dyDescent="0.2"/>
    <row r="1759" s="38" customFormat="1" x14ac:dyDescent="0.2"/>
    <row r="1760" s="38" customFormat="1" x14ac:dyDescent="0.2"/>
    <row r="1761" s="38" customFormat="1" x14ac:dyDescent="0.2"/>
    <row r="1762" s="38" customFormat="1" x14ac:dyDescent="0.2"/>
    <row r="1763" s="38" customFormat="1" x14ac:dyDescent="0.2"/>
    <row r="1764" s="38" customFormat="1" x14ac:dyDescent="0.2"/>
    <row r="1765" s="38" customFormat="1" x14ac:dyDescent="0.2"/>
    <row r="1766" s="38" customFormat="1" x14ac:dyDescent="0.2"/>
    <row r="1767" s="38" customFormat="1" x14ac:dyDescent="0.2"/>
    <row r="1768" s="38" customFormat="1" x14ac:dyDescent="0.2"/>
    <row r="1769" s="38" customFormat="1" x14ac:dyDescent="0.2"/>
    <row r="1770" s="38" customFormat="1" x14ac:dyDescent="0.2"/>
    <row r="1771" s="38" customFormat="1" x14ac:dyDescent="0.2"/>
    <row r="1772" s="38" customFormat="1" x14ac:dyDescent="0.2"/>
    <row r="1773" s="38" customFormat="1" x14ac:dyDescent="0.2"/>
    <row r="1774" s="38" customFormat="1" x14ac:dyDescent="0.2"/>
    <row r="1775" s="38" customFormat="1" x14ac:dyDescent="0.2"/>
    <row r="1776" s="38" customFormat="1" x14ac:dyDescent="0.2"/>
    <row r="1777" s="38" customFormat="1" x14ac:dyDescent="0.2"/>
    <row r="1778" s="38" customFormat="1" x14ac:dyDescent="0.2"/>
    <row r="1779" s="38" customFormat="1" x14ac:dyDescent="0.2"/>
    <row r="1780" s="38" customFormat="1" x14ac:dyDescent="0.2"/>
    <row r="1781" s="38" customFormat="1" x14ac:dyDescent="0.2"/>
    <row r="1782" s="38" customFormat="1" x14ac:dyDescent="0.2"/>
    <row r="1783" s="38" customFormat="1" x14ac:dyDescent="0.2"/>
    <row r="1784" s="38" customFormat="1" x14ac:dyDescent="0.2"/>
    <row r="1785" s="38" customFormat="1" x14ac:dyDescent="0.2"/>
    <row r="1786" s="38" customFormat="1" x14ac:dyDescent="0.2"/>
    <row r="1787" s="38" customFormat="1" x14ac:dyDescent="0.2"/>
    <row r="1788" s="38" customFormat="1" x14ac:dyDescent="0.2"/>
    <row r="1789" s="38" customFormat="1" x14ac:dyDescent="0.2"/>
    <row r="1790" s="38" customFormat="1" x14ac:dyDescent="0.2"/>
    <row r="1791" s="38" customFormat="1" x14ac:dyDescent="0.2"/>
    <row r="1792" s="38" customFormat="1" x14ac:dyDescent="0.2"/>
    <row r="1793" s="38" customFormat="1" x14ac:dyDescent="0.2"/>
    <row r="1794" s="38" customFormat="1" x14ac:dyDescent="0.2"/>
    <row r="1795" s="38" customFormat="1" x14ac:dyDescent="0.2"/>
    <row r="1796" s="38" customFormat="1" x14ac:dyDescent="0.2"/>
    <row r="1797" s="38" customFormat="1" x14ac:dyDescent="0.2"/>
    <row r="1798" s="38" customFormat="1" x14ac:dyDescent="0.2"/>
    <row r="1799" s="38" customFormat="1" x14ac:dyDescent="0.2"/>
    <row r="1800" s="38" customFormat="1" x14ac:dyDescent="0.2"/>
    <row r="1801" s="38" customFormat="1" x14ac:dyDescent="0.2"/>
    <row r="1802" s="38" customFormat="1" x14ac:dyDescent="0.2"/>
    <row r="1803" s="38" customFormat="1" x14ac:dyDescent="0.2"/>
    <row r="1804" s="38" customFormat="1" x14ac:dyDescent="0.2"/>
    <row r="1805" s="38" customFormat="1" x14ac:dyDescent="0.2"/>
    <row r="1806" s="38" customFormat="1" x14ac:dyDescent="0.2"/>
    <row r="1807" s="38" customFormat="1" x14ac:dyDescent="0.2"/>
    <row r="1808" s="38" customFormat="1" x14ac:dyDescent="0.2"/>
    <row r="1809" s="38" customFormat="1" x14ac:dyDescent="0.2"/>
    <row r="1810" s="38" customFormat="1" x14ac:dyDescent="0.2"/>
    <row r="1811" s="38" customFormat="1" x14ac:dyDescent="0.2"/>
    <row r="1812" s="38" customFormat="1" x14ac:dyDescent="0.2"/>
    <row r="1813" s="38" customFormat="1" x14ac:dyDescent="0.2"/>
    <row r="1814" s="38" customFormat="1" x14ac:dyDescent="0.2"/>
    <row r="1815" s="38" customFormat="1" x14ac:dyDescent="0.2"/>
    <row r="1816" s="38" customFormat="1" x14ac:dyDescent="0.2"/>
    <row r="1817" s="38" customFormat="1" x14ac:dyDescent="0.2"/>
    <row r="1818" s="38" customFormat="1" x14ac:dyDescent="0.2"/>
    <row r="1819" s="38" customFormat="1" x14ac:dyDescent="0.2"/>
    <row r="1820" s="38" customFormat="1" x14ac:dyDescent="0.2"/>
    <row r="1821" s="38" customFormat="1" x14ac:dyDescent="0.2"/>
    <row r="1822" s="38" customFormat="1" x14ac:dyDescent="0.2"/>
    <row r="1823" s="38" customFormat="1" x14ac:dyDescent="0.2"/>
    <row r="1824" s="38" customFormat="1" x14ac:dyDescent="0.2"/>
    <row r="1825" s="38" customFormat="1" x14ac:dyDescent="0.2"/>
    <row r="1826" s="38" customFormat="1" x14ac:dyDescent="0.2"/>
    <row r="1827" s="38" customFormat="1" x14ac:dyDescent="0.2"/>
    <row r="1828" s="38" customFormat="1" x14ac:dyDescent="0.2"/>
    <row r="1829" s="38" customFormat="1" x14ac:dyDescent="0.2"/>
    <row r="1830" s="38" customFormat="1" x14ac:dyDescent="0.2"/>
    <row r="1831" s="38" customFormat="1" x14ac:dyDescent="0.2"/>
    <row r="1832" s="38" customFormat="1" x14ac:dyDescent="0.2"/>
    <row r="1833" s="38" customFormat="1" x14ac:dyDescent="0.2"/>
    <row r="1834" s="38" customFormat="1" x14ac:dyDescent="0.2"/>
    <row r="1835" s="38" customFormat="1" x14ac:dyDescent="0.2"/>
    <row r="1836" s="38" customFormat="1" x14ac:dyDescent="0.2"/>
    <row r="1837" s="38" customFormat="1" x14ac:dyDescent="0.2"/>
    <row r="1838" s="38" customFormat="1" x14ac:dyDescent="0.2"/>
    <row r="1839" s="38" customFormat="1" x14ac:dyDescent="0.2"/>
    <row r="1840" s="38" customFormat="1" x14ac:dyDescent="0.2"/>
    <row r="1841" s="38" customFormat="1" x14ac:dyDescent="0.2"/>
    <row r="1842" s="38" customFormat="1" x14ac:dyDescent="0.2"/>
    <row r="1843" s="38" customFormat="1" x14ac:dyDescent="0.2"/>
    <row r="1844" s="38" customFormat="1" x14ac:dyDescent="0.2"/>
    <row r="1845" s="38" customFormat="1" x14ac:dyDescent="0.2"/>
    <row r="1846" s="38" customFormat="1" x14ac:dyDescent="0.2"/>
    <row r="1847" s="38" customFormat="1" x14ac:dyDescent="0.2"/>
    <row r="1848" s="38" customFormat="1" x14ac:dyDescent="0.2"/>
    <row r="1849" s="38" customFormat="1" x14ac:dyDescent="0.2"/>
    <row r="1850" s="38" customFormat="1" x14ac:dyDescent="0.2"/>
    <row r="1851" s="38" customFormat="1" x14ac:dyDescent="0.2"/>
    <row r="1852" s="38" customFormat="1" x14ac:dyDescent="0.2"/>
    <row r="1853" s="38" customFormat="1" x14ac:dyDescent="0.2"/>
    <row r="1854" s="38" customFormat="1" x14ac:dyDescent="0.2"/>
    <row r="1855" s="38" customFormat="1" x14ac:dyDescent="0.2"/>
    <row r="1856" s="38" customFormat="1" x14ac:dyDescent="0.2"/>
    <row r="1857" s="38" customFormat="1" x14ac:dyDescent="0.2"/>
    <row r="1858" s="38" customFormat="1" x14ac:dyDescent="0.2"/>
    <row r="1859" s="38" customFormat="1" x14ac:dyDescent="0.2"/>
    <row r="1860" s="38" customFormat="1" x14ac:dyDescent="0.2"/>
    <row r="1861" s="38" customFormat="1" x14ac:dyDescent="0.2"/>
    <row r="1862" s="38" customFormat="1" x14ac:dyDescent="0.2"/>
    <row r="1863" s="38" customFormat="1" x14ac:dyDescent="0.2"/>
    <row r="1864" s="38" customFormat="1" x14ac:dyDescent="0.2"/>
    <row r="1865" s="38" customFormat="1" x14ac:dyDescent="0.2"/>
    <row r="1866" s="38" customFormat="1" x14ac:dyDescent="0.2"/>
    <row r="1867" s="38" customFormat="1" x14ac:dyDescent="0.2"/>
    <row r="1868" s="38" customFormat="1" x14ac:dyDescent="0.2"/>
    <row r="1869" s="38" customFormat="1" x14ac:dyDescent="0.2"/>
    <row r="1870" s="38" customFormat="1" x14ac:dyDescent="0.2"/>
    <row r="1871" s="38" customFormat="1" x14ac:dyDescent="0.2"/>
    <row r="1872" s="38" customFormat="1" x14ac:dyDescent="0.2"/>
    <row r="1873" s="38" customFormat="1" x14ac:dyDescent="0.2"/>
    <row r="1874" s="38" customFormat="1" x14ac:dyDescent="0.2"/>
    <row r="1875" s="38" customFormat="1" x14ac:dyDescent="0.2"/>
    <row r="1876" s="38" customFormat="1" x14ac:dyDescent="0.2"/>
    <row r="1877" s="38" customFormat="1" x14ac:dyDescent="0.2"/>
    <row r="1878" s="38" customFormat="1" x14ac:dyDescent="0.2"/>
    <row r="1879" s="38" customFormat="1" x14ac:dyDescent="0.2"/>
    <row r="1880" s="38" customFormat="1" x14ac:dyDescent="0.2"/>
    <row r="1881" s="38" customFormat="1" x14ac:dyDescent="0.2"/>
    <row r="1882" s="38" customFormat="1" x14ac:dyDescent="0.2"/>
    <row r="1883" s="38" customFormat="1" x14ac:dyDescent="0.2"/>
    <row r="1884" s="38" customFormat="1" x14ac:dyDescent="0.2"/>
    <row r="1885" s="38" customFormat="1" x14ac:dyDescent="0.2"/>
    <row r="1886" s="38" customFormat="1" x14ac:dyDescent="0.2"/>
    <row r="1887" s="38" customFormat="1" x14ac:dyDescent="0.2"/>
    <row r="1888" s="38" customFormat="1" x14ac:dyDescent="0.2"/>
    <row r="1889" s="38" customFormat="1" x14ac:dyDescent="0.2"/>
    <row r="1890" s="38" customFormat="1" x14ac:dyDescent="0.2"/>
    <row r="1891" s="38" customFormat="1" x14ac:dyDescent="0.2"/>
    <row r="1892" s="38" customFormat="1" x14ac:dyDescent="0.2"/>
    <row r="1893" s="38" customFormat="1" x14ac:dyDescent="0.2"/>
    <row r="1894" s="38" customFormat="1" x14ac:dyDescent="0.2"/>
    <row r="1895" s="38" customFormat="1" x14ac:dyDescent="0.2"/>
    <row r="1896" s="38" customFormat="1" x14ac:dyDescent="0.2"/>
    <row r="1897" s="38" customFormat="1" x14ac:dyDescent="0.2"/>
    <row r="1898" s="38" customFormat="1" x14ac:dyDescent="0.2"/>
    <row r="1899" s="38" customFormat="1" x14ac:dyDescent="0.2"/>
    <row r="1900" s="38" customFormat="1" x14ac:dyDescent="0.2"/>
    <row r="1901" s="38" customFormat="1" x14ac:dyDescent="0.2"/>
    <row r="1902" s="38" customFormat="1" x14ac:dyDescent="0.2"/>
    <row r="1903" s="38" customFormat="1" x14ac:dyDescent="0.2"/>
    <row r="1904" s="38" customFormat="1" x14ac:dyDescent="0.2"/>
    <row r="1905" s="38" customFormat="1" x14ac:dyDescent="0.2"/>
    <row r="1906" s="38" customFormat="1" x14ac:dyDescent="0.2"/>
    <row r="1907" s="38" customFormat="1" x14ac:dyDescent="0.2"/>
    <row r="1908" s="38" customFormat="1" x14ac:dyDescent="0.2"/>
    <row r="1909" s="38" customFormat="1" x14ac:dyDescent="0.2"/>
    <row r="1910" s="38" customFormat="1" x14ac:dyDescent="0.2"/>
    <row r="1911" s="38" customFormat="1" x14ac:dyDescent="0.2"/>
    <row r="1912" s="38" customFormat="1" x14ac:dyDescent="0.2"/>
    <row r="1913" s="38" customFormat="1" x14ac:dyDescent="0.2"/>
    <row r="1914" s="38" customFormat="1" x14ac:dyDescent="0.2"/>
    <row r="1915" s="38" customFormat="1" x14ac:dyDescent="0.2"/>
    <row r="1916" s="38" customFormat="1" x14ac:dyDescent="0.2"/>
    <row r="1917" s="38" customFormat="1" x14ac:dyDescent="0.2"/>
    <row r="1918" s="38" customFormat="1" x14ac:dyDescent="0.2"/>
    <row r="1919" s="38" customFormat="1" x14ac:dyDescent="0.2"/>
    <row r="1920" s="38" customFormat="1" x14ac:dyDescent="0.2"/>
    <row r="1921" s="38" customFormat="1" x14ac:dyDescent="0.2"/>
    <row r="1922" s="38" customFormat="1" x14ac:dyDescent="0.2"/>
    <row r="1923" s="38" customFormat="1" x14ac:dyDescent="0.2"/>
    <row r="1924" s="38" customFormat="1" x14ac:dyDescent="0.2"/>
    <row r="1925" s="38" customFormat="1" x14ac:dyDescent="0.2"/>
    <row r="1926" s="38" customFormat="1" x14ac:dyDescent="0.2"/>
    <row r="1927" s="38" customFormat="1" x14ac:dyDescent="0.2"/>
    <row r="1928" s="38" customFormat="1" x14ac:dyDescent="0.2"/>
    <row r="1929" s="38" customFormat="1" x14ac:dyDescent="0.2"/>
    <row r="1930" s="38" customFormat="1" x14ac:dyDescent="0.2"/>
    <row r="1931" s="38" customFormat="1" x14ac:dyDescent="0.2"/>
    <row r="1932" s="38" customFormat="1" x14ac:dyDescent="0.2"/>
    <row r="1933" s="38" customFormat="1" x14ac:dyDescent="0.2"/>
    <row r="1934" s="38" customFormat="1" x14ac:dyDescent="0.2"/>
    <row r="1935" s="38" customFormat="1" x14ac:dyDescent="0.2"/>
    <row r="1936" s="38" customFormat="1" x14ac:dyDescent="0.2"/>
    <row r="1937" s="38" customFormat="1" x14ac:dyDescent="0.2"/>
    <row r="1938" s="38" customFormat="1" x14ac:dyDescent="0.2"/>
    <row r="1939" s="38" customFormat="1" x14ac:dyDescent="0.2"/>
    <row r="1940" s="38" customFormat="1" x14ac:dyDescent="0.2"/>
    <row r="1941" s="38" customFormat="1" x14ac:dyDescent="0.2"/>
    <row r="1942" s="38" customFormat="1" x14ac:dyDescent="0.2"/>
    <row r="1943" s="38" customFormat="1" x14ac:dyDescent="0.2"/>
    <row r="1944" s="38" customFormat="1" x14ac:dyDescent="0.2"/>
    <row r="1945" s="38" customFormat="1" x14ac:dyDescent="0.2"/>
    <row r="1946" s="38" customFormat="1" x14ac:dyDescent="0.2"/>
    <row r="1947" s="38" customFormat="1" x14ac:dyDescent="0.2"/>
    <row r="1948" s="38" customFormat="1" x14ac:dyDescent="0.2"/>
    <row r="1949" s="38" customFormat="1" x14ac:dyDescent="0.2"/>
    <row r="1950" s="38" customFormat="1" x14ac:dyDescent="0.2"/>
    <row r="1951" s="38" customFormat="1" x14ac:dyDescent="0.2"/>
    <row r="1952" s="38" customFormat="1" x14ac:dyDescent="0.2"/>
    <row r="1953" s="38" customFormat="1" x14ac:dyDescent="0.2"/>
    <row r="1954" s="38" customFormat="1" x14ac:dyDescent="0.2"/>
    <row r="1955" s="38" customFormat="1" x14ac:dyDescent="0.2"/>
    <row r="1956" s="38" customFormat="1" x14ac:dyDescent="0.2"/>
    <row r="1957" s="38" customFormat="1" x14ac:dyDescent="0.2"/>
    <row r="1958" s="38" customFormat="1" x14ac:dyDescent="0.2"/>
    <row r="1959" s="38" customFormat="1" x14ac:dyDescent="0.2"/>
    <row r="1960" s="38" customFormat="1" x14ac:dyDescent="0.2"/>
    <row r="1961" s="38" customFormat="1" x14ac:dyDescent="0.2"/>
    <row r="1962" s="38" customFormat="1" x14ac:dyDescent="0.2"/>
    <row r="1963" s="38" customFormat="1" x14ac:dyDescent="0.2"/>
    <row r="1964" s="38" customFormat="1" x14ac:dyDescent="0.2"/>
    <row r="1965" s="38" customFormat="1" x14ac:dyDescent="0.2"/>
    <row r="1966" s="38" customFormat="1" x14ac:dyDescent="0.2"/>
    <row r="1967" s="38" customFormat="1" x14ac:dyDescent="0.2"/>
    <row r="1968" s="38" customFormat="1" x14ac:dyDescent="0.2"/>
    <row r="1969" s="38" customFormat="1" x14ac:dyDescent="0.2"/>
    <row r="1970" s="38" customFormat="1" x14ac:dyDescent="0.2"/>
    <row r="1971" s="38" customFormat="1" x14ac:dyDescent="0.2"/>
    <row r="1972" s="38" customFormat="1" x14ac:dyDescent="0.2"/>
    <row r="1973" s="38" customFormat="1" x14ac:dyDescent="0.2"/>
    <row r="1974" s="38" customFormat="1" x14ac:dyDescent="0.2"/>
    <row r="1975" s="38" customFormat="1" x14ac:dyDescent="0.2"/>
    <row r="1976" s="38" customFormat="1" x14ac:dyDescent="0.2"/>
    <row r="1977" s="38" customFormat="1" x14ac:dyDescent="0.2"/>
    <row r="1978" s="38" customFormat="1" x14ac:dyDescent="0.2"/>
    <row r="1979" s="38" customFormat="1" x14ac:dyDescent="0.2"/>
    <row r="1980" s="38" customFormat="1" x14ac:dyDescent="0.2"/>
    <row r="1981" s="38" customFormat="1" x14ac:dyDescent="0.2"/>
    <row r="1982" s="38" customFormat="1" x14ac:dyDescent="0.2"/>
    <row r="1983" s="38" customFormat="1" x14ac:dyDescent="0.2"/>
    <row r="1984" s="38" customFormat="1" x14ac:dyDescent="0.2"/>
    <row r="1985" s="38" customFormat="1" x14ac:dyDescent="0.2"/>
    <row r="1986" s="38" customFormat="1" x14ac:dyDescent="0.2"/>
    <row r="1987" s="38" customFormat="1" x14ac:dyDescent="0.2"/>
    <row r="1988" s="38" customFormat="1" x14ac:dyDescent="0.2"/>
    <row r="1989" s="38" customFormat="1" x14ac:dyDescent="0.2"/>
    <row r="1990" s="38" customFormat="1" x14ac:dyDescent="0.2"/>
    <row r="1991" s="38" customFormat="1" x14ac:dyDescent="0.2"/>
    <row r="1992" s="38" customFormat="1" x14ac:dyDescent="0.2"/>
    <row r="1993" s="38" customFormat="1" x14ac:dyDescent="0.2"/>
    <row r="1994" s="38" customFormat="1" x14ac:dyDescent="0.2"/>
    <row r="1995" s="38" customFormat="1" x14ac:dyDescent="0.2"/>
    <row r="1996" s="38" customFormat="1" x14ac:dyDescent="0.2"/>
    <row r="1997" s="38" customFormat="1" x14ac:dyDescent="0.2"/>
    <row r="1998" s="38" customFormat="1" x14ac:dyDescent="0.2"/>
    <row r="1999" s="38" customFormat="1" x14ac:dyDescent="0.2"/>
    <row r="2000" s="38" customFormat="1" x14ac:dyDescent="0.2"/>
    <row r="2001" s="38" customFormat="1" x14ac:dyDescent="0.2"/>
    <row r="2002" s="38" customFormat="1" x14ac:dyDescent="0.2"/>
    <row r="2003" s="38" customFormat="1" x14ac:dyDescent="0.2"/>
    <row r="2004" s="38" customFormat="1" x14ac:dyDescent="0.2"/>
    <row r="2005" s="38" customFormat="1" x14ac:dyDescent="0.2"/>
    <row r="2006" s="38" customFormat="1" x14ac:dyDescent="0.2"/>
    <row r="2007" s="38" customFormat="1" x14ac:dyDescent="0.2"/>
    <row r="2008" s="38" customFormat="1" x14ac:dyDescent="0.2"/>
    <row r="2009" s="38" customFormat="1" x14ac:dyDescent="0.2"/>
    <row r="2010" s="38" customFormat="1" x14ac:dyDescent="0.2"/>
    <row r="2011" s="38" customFormat="1" x14ac:dyDescent="0.2"/>
    <row r="2012" s="38" customFormat="1" x14ac:dyDescent="0.2"/>
    <row r="2013" s="38" customFormat="1" x14ac:dyDescent="0.2"/>
    <row r="2014" s="38" customFormat="1" x14ac:dyDescent="0.2"/>
    <row r="2015" s="38" customFormat="1" x14ac:dyDescent="0.2"/>
    <row r="2016" s="38" customFormat="1" x14ac:dyDescent="0.2"/>
    <row r="2017" s="38" customFormat="1" x14ac:dyDescent="0.2"/>
    <row r="2018" s="38" customFormat="1" x14ac:dyDescent="0.2"/>
    <row r="2019" s="38" customFormat="1" x14ac:dyDescent="0.2"/>
    <row r="2020" s="38" customFormat="1" x14ac:dyDescent="0.2"/>
    <row r="2021" s="38" customFormat="1" x14ac:dyDescent="0.2"/>
    <row r="2022" s="38" customFormat="1" x14ac:dyDescent="0.2"/>
    <row r="2023" s="38" customFormat="1" x14ac:dyDescent="0.2"/>
    <row r="2024" s="38" customFormat="1" x14ac:dyDescent="0.2"/>
    <row r="2025" s="38" customFormat="1" x14ac:dyDescent="0.2"/>
    <row r="2026" s="38" customFormat="1" x14ac:dyDescent="0.2"/>
    <row r="2027" s="38" customFormat="1" x14ac:dyDescent="0.2"/>
    <row r="2028" s="38" customFormat="1" x14ac:dyDescent="0.2"/>
    <row r="2029" s="38" customFormat="1" x14ac:dyDescent="0.2"/>
    <row r="2030" s="38" customFormat="1" x14ac:dyDescent="0.2"/>
    <row r="2031" s="38" customFormat="1" x14ac:dyDescent="0.2"/>
    <row r="2032" s="38" customFormat="1" x14ac:dyDescent="0.2"/>
    <row r="2033" s="38" customFormat="1" x14ac:dyDescent="0.2"/>
    <row r="2034" s="38" customFormat="1" x14ac:dyDescent="0.2"/>
    <row r="2035" s="38" customFormat="1" x14ac:dyDescent="0.2"/>
    <row r="2036" s="38" customFormat="1" x14ac:dyDescent="0.2"/>
    <row r="2037" s="38" customFormat="1" x14ac:dyDescent="0.2"/>
    <row r="2038" s="38" customFormat="1" x14ac:dyDescent="0.2"/>
    <row r="2039" s="38" customFormat="1" x14ac:dyDescent="0.2"/>
    <row r="2040" s="38" customFormat="1" x14ac:dyDescent="0.2"/>
    <row r="2041" s="38" customFormat="1" x14ac:dyDescent="0.2"/>
    <row r="2042" s="38" customFormat="1" x14ac:dyDescent="0.2"/>
    <row r="2043" s="38" customFormat="1" x14ac:dyDescent="0.2"/>
    <row r="2044" s="38" customFormat="1" x14ac:dyDescent="0.2"/>
    <row r="2045" s="38" customFormat="1" x14ac:dyDescent="0.2"/>
    <row r="2046" s="38" customFormat="1" x14ac:dyDescent="0.2"/>
    <row r="2047" s="38" customFormat="1" x14ac:dyDescent="0.2"/>
    <row r="2048" s="38" customFormat="1" x14ac:dyDescent="0.2"/>
    <row r="2049" s="38" customFormat="1" x14ac:dyDescent="0.2"/>
    <row r="2050" s="38" customFormat="1" x14ac:dyDescent="0.2"/>
    <row r="2051" s="38" customFormat="1" x14ac:dyDescent="0.2"/>
    <row r="2052" s="38" customFormat="1" x14ac:dyDescent="0.2"/>
    <row r="2053" s="38" customFormat="1" x14ac:dyDescent="0.2"/>
    <row r="2054" s="38" customFormat="1" x14ac:dyDescent="0.2"/>
    <row r="2055" s="38" customFormat="1" x14ac:dyDescent="0.2"/>
    <row r="2056" s="38" customFormat="1" x14ac:dyDescent="0.2"/>
    <row r="2057" s="38" customFormat="1" x14ac:dyDescent="0.2"/>
    <row r="2058" s="38" customFormat="1" x14ac:dyDescent="0.2"/>
    <row r="2059" s="38" customFormat="1" x14ac:dyDescent="0.2"/>
    <row r="2060" s="38" customFormat="1" x14ac:dyDescent="0.2"/>
    <row r="2061" s="38" customFormat="1" x14ac:dyDescent="0.2"/>
    <row r="2062" s="38" customFormat="1" x14ac:dyDescent="0.2"/>
    <row r="2063" s="38" customFormat="1" x14ac:dyDescent="0.2"/>
    <row r="2064" s="38" customFormat="1" x14ac:dyDescent="0.2"/>
    <row r="2065" s="38" customFormat="1" x14ac:dyDescent="0.2"/>
    <row r="2066" s="38" customFormat="1" x14ac:dyDescent="0.2"/>
    <row r="2067" s="38" customFormat="1" x14ac:dyDescent="0.2"/>
    <row r="2068" s="38" customFormat="1" x14ac:dyDescent="0.2"/>
    <row r="2069" s="38" customFormat="1" x14ac:dyDescent="0.2"/>
    <row r="2070" s="38" customFormat="1" x14ac:dyDescent="0.2"/>
    <row r="2071" s="38" customFormat="1" x14ac:dyDescent="0.2"/>
    <row r="2072" s="38" customFormat="1" x14ac:dyDescent="0.2"/>
    <row r="2073" s="38" customFormat="1" x14ac:dyDescent="0.2"/>
    <row r="2074" s="38" customFormat="1" x14ac:dyDescent="0.2"/>
    <row r="2075" s="38" customFormat="1" x14ac:dyDescent="0.2"/>
    <row r="2076" s="38" customFormat="1" x14ac:dyDescent="0.2"/>
    <row r="2077" s="38" customFormat="1" x14ac:dyDescent="0.2"/>
    <row r="2078" s="38" customFormat="1" x14ac:dyDescent="0.2"/>
    <row r="2079" s="38" customFormat="1" x14ac:dyDescent="0.2"/>
    <row r="2080" s="38" customFormat="1" x14ac:dyDescent="0.2"/>
    <row r="2081" s="38" customFormat="1" x14ac:dyDescent="0.2"/>
    <row r="2082" s="38" customFormat="1" x14ac:dyDescent="0.2"/>
    <row r="2083" s="38" customFormat="1" x14ac:dyDescent="0.2"/>
    <row r="2084" s="38" customFormat="1" x14ac:dyDescent="0.2"/>
    <row r="2085" s="38" customFormat="1" x14ac:dyDescent="0.2"/>
    <row r="2086" s="38" customFormat="1" x14ac:dyDescent="0.2"/>
    <row r="2087" s="38" customFormat="1" x14ac:dyDescent="0.2"/>
    <row r="2088" s="38" customFormat="1" x14ac:dyDescent="0.2"/>
    <row r="2089" s="38" customFormat="1" x14ac:dyDescent="0.2"/>
    <row r="2090" s="38" customFormat="1" x14ac:dyDescent="0.2"/>
    <row r="2091" s="38" customFormat="1" x14ac:dyDescent="0.2"/>
    <row r="2092" s="38" customFormat="1" x14ac:dyDescent="0.2"/>
    <row r="2093" s="38" customFormat="1" x14ac:dyDescent="0.2"/>
    <row r="2094" s="38" customFormat="1" x14ac:dyDescent="0.2"/>
    <row r="2095" s="38" customFormat="1" x14ac:dyDescent="0.2"/>
    <row r="2096" s="38" customFormat="1" x14ac:dyDescent="0.2"/>
    <row r="2097" s="38" customFormat="1" x14ac:dyDescent="0.2"/>
    <row r="2098" s="38" customFormat="1" x14ac:dyDescent="0.2"/>
    <row r="2099" s="38" customFormat="1" x14ac:dyDescent="0.2"/>
    <row r="2100" s="38" customFormat="1" x14ac:dyDescent="0.2"/>
    <row r="2101" s="38" customFormat="1" x14ac:dyDescent="0.2"/>
    <row r="2102" s="38" customFormat="1" x14ac:dyDescent="0.2"/>
    <row r="2103" s="38" customFormat="1" x14ac:dyDescent="0.2"/>
    <row r="2104" s="38" customFormat="1" x14ac:dyDescent="0.2"/>
    <row r="2105" s="38" customFormat="1" x14ac:dyDescent="0.2"/>
    <row r="2106" s="38" customFormat="1" x14ac:dyDescent="0.2"/>
    <row r="2107" s="38" customFormat="1" x14ac:dyDescent="0.2"/>
    <row r="2108" s="38" customFormat="1" x14ac:dyDescent="0.2"/>
    <row r="2109" s="38" customFormat="1" x14ac:dyDescent="0.2"/>
    <row r="2110" s="38" customFormat="1" x14ac:dyDescent="0.2"/>
    <row r="2111" s="38" customFormat="1" x14ac:dyDescent="0.2"/>
    <row r="2112" s="38" customFormat="1" x14ac:dyDescent="0.2"/>
    <row r="2113" s="38" customFormat="1" x14ac:dyDescent="0.2"/>
    <row r="2114" s="38" customFormat="1" x14ac:dyDescent="0.2"/>
    <row r="2115" s="38" customFormat="1" x14ac:dyDescent="0.2"/>
    <row r="2116" s="38" customFormat="1" x14ac:dyDescent="0.2"/>
    <row r="2117" s="38" customFormat="1" x14ac:dyDescent="0.2"/>
    <row r="2118" s="38" customFormat="1" x14ac:dyDescent="0.2"/>
    <row r="2119" s="38" customFormat="1" x14ac:dyDescent="0.2"/>
    <row r="2120" s="38" customFormat="1" x14ac:dyDescent="0.2"/>
    <row r="2121" s="38" customFormat="1" x14ac:dyDescent="0.2"/>
    <row r="2122" s="38" customFormat="1" x14ac:dyDescent="0.2"/>
    <row r="2123" s="38" customFormat="1" x14ac:dyDescent="0.2"/>
    <row r="2124" s="38" customFormat="1" x14ac:dyDescent="0.2"/>
    <row r="2125" s="38" customFormat="1" x14ac:dyDescent="0.2"/>
    <row r="2126" s="38" customFormat="1" x14ac:dyDescent="0.2"/>
    <row r="2127" s="38" customFormat="1" x14ac:dyDescent="0.2"/>
    <row r="2128" s="38" customFormat="1" x14ac:dyDescent="0.2"/>
    <row r="2129" s="38" customFormat="1" x14ac:dyDescent="0.2"/>
    <row r="2130" s="38" customFormat="1" x14ac:dyDescent="0.2"/>
    <row r="2131" s="38" customFormat="1" x14ac:dyDescent="0.2"/>
    <row r="2132" s="38" customFormat="1" x14ac:dyDescent="0.2"/>
    <row r="2133" s="38" customFormat="1" x14ac:dyDescent="0.2"/>
    <row r="2134" s="38" customFormat="1" x14ac:dyDescent="0.2"/>
    <row r="2135" s="38" customFormat="1" x14ac:dyDescent="0.2"/>
    <row r="2136" s="38" customFormat="1" x14ac:dyDescent="0.2"/>
    <row r="2137" s="38" customFormat="1" x14ac:dyDescent="0.2"/>
    <row r="2138" s="38" customFormat="1" x14ac:dyDescent="0.2"/>
    <row r="2139" s="38" customFormat="1" x14ac:dyDescent="0.2"/>
    <row r="2140" s="38" customFormat="1" x14ac:dyDescent="0.2"/>
    <row r="2141" s="38" customFormat="1" x14ac:dyDescent="0.2"/>
    <row r="2142" s="38" customFormat="1" x14ac:dyDescent="0.2"/>
    <row r="2143" s="38" customFormat="1" x14ac:dyDescent="0.2"/>
    <row r="2144" s="38" customFormat="1" x14ac:dyDescent="0.2"/>
    <row r="2145" s="38" customFormat="1" x14ac:dyDescent="0.2"/>
    <row r="2146" s="38" customFormat="1" x14ac:dyDescent="0.2"/>
    <row r="2147" s="38" customFormat="1" x14ac:dyDescent="0.2"/>
    <row r="2148" s="38" customFormat="1" x14ac:dyDescent="0.2"/>
    <row r="2149" s="38" customFormat="1" x14ac:dyDescent="0.2"/>
    <row r="2150" s="38" customFormat="1" x14ac:dyDescent="0.2"/>
    <row r="2151" s="38" customFormat="1" x14ac:dyDescent="0.2"/>
    <row r="2152" s="38" customFormat="1" x14ac:dyDescent="0.2"/>
    <row r="2153" s="38" customFormat="1" x14ac:dyDescent="0.2"/>
    <row r="2154" s="38" customFormat="1" x14ac:dyDescent="0.2"/>
    <row r="2155" s="38" customFormat="1" x14ac:dyDescent="0.2"/>
    <row r="2156" s="38" customFormat="1" x14ac:dyDescent="0.2"/>
    <row r="2157" s="38" customFormat="1" x14ac:dyDescent="0.2"/>
    <row r="2158" s="38" customFormat="1" x14ac:dyDescent="0.2"/>
    <row r="2159" s="38" customFormat="1" x14ac:dyDescent="0.2"/>
    <row r="2160" s="38" customFormat="1" x14ac:dyDescent="0.2"/>
    <row r="2161" s="38" customFormat="1" x14ac:dyDescent="0.2"/>
    <row r="2162" s="38" customFormat="1" x14ac:dyDescent="0.2"/>
    <row r="2163" s="38" customFormat="1" x14ac:dyDescent="0.2"/>
    <row r="2164" s="38" customFormat="1" x14ac:dyDescent="0.2"/>
    <row r="2165" s="38" customFormat="1" x14ac:dyDescent="0.2"/>
    <row r="2166" s="38" customFormat="1" x14ac:dyDescent="0.2"/>
    <row r="2167" s="38" customFormat="1" x14ac:dyDescent="0.2"/>
    <row r="2168" s="38" customFormat="1" x14ac:dyDescent="0.2"/>
    <row r="2169" s="38" customFormat="1" x14ac:dyDescent="0.2"/>
    <row r="2170" s="38" customFormat="1" x14ac:dyDescent="0.2"/>
    <row r="2171" s="38" customFormat="1" x14ac:dyDescent="0.2"/>
    <row r="2172" s="38" customFormat="1" x14ac:dyDescent="0.2"/>
    <row r="2173" s="38" customFormat="1" x14ac:dyDescent="0.2"/>
    <row r="2174" s="38" customFormat="1" x14ac:dyDescent="0.2"/>
    <row r="2175" s="38" customFormat="1" x14ac:dyDescent="0.2"/>
    <row r="2176" s="38" customFormat="1" x14ac:dyDescent="0.2"/>
    <row r="2177" s="38" customFormat="1" x14ac:dyDescent="0.2"/>
    <row r="2178" s="38" customFormat="1" x14ac:dyDescent="0.2"/>
    <row r="2179" s="38" customFormat="1" x14ac:dyDescent="0.2"/>
    <row r="2180" s="38" customFormat="1" x14ac:dyDescent="0.2"/>
    <row r="2181" s="38" customFormat="1" x14ac:dyDescent="0.2"/>
    <row r="2182" s="38" customFormat="1" x14ac:dyDescent="0.2"/>
    <row r="2183" s="38" customFormat="1" x14ac:dyDescent="0.2"/>
    <row r="2184" s="38" customFormat="1" x14ac:dyDescent="0.2"/>
    <row r="2185" s="38" customFormat="1" x14ac:dyDescent="0.2"/>
    <row r="2186" s="38" customFormat="1" x14ac:dyDescent="0.2"/>
    <row r="2187" s="38" customFormat="1" x14ac:dyDescent="0.2"/>
    <row r="2188" s="38" customFormat="1" x14ac:dyDescent="0.2"/>
    <row r="2189" s="38" customFormat="1" x14ac:dyDescent="0.2"/>
    <row r="2190" s="38" customFormat="1" x14ac:dyDescent="0.2"/>
    <row r="2191" s="38" customFormat="1" x14ac:dyDescent="0.2"/>
    <row r="2192" s="38" customFormat="1" x14ac:dyDescent="0.2"/>
    <row r="2193" s="38" customFormat="1" x14ac:dyDescent="0.2"/>
    <row r="2194" s="38" customFormat="1" x14ac:dyDescent="0.2"/>
    <row r="2195" s="38" customFormat="1" x14ac:dyDescent="0.2"/>
    <row r="2196" s="38" customFormat="1" x14ac:dyDescent="0.2"/>
    <row r="2197" s="38" customFormat="1" x14ac:dyDescent="0.2"/>
    <row r="2198" s="38" customFormat="1" x14ac:dyDescent="0.2"/>
    <row r="2199" s="38" customFormat="1" x14ac:dyDescent="0.2"/>
    <row r="2200" s="38" customFormat="1" x14ac:dyDescent="0.2"/>
    <row r="2201" s="38" customFormat="1" x14ac:dyDescent="0.2"/>
    <row r="2202" s="38" customFormat="1" x14ac:dyDescent="0.2"/>
    <row r="2203" s="38" customFormat="1" x14ac:dyDescent="0.2"/>
    <row r="2204" s="38" customFormat="1" x14ac:dyDescent="0.2"/>
    <row r="2205" s="38" customFormat="1" x14ac:dyDescent="0.2"/>
    <row r="2206" s="38" customFormat="1" x14ac:dyDescent="0.2"/>
    <row r="2207" s="38" customFormat="1" x14ac:dyDescent="0.2"/>
    <row r="2208" s="38" customFormat="1" x14ac:dyDescent="0.2"/>
    <row r="2209" s="38" customFormat="1" x14ac:dyDescent="0.2"/>
    <row r="2210" s="38" customFormat="1" x14ac:dyDescent="0.2"/>
    <row r="2211" s="38" customFormat="1" x14ac:dyDescent="0.2"/>
    <row r="2212" s="38" customFormat="1" x14ac:dyDescent="0.2"/>
    <row r="2213" s="38" customFormat="1" x14ac:dyDescent="0.2"/>
    <row r="2214" s="38" customFormat="1" x14ac:dyDescent="0.2"/>
    <row r="2215" s="38" customFormat="1" x14ac:dyDescent="0.2"/>
    <row r="2216" s="38" customFormat="1" x14ac:dyDescent="0.2"/>
    <row r="2217" s="38" customFormat="1" x14ac:dyDescent="0.2"/>
    <row r="2218" s="38" customFormat="1" x14ac:dyDescent="0.2"/>
    <row r="2219" s="38" customFormat="1" x14ac:dyDescent="0.2"/>
    <row r="2220" s="38" customFormat="1" x14ac:dyDescent="0.2"/>
    <row r="2221" s="38" customFormat="1" x14ac:dyDescent="0.2"/>
    <row r="2222" s="38" customFormat="1" x14ac:dyDescent="0.2"/>
    <row r="2223" s="38" customFormat="1" x14ac:dyDescent="0.2"/>
    <row r="2224" s="38" customFormat="1" x14ac:dyDescent="0.2"/>
    <row r="2225" s="38" customFormat="1" x14ac:dyDescent="0.2"/>
    <row r="2226" s="38" customFormat="1" x14ac:dyDescent="0.2"/>
    <row r="2227" s="38" customFormat="1" x14ac:dyDescent="0.2"/>
    <row r="2228" s="38" customFormat="1" x14ac:dyDescent="0.2"/>
    <row r="2229" s="38" customFormat="1" x14ac:dyDescent="0.2"/>
    <row r="2230" s="38" customFormat="1" x14ac:dyDescent="0.2"/>
    <row r="2231" s="38" customFormat="1" x14ac:dyDescent="0.2"/>
    <row r="2232" s="38" customFormat="1" x14ac:dyDescent="0.2"/>
    <row r="2233" s="38" customFormat="1" x14ac:dyDescent="0.2"/>
    <row r="2234" s="38" customFormat="1" x14ac:dyDescent="0.2"/>
    <row r="2235" s="38" customFormat="1" x14ac:dyDescent="0.2"/>
    <row r="2236" s="38" customFormat="1" x14ac:dyDescent="0.2"/>
    <row r="2237" s="38" customFormat="1" x14ac:dyDescent="0.2"/>
    <row r="2238" s="38" customFormat="1" x14ac:dyDescent="0.2"/>
    <row r="2239" s="38" customFormat="1" x14ac:dyDescent="0.2"/>
    <row r="2240" s="38" customFormat="1" x14ac:dyDescent="0.2"/>
    <row r="2241" s="38" customFormat="1" x14ac:dyDescent="0.2"/>
    <row r="2242" s="38" customFormat="1" x14ac:dyDescent="0.2"/>
    <row r="2243" s="38" customFormat="1" x14ac:dyDescent="0.2"/>
    <row r="2244" s="38" customFormat="1" x14ac:dyDescent="0.2"/>
    <row r="2245" s="38" customFormat="1" x14ac:dyDescent="0.2"/>
    <row r="2246" s="38" customFormat="1" x14ac:dyDescent="0.2"/>
    <row r="2247" s="38" customFormat="1" x14ac:dyDescent="0.2"/>
    <row r="2248" s="38" customFormat="1" x14ac:dyDescent="0.2"/>
    <row r="2249" s="38" customFormat="1" x14ac:dyDescent="0.2"/>
    <row r="2250" s="38" customFormat="1" x14ac:dyDescent="0.2"/>
    <row r="2251" s="38" customFormat="1" x14ac:dyDescent="0.2"/>
    <row r="2252" s="38" customFormat="1" x14ac:dyDescent="0.2"/>
    <row r="2253" s="38" customFormat="1" x14ac:dyDescent="0.2"/>
    <row r="2254" s="38" customFormat="1" x14ac:dyDescent="0.2"/>
    <row r="2255" s="38" customFormat="1" x14ac:dyDescent="0.2"/>
    <row r="2256" s="38" customFormat="1" x14ac:dyDescent="0.2"/>
    <row r="2257" s="38" customFormat="1" x14ac:dyDescent="0.2"/>
    <row r="2258" s="38" customFormat="1" x14ac:dyDescent="0.2"/>
    <row r="2259" s="38" customFormat="1" x14ac:dyDescent="0.2"/>
    <row r="2260" s="38" customFormat="1" x14ac:dyDescent="0.2"/>
    <row r="2261" s="38" customFormat="1" x14ac:dyDescent="0.2"/>
    <row r="2262" s="38" customFormat="1" x14ac:dyDescent="0.2"/>
    <row r="2263" s="38" customFormat="1" x14ac:dyDescent="0.2"/>
    <row r="2264" s="38" customFormat="1" x14ac:dyDescent="0.2"/>
    <row r="2265" s="38" customFormat="1" x14ac:dyDescent="0.2"/>
    <row r="2266" s="38" customFormat="1" x14ac:dyDescent="0.2"/>
    <row r="2267" s="38" customFormat="1" x14ac:dyDescent="0.2"/>
    <row r="2268" s="38" customFormat="1" x14ac:dyDescent="0.2"/>
    <row r="2269" s="38" customFormat="1" x14ac:dyDescent="0.2"/>
    <row r="2270" s="38" customFormat="1" x14ac:dyDescent="0.2"/>
    <row r="2271" s="38" customFormat="1" x14ac:dyDescent="0.2"/>
    <row r="2272" s="38" customFormat="1" x14ac:dyDescent="0.2"/>
    <row r="2273" s="38" customFormat="1" x14ac:dyDescent="0.2"/>
    <row r="2274" s="38" customFormat="1" x14ac:dyDescent="0.2"/>
    <row r="2275" s="38" customFormat="1" x14ac:dyDescent="0.2"/>
    <row r="2276" s="38" customFormat="1" x14ac:dyDescent="0.2"/>
    <row r="2277" s="38" customFormat="1" x14ac:dyDescent="0.2"/>
    <row r="2278" s="38" customFormat="1" x14ac:dyDescent="0.2"/>
    <row r="2279" s="38" customFormat="1" x14ac:dyDescent="0.2"/>
    <row r="2280" s="38" customFormat="1" x14ac:dyDescent="0.2"/>
    <row r="2281" s="38" customFormat="1" x14ac:dyDescent="0.2"/>
    <row r="2282" s="38" customFormat="1" x14ac:dyDescent="0.2"/>
    <row r="2283" s="38" customFormat="1" x14ac:dyDescent="0.2"/>
    <row r="2284" s="38" customFormat="1" x14ac:dyDescent="0.2"/>
    <row r="2285" s="38" customFormat="1" x14ac:dyDescent="0.2"/>
    <row r="2286" s="38" customFormat="1" x14ac:dyDescent="0.2"/>
    <row r="2287" s="38" customFormat="1" x14ac:dyDescent="0.2"/>
    <row r="2288" s="38" customFormat="1" x14ac:dyDescent="0.2"/>
    <row r="2289" s="38" customFormat="1" x14ac:dyDescent="0.2"/>
    <row r="2290" s="38" customFormat="1" x14ac:dyDescent="0.2"/>
    <row r="2291" s="38" customFormat="1" x14ac:dyDescent="0.2"/>
    <row r="2292" s="38" customFormat="1" x14ac:dyDescent="0.2"/>
    <row r="2293" s="38" customFormat="1" x14ac:dyDescent="0.2"/>
    <row r="2294" s="38" customFormat="1" x14ac:dyDescent="0.2"/>
    <row r="2295" s="38" customFormat="1" x14ac:dyDescent="0.2"/>
    <row r="2296" s="38" customFormat="1" x14ac:dyDescent="0.2"/>
    <row r="2297" s="38" customFormat="1" x14ac:dyDescent="0.2"/>
    <row r="2298" s="38" customFormat="1" x14ac:dyDescent="0.2"/>
    <row r="2299" s="38" customFormat="1" x14ac:dyDescent="0.2"/>
    <row r="2300" s="38" customFormat="1" x14ac:dyDescent="0.2"/>
    <row r="2301" s="38" customFormat="1" x14ac:dyDescent="0.2"/>
    <row r="2302" s="38" customFormat="1" x14ac:dyDescent="0.2"/>
    <row r="2303" s="38" customFormat="1" x14ac:dyDescent="0.2"/>
    <row r="2304" s="38" customFormat="1" x14ac:dyDescent="0.2"/>
    <row r="2305" s="38" customFormat="1" x14ac:dyDescent="0.2"/>
    <row r="2306" s="38" customFormat="1" x14ac:dyDescent="0.2"/>
    <row r="2307" s="38" customFormat="1" x14ac:dyDescent="0.2"/>
    <row r="2308" s="38" customFormat="1" x14ac:dyDescent="0.2"/>
    <row r="2309" s="38" customFormat="1" x14ac:dyDescent="0.2"/>
    <row r="2310" s="38" customFormat="1" x14ac:dyDescent="0.2"/>
    <row r="2311" s="38" customFormat="1" x14ac:dyDescent="0.2"/>
    <row r="2312" s="38" customFormat="1" x14ac:dyDescent="0.2"/>
    <row r="2313" s="38" customFormat="1" x14ac:dyDescent="0.2"/>
    <row r="2314" s="38" customFormat="1" x14ac:dyDescent="0.2"/>
    <row r="2315" s="38" customFormat="1" x14ac:dyDescent="0.2"/>
    <row r="2316" s="38" customFormat="1" x14ac:dyDescent="0.2"/>
    <row r="2317" s="38" customFormat="1" x14ac:dyDescent="0.2"/>
    <row r="2318" s="38" customFormat="1" x14ac:dyDescent="0.2"/>
    <row r="2319" s="38" customFormat="1" x14ac:dyDescent="0.2"/>
    <row r="2320" s="38" customFormat="1" x14ac:dyDescent="0.2"/>
    <row r="2321" s="38" customFormat="1" x14ac:dyDescent="0.2"/>
    <row r="2322" s="38" customFormat="1" x14ac:dyDescent="0.2"/>
    <row r="2323" s="38" customFormat="1" x14ac:dyDescent="0.2"/>
    <row r="2324" s="38" customFormat="1" x14ac:dyDescent="0.2"/>
    <row r="2325" s="38" customFormat="1" x14ac:dyDescent="0.2"/>
    <row r="2326" s="38" customFormat="1" x14ac:dyDescent="0.2"/>
    <row r="2327" s="38" customFormat="1" x14ac:dyDescent="0.2"/>
    <row r="2328" s="38" customFormat="1" x14ac:dyDescent="0.2"/>
    <row r="2329" s="38" customFormat="1" x14ac:dyDescent="0.2"/>
    <row r="2330" s="38" customFormat="1" x14ac:dyDescent="0.2"/>
    <row r="2331" s="38" customFormat="1" x14ac:dyDescent="0.2"/>
    <row r="2332" s="38" customFormat="1" x14ac:dyDescent="0.2"/>
    <row r="2333" s="38" customFormat="1" x14ac:dyDescent="0.2"/>
    <row r="2334" s="38" customFormat="1" x14ac:dyDescent="0.2"/>
    <row r="2335" s="38" customFormat="1" x14ac:dyDescent="0.2"/>
    <row r="2336" s="38" customFormat="1" x14ac:dyDescent="0.2"/>
    <row r="2337" s="38" customFormat="1" x14ac:dyDescent="0.2"/>
    <row r="2338" s="38" customFormat="1" x14ac:dyDescent="0.2"/>
    <row r="2339" s="38" customFormat="1" x14ac:dyDescent="0.2"/>
    <row r="2340" s="38" customFormat="1" x14ac:dyDescent="0.2"/>
    <row r="2341" s="38" customFormat="1" x14ac:dyDescent="0.2"/>
    <row r="2342" s="38" customFormat="1" x14ac:dyDescent="0.2"/>
    <row r="2343" s="38" customFormat="1" x14ac:dyDescent="0.2"/>
    <row r="2344" s="38" customFormat="1" x14ac:dyDescent="0.2"/>
    <row r="2345" s="38" customFormat="1" x14ac:dyDescent="0.2"/>
    <row r="2346" s="38" customFormat="1" x14ac:dyDescent="0.2"/>
    <row r="2347" s="38" customFormat="1" x14ac:dyDescent="0.2"/>
    <row r="2348" s="38" customFormat="1" x14ac:dyDescent="0.2"/>
    <row r="2349" s="38" customFormat="1" x14ac:dyDescent="0.2"/>
    <row r="2350" s="38" customFormat="1" x14ac:dyDescent="0.2"/>
    <row r="2351" s="38" customFormat="1" x14ac:dyDescent="0.2"/>
    <row r="2352" s="38" customFormat="1" x14ac:dyDescent="0.2"/>
    <row r="2353" s="38" customFormat="1" x14ac:dyDescent="0.2"/>
    <row r="2354" s="38" customFormat="1" x14ac:dyDescent="0.2"/>
    <row r="2355" s="38" customFormat="1" x14ac:dyDescent="0.2"/>
    <row r="2356" s="38" customFormat="1" x14ac:dyDescent="0.2"/>
    <row r="2357" s="38" customFormat="1" x14ac:dyDescent="0.2"/>
    <row r="2358" s="38" customFormat="1" x14ac:dyDescent="0.2"/>
    <row r="2359" s="38" customFormat="1" x14ac:dyDescent="0.2"/>
    <row r="2360" s="38" customFormat="1" x14ac:dyDescent="0.2"/>
    <row r="2361" s="38" customFormat="1" x14ac:dyDescent="0.2"/>
    <row r="2362" s="38" customFormat="1" x14ac:dyDescent="0.2"/>
    <row r="2363" s="38" customFormat="1" x14ac:dyDescent="0.2"/>
    <row r="2364" s="38" customFormat="1" x14ac:dyDescent="0.2"/>
    <row r="2365" s="38" customFormat="1" x14ac:dyDescent="0.2"/>
    <row r="2366" s="38" customFormat="1" x14ac:dyDescent="0.2"/>
    <row r="2367" s="38" customFormat="1" x14ac:dyDescent="0.2"/>
    <row r="2368" s="38" customFormat="1" x14ac:dyDescent="0.2"/>
    <row r="2369" s="38" customFormat="1" x14ac:dyDescent="0.2"/>
    <row r="2370" s="38" customFormat="1" x14ac:dyDescent="0.2"/>
    <row r="2371" s="38" customFormat="1" x14ac:dyDescent="0.2"/>
    <row r="2372" s="38" customFormat="1" x14ac:dyDescent="0.2"/>
    <row r="2373" s="38" customFormat="1" x14ac:dyDescent="0.2"/>
    <row r="2374" s="38" customFormat="1" x14ac:dyDescent="0.2"/>
    <row r="2375" s="38" customFormat="1" x14ac:dyDescent="0.2"/>
    <row r="2376" s="38" customFormat="1" x14ac:dyDescent="0.2"/>
    <row r="2377" s="38" customFormat="1" x14ac:dyDescent="0.2"/>
    <row r="2378" s="38" customFormat="1" x14ac:dyDescent="0.2"/>
    <row r="2379" s="38" customFormat="1" x14ac:dyDescent="0.2"/>
    <row r="2380" s="38" customFormat="1" x14ac:dyDescent="0.2"/>
    <row r="2381" s="38" customFormat="1" x14ac:dyDescent="0.2"/>
    <row r="2382" s="38" customFormat="1" x14ac:dyDescent="0.2"/>
    <row r="2383" s="38" customFormat="1" x14ac:dyDescent="0.2"/>
    <row r="2384" s="38" customFormat="1" x14ac:dyDescent="0.2"/>
    <row r="2385" s="38" customFormat="1" x14ac:dyDescent="0.2"/>
    <row r="2386" s="38" customFormat="1" x14ac:dyDescent="0.2"/>
    <row r="2387" s="38" customFormat="1" x14ac:dyDescent="0.2"/>
    <row r="2388" s="38" customFormat="1" x14ac:dyDescent="0.2"/>
    <row r="2389" s="38" customFormat="1" x14ac:dyDescent="0.2"/>
    <row r="2390" s="38" customFormat="1" x14ac:dyDescent="0.2"/>
    <row r="2391" s="38" customFormat="1" x14ac:dyDescent="0.2"/>
    <row r="2392" s="38" customFormat="1" x14ac:dyDescent="0.2"/>
    <row r="2393" s="38" customFormat="1" x14ac:dyDescent="0.2"/>
    <row r="2394" s="38" customFormat="1" x14ac:dyDescent="0.2"/>
    <row r="2395" s="38" customFormat="1" x14ac:dyDescent="0.2"/>
    <row r="2396" s="38" customFormat="1" x14ac:dyDescent="0.2"/>
    <row r="2397" s="38" customFormat="1" x14ac:dyDescent="0.2"/>
    <row r="2398" s="38" customFormat="1" x14ac:dyDescent="0.2"/>
    <row r="2399" s="38" customFormat="1" x14ac:dyDescent="0.2"/>
    <row r="2400" s="38" customFormat="1" x14ac:dyDescent="0.2"/>
    <row r="2401" s="38" customFormat="1" x14ac:dyDescent="0.2"/>
    <row r="2402" s="38" customFormat="1" x14ac:dyDescent="0.2"/>
    <row r="2403" s="38" customFormat="1" x14ac:dyDescent="0.2"/>
    <row r="2404" s="38" customFormat="1" x14ac:dyDescent="0.2"/>
    <row r="2405" s="38" customFormat="1" x14ac:dyDescent="0.2"/>
    <row r="2406" s="38" customFormat="1" x14ac:dyDescent="0.2"/>
    <row r="2407" s="38" customFormat="1" x14ac:dyDescent="0.2"/>
    <row r="2408" s="38" customFormat="1" x14ac:dyDescent="0.2"/>
    <row r="2409" s="38" customFormat="1" x14ac:dyDescent="0.2"/>
    <row r="2410" s="38" customFormat="1" x14ac:dyDescent="0.2"/>
    <row r="2411" s="38" customFormat="1" x14ac:dyDescent="0.2"/>
    <row r="2412" s="38" customFormat="1" x14ac:dyDescent="0.2"/>
    <row r="2413" s="38" customFormat="1" x14ac:dyDescent="0.2"/>
    <row r="2414" s="38" customFormat="1" x14ac:dyDescent="0.2"/>
    <row r="2415" s="38" customFormat="1" x14ac:dyDescent="0.2"/>
    <row r="2416" s="38" customFormat="1" x14ac:dyDescent="0.2"/>
    <row r="2417" s="38" customFormat="1" x14ac:dyDescent="0.2"/>
    <row r="2418" s="38" customFormat="1" x14ac:dyDescent="0.2"/>
    <row r="2419" s="38" customFormat="1" x14ac:dyDescent="0.2"/>
    <row r="2420" s="38" customFormat="1" x14ac:dyDescent="0.2"/>
    <row r="2421" s="38" customFormat="1" x14ac:dyDescent="0.2"/>
    <row r="2422" s="38" customFormat="1" x14ac:dyDescent="0.2"/>
    <row r="2423" s="38" customFormat="1" x14ac:dyDescent="0.2"/>
    <row r="2424" s="38" customFormat="1" x14ac:dyDescent="0.2"/>
    <row r="2425" s="38" customFormat="1" x14ac:dyDescent="0.2"/>
    <row r="2426" s="38" customFormat="1" x14ac:dyDescent="0.2"/>
    <row r="2427" s="38" customFormat="1" x14ac:dyDescent="0.2"/>
    <row r="2428" s="38" customFormat="1" x14ac:dyDescent="0.2"/>
    <row r="2429" s="38" customFormat="1" x14ac:dyDescent="0.2"/>
    <row r="2430" s="38" customFormat="1" x14ac:dyDescent="0.2"/>
    <row r="2431" s="38" customFormat="1" x14ac:dyDescent="0.2"/>
    <row r="2432" s="38" customFormat="1" x14ac:dyDescent="0.2"/>
    <row r="2433" s="38" customFormat="1" x14ac:dyDescent="0.2"/>
    <row r="2434" s="38" customFormat="1" x14ac:dyDescent="0.2"/>
    <row r="2435" s="38" customFormat="1" x14ac:dyDescent="0.2"/>
    <row r="2436" s="38" customFormat="1" x14ac:dyDescent="0.2"/>
    <row r="2437" s="38" customFormat="1" x14ac:dyDescent="0.2"/>
    <row r="2438" s="38" customFormat="1" x14ac:dyDescent="0.2"/>
    <row r="2439" s="38" customFormat="1" x14ac:dyDescent="0.2"/>
    <row r="2440" s="38" customFormat="1" x14ac:dyDescent="0.2"/>
    <row r="2441" s="38" customFormat="1" x14ac:dyDescent="0.2"/>
    <row r="2442" s="38" customFormat="1" x14ac:dyDescent="0.2"/>
    <row r="2443" s="38" customFormat="1" x14ac:dyDescent="0.2"/>
    <row r="2444" s="38" customFormat="1" x14ac:dyDescent="0.2"/>
    <row r="2445" s="38" customFormat="1" x14ac:dyDescent="0.2"/>
    <row r="2446" s="38" customFormat="1" x14ac:dyDescent="0.2"/>
    <row r="2447" s="38" customFormat="1" x14ac:dyDescent="0.2"/>
    <row r="2448" s="38" customFormat="1" x14ac:dyDescent="0.2"/>
    <row r="2449" s="38" customFormat="1" x14ac:dyDescent="0.2"/>
    <row r="2450" s="38" customFormat="1" x14ac:dyDescent="0.2"/>
    <row r="2451" s="38" customFormat="1" x14ac:dyDescent="0.2"/>
    <row r="2452" s="38" customFormat="1" x14ac:dyDescent="0.2"/>
    <row r="2453" s="38" customFormat="1" x14ac:dyDescent="0.2"/>
    <row r="2454" s="38" customFormat="1" x14ac:dyDescent="0.2"/>
    <row r="2455" s="38" customFormat="1" x14ac:dyDescent="0.2"/>
    <row r="2456" s="38" customFormat="1" x14ac:dyDescent="0.2"/>
    <row r="2457" s="38" customFormat="1" x14ac:dyDescent="0.2"/>
    <row r="2458" s="38" customFormat="1" x14ac:dyDescent="0.2"/>
    <row r="2459" s="38" customFormat="1" x14ac:dyDescent="0.2"/>
    <row r="2460" s="38" customFormat="1" x14ac:dyDescent="0.2"/>
    <row r="2461" s="38" customFormat="1" x14ac:dyDescent="0.2"/>
    <row r="2462" s="38" customFormat="1" x14ac:dyDescent="0.2"/>
    <row r="2463" s="38" customFormat="1" x14ac:dyDescent="0.2"/>
    <row r="2464" s="38" customFormat="1" x14ac:dyDescent="0.2"/>
    <row r="2465" s="38" customFormat="1" x14ac:dyDescent="0.2"/>
    <row r="2466" s="38" customFormat="1" x14ac:dyDescent="0.2"/>
    <row r="2467" s="38" customFormat="1" x14ac:dyDescent="0.2"/>
    <row r="2468" s="38" customFormat="1" x14ac:dyDescent="0.2"/>
    <row r="2469" s="38" customFormat="1" x14ac:dyDescent="0.2"/>
    <row r="2470" s="38" customFormat="1" x14ac:dyDescent="0.2"/>
    <row r="2471" s="38" customFormat="1" x14ac:dyDescent="0.2"/>
    <row r="2472" s="38" customFormat="1" x14ac:dyDescent="0.2"/>
    <row r="2473" s="38" customFormat="1" x14ac:dyDescent="0.2"/>
    <row r="2474" s="38" customFormat="1" x14ac:dyDescent="0.2"/>
    <row r="2475" s="38" customFormat="1" x14ac:dyDescent="0.2"/>
    <row r="2476" s="38" customFormat="1" x14ac:dyDescent="0.2"/>
    <row r="2477" s="38" customFormat="1" x14ac:dyDescent="0.2"/>
    <row r="2478" s="38" customFormat="1" x14ac:dyDescent="0.2"/>
    <row r="2479" s="38" customFormat="1" x14ac:dyDescent="0.2"/>
    <row r="2480" s="38" customFormat="1" x14ac:dyDescent="0.2"/>
    <row r="2481" s="38" customFormat="1" x14ac:dyDescent="0.2"/>
    <row r="2482" s="38" customFormat="1" x14ac:dyDescent="0.2"/>
    <row r="2483" s="38" customFormat="1" x14ac:dyDescent="0.2"/>
    <row r="2484" s="38" customFormat="1" x14ac:dyDescent="0.2"/>
    <row r="2485" s="38" customFormat="1" x14ac:dyDescent="0.2"/>
    <row r="2486" s="38" customFormat="1" x14ac:dyDescent="0.2"/>
    <row r="2487" s="38" customFormat="1" x14ac:dyDescent="0.2"/>
    <row r="2488" s="38" customFormat="1" x14ac:dyDescent="0.2"/>
    <row r="2489" s="38" customFormat="1" x14ac:dyDescent="0.2"/>
    <row r="2490" s="38" customFormat="1" x14ac:dyDescent="0.2"/>
    <row r="2491" s="38" customFormat="1" x14ac:dyDescent="0.2"/>
    <row r="2492" s="38" customFormat="1" x14ac:dyDescent="0.2"/>
    <row r="2493" s="38" customFormat="1" x14ac:dyDescent="0.2"/>
    <row r="2494" s="38" customFormat="1" x14ac:dyDescent="0.2"/>
    <row r="2495" s="38" customFormat="1" x14ac:dyDescent="0.2"/>
    <row r="2496" s="38" customFormat="1" x14ac:dyDescent="0.2"/>
    <row r="2497" s="38" customFormat="1" x14ac:dyDescent="0.2"/>
    <row r="2498" s="38" customFormat="1" x14ac:dyDescent="0.2"/>
    <row r="2499" s="38" customFormat="1" x14ac:dyDescent="0.2"/>
    <row r="2500" s="38" customFormat="1" x14ac:dyDescent="0.2"/>
    <row r="2501" s="38" customFormat="1" x14ac:dyDescent="0.2"/>
    <row r="2502" s="38" customFormat="1" x14ac:dyDescent="0.2"/>
    <row r="2503" s="38" customFormat="1" x14ac:dyDescent="0.2"/>
    <row r="2504" s="38" customFormat="1" x14ac:dyDescent="0.2"/>
    <row r="2505" s="38" customFormat="1" x14ac:dyDescent="0.2"/>
    <row r="2506" s="38" customFormat="1" x14ac:dyDescent="0.2"/>
    <row r="2507" s="38" customFormat="1" x14ac:dyDescent="0.2"/>
    <row r="2508" s="38" customFormat="1" x14ac:dyDescent="0.2"/>
    <row r="2509" s="38" customFormat="1" x14ac:dyDescent="0.2"/>
    <row r="2510" s="38" customFormat="1" x14ac:dyDescent="0.2"/>
    <row r="2511" s="38" customFormat="1" x14ac:dyDescent="0.2"/>
    <row r="2512" s="38" customFormat="1" x14ac:dyDescent="0.2"/>
    <row r="2513" s="38" customFormat="1" x14ac:dyDescent="0.2"/>
    <row r="2514" s="38" customFormat="1" x14ac:dyDescent="0.2"/>
    <row r="2515" s="38" customFormat="1" x14ac:dyDescent="0.2"/>
    <row r="2516" s="38" customFormat="1" x14ac:dyDescent="0.2"/>
    <row r="2517" s="38" customFormat="1" x14ac:dyDescent="0.2"/>
    <row r="2518" s="38" customFormat="1" x14ac:dyDescent="0.2"/>
    <row r="2519" s="38" customFormat="1" x14ac:dyDescent="0.2"/>
    <row r="2520" s="38" customFormat="1" x14ac:dyDescent="0.2"/>
    <row r="2521" s="38" customFormat="1" x14ac:dyDescent="0.2"/>
    <row r="2522" s="38" customFormat="1" x14ac:dyDescent="0.2"/>
    <row r="2523" s="38" customFormat="1" x14ac:dyDescent="0.2"/>
    <row r="2524" s="38" customFormat="1" x14ac:dyDescent="0.2"/>
    <row r="2525" s="38" customFormat="1" x14ac:dyDescent="0.2"/>
    <row r="2526" s="38" customFormat="1" x14ac:dyDescent="0.2"/>
    <row r="2527" s="38" customFormat="1" x14ac:dyDescent="0.2"/>
    <row r="2528" s="38" customFormat="1" x14ac:dyDescent="0.2"/>
    <row r="2529" s="38" customFormat="1" x14ac:dyDescent="0.2"/>
    <row r="2530" s="38" customFormat="1" x14ac:dyDescent="0.2"/>
    <row r="2531" s="38" customFormat="1" x14ac:dyDescent="0.2"/>
    <row r="2532" s="38" customFormat="1" x14ac:dyDescent="0.2"/>
    <row r="2533" s="38" customFormat="1" x14ac:dyDescent="0.2"/>
    <row r="2534" s="38" customFormat="1" x14ac:dyDescent="0.2"/>
    <row r="2535" s="38" customFormat="1" x14ac:dyDescent="0.2"/>
    <row r="2536" s="38" customFormat="1" x14ac:dyDescent="0.2"/>
    <row r="2537" s="38" customFormat="1" x14ac:dyDescent="0.2"/>
    <row r="2538" s="38" customFormat="1" x14ac:dyDescent="0.2"/>
    <row r="2539" s="38" customFormat="1" x14ac:dyDescent="0.2"/>
    <row r="2540" s="38" customFormat="1" x14ac:dyDescent="0.2"/>
    <row r="2541" s="38" customFormat="1" x14ac:dyDescent="0.2"/>
    <row r="2542" s="38" customFormat="1" x14ac:dyDescent="0.2"/>
    <row r="2543" s="38" customFormat="1" x14ac:dyDescent="0.2"/>
    <row r="2544" s="38" customFormat="1" x14ac:dyDescent="0.2"/>
    <row r="2545" s="38" customFormat="1" x14ac:dyDescent="0.2"/>
    <row r="2546" s="38" customFormat="1" x14ac:dyDescent="0.2"/>
    <row r="2547" s="38" customFormat="1" x14ac:dyDescent="0.2"/>
    <row r="2548" s="38" customFormat="1" x14ac:dyDescent="0.2"/>
    <row r="2549" s="38" customFormat="1" x14ac:dyDescent="0.2"/>
    <row r="2550" s="38" customFormat="1" x14ac:dyDescent="0.2"/>
    <row r="2551" s="38" customFormat="1" x14ac:dyDescent="0.2"/>
    <row r="2552" s="38" customFormat="1" x14ac:dyDescent="0.2"/>
    <row r="2553" s="38" customFormat="1" x14ac:dyDescent="0.2"/>
    <row r="2554" s="38" customFormat="1" x14ac:dyDescent="0.2"/>
    <row r="2555" s="38" customFormat="1" x14ac:dyDescent="0.2"/>
    <row r="2556" s="38" customFormat="1" x14ac:dyDescent="0.2"/>
    <row r="2557" s="38" customFormat="1" x14ac:dyDescent="0.2"/>
    <row r="2558" s="38" customFormat="1" x14ac:dyDescent="0.2"/>
    <row r="2559" s="38" customFormat="1" x14ac:dyDescent="0.2"/>
    <row r="2560" s="38" customFormat="1" x14ac:dyDescent="0.2"/>
    <row r="2561" s="38" customFormat="1" x14ac:dyDescent="0.2"/>
    <row r="2562" s="38" customFormat="1" x14ac:dyDescent="0.2"/>
    <row r="2563" s="38" customFormat="1" x14ac:dyDescent="0.2"/>
    <row r="2564" s="38" customFormat="1" x14ac:dyDescent="0.2"/>
    <row r="2565" s="38" customFormat="1" x14ac:dyDescent="0.2"/>
    <row r="2566" s="38" customFormat="1" x14ac:dyDescent="0.2"/>
    <row r="2567" s="38" customFormat="1" x14ac:dyDescent="0.2"/>
    <row r="2568" s="38" customFormat="1" x14ac:dyDescent="0.2"/>
    <row r="2569" s="38" customFormat="1" x14ac:dyDescent="0.2"/>
    <row r="2570" s="38" customFormat="1" x14ac:dyDescent="0.2"/>
    <row r="2571" s="38" customFormat="1" x14ac:dyDescent="0.2"/>
    <row r="2572" s="38" customFormat="1" x14ac:dyDescent="0.2"/>
    <row r="2573" s="38" customFormat="1" x14ac:dyDescent="0.2"/>
    <row r="2574" s="38" customFormat="1" x14ac:dyDescent="0.2"/>
    <row r="2575" s="38" customFormat="1" x14ac:dyDescent="0.2"/>
    <row r="2576" s="38" customFormat="1" x14ac:dyDescent="0.2"/>
    <row r="2577" s="38" customFormat="1" x14ac:dyDescent="0.2"/>
    <row r="2578" s="38" customFormat="1" x14ac:dyDescent="0.2"/>
    <row r="2579" s="38" customFormat="1" x14ac:dyDescent="0.2"/>
    <row r="2580" s="38" customFormat="1" x14ac:dyDescent="0.2"/>
    <row r="2581" s="38" customFormat="1" x14ac:dyDescent="0.2"/>
    <row r="2582" s="38" customFormat="1" x14ac:dyDescent="0.2"/>
    <row r="2583" s="38" customFormat="1" x14ac:dyDescent="0.2"/>
    <row r="2584" s="38" customFormat="1" x14ac:dyDescent="0.2"/>
    <row r="2585" s="38" customFormat="1" x14ac:dyDescent="0.2"/>
    <row r="2586" s="38" customFormat="1" x14ac:dyDescent="0.2"/>
    <row r="2587" s="38" customFormat="1" x14ac:dyDescent="0.2"/>
    <row r="2588" s="38" customFormat="1" x14ac:dyDescent="0.2"/>
    <row r="2589" s="38" customFormat="1" x14ac:dyDescent="0.2"/>
    <row r="2590" s="38" customFormat="1" x14ac:dyDescent="0.2"/>
    <row r="2591" s="38" customFormat="1" x14ac:dyDescent="0.2"/>
    <row r="2592" s="38" customFormat="1" x14ac:dyDescent="0.2"/>
    <row r="2593" s="38" customFormat="1" x14ac:dyDescent="0.2"/>
    <row r="2594" s="38" customFormat="1" x14ac:dyDescent="0.2"/>
    <row r="2595" s="38" customFormat="1" x14ac:dyDescent="0.2"/>
    <row r="2596" s="38" customFormat="1" x14ac:dyDescent="0.2"/>
    <row r="2597" s="38" customFormat="1" x14ac:dyDescent="0.2"/>
    <row r="2598" s="38" customFormat="1" x14ac:dyDescent="0.2"/>
    <row r="2599" s="38" customFormat="1" x14ac:dyDescent="0.2"/>
    <row r="2600" s="38" customFormat="1" x14ac:dyDescent="0.2"/>
    <row r="2601" s="38" customFormat="1" x14ac:dyDescent="0.2"/>
    <row r="2602" s="38" customFormat="1" x14ac:dyDescent="0.2"/>
    <row r="2603" s="38" customFormat="1" x14ac:dyDescent="0.2"/>
    <row r="2604" s="38" customFormat="1" x14ac:dyDescent="0.2"/>
    <row r="2605" s="38" customFormat="1" x14ac:dyDescent="0.2"/>
    <row r="2606" s="38" customFormat="1" x14ac:dyDescent="0.2"/>
    <row r="2607" s="38" customFormat="1" x14ac:dyDescent="0.2"/>
    <row r="2608" s="38" customFormat="1" x14ac:dyDescent="0.2"/>
    <row r="2609" s="38" customFormat="1" x14ac:dyDescent="0.2"/>
    <row r="2610" s="38" customFormat="1" x14ac:dyDescent="0.2"/>
    <row r="2611" s="38" customFormat="1" x14ac:dyDescent="0.2"/>
    <row r="2612" s="38" customFormat="1" x14ac:dyDescent="0.2"/>
    <row r="2613" s="38" customFormat="1" x14ac:dyDescent="0.2"/>
    <row r="2614" s="38" customFormat="1" x14ac:dyDescent="0.2"/>
    <row r="2615" s="38" customFormat="1" x14ac:dyDescent="0.2"/>
    <row r="2616" s="38" customFormat="1" x14ac:dyDescent="0.2"/>
    <row r="2617" s="38" customFormat="1" x14ac:dyDescent="0.2"/>
    <row r="2618" s="38" customFormat="1" x14ac:dyDescent="0.2"/>
    <row r="2619" s="38" customFormat="1" x14ac:dyDescent="0.2"/>
    <row r="2620" s="38" customFormat="1" x14ac:dyDescent="0.2"/>
    <row r="2621" s="38" customFormat="1" x14ac:dyDescent="0.2"/>
    <row r="2622" s="38" customFormat="1" x14ac:dyDescent="0.2"/>
    <row r="2623" s="38" customFormat="1" x14ac:dyDescent="0.2"/>
    <row r="2624" s="38" customFormat="1" x14ac:dyDescent="0.2"/>
    <row r="2625" s="38" customFormat="1" x14ac:dyDescent="0.2"/>
    <row r="2626" s="38" customFormat="1" x14ac:dyDescent="0.2"/>
    <row r="2627" s="38" customFormat="1" x14ac:dyDescent="0.2"/>
    <row r="2628" s="38" customFormat="1" x14ac:dyDescent="0.2"/>
    <row r="2629" s="38" customFormat="1" x14ac:dyDescent="0.2"/>
    <row r="2630" s="38" customFormat="1" x14ac:dyDescent="0.2"/>
    <row r="2631" s="38" customFormat="1" x14ac:dyDescent="0.2"/>
    <row r="2632" s="38" customFormat="1" x14ac:dyDescent="0.2"/>
    <row r="2633" s="38" customFormat="1" x14ac:dyDescent="0.2"/>
    <row r="2634" s="38" customFormat="1" x14ac:dyDescent="0.2"/>
    <row r="2635" s="38" customFormat="1" x14ac:dyDescent="0.2"/>
    <row r="2636" s="38" customFormat="1" x14ac:dyDescent="0.2"/>
    <row r="2637" s="38" customFormat="1" x14ac:dyDescent="0.2"/>
    <row r="2638" s="38" customFormat="1" x14ac:dyDescent="0.2"/>
    <row r="2639" s="38" customFormat="1" x14ac:dyDescent="0.2"/>
    <row r="2640" s="38" customFormat="1" x14ac:dyDescent="0.2"/>
    <row r="2641" s="38" customFormat="1" x14ac:dyDescent="0.2"/>
    <row r="2642" s="38" customFormat="1" x14ac:dyDescent="0.2"/>
    <row r="2643" s="38" customFormat="1" x14ac:dyDescent="0.2"/>
    <row r="2644" s="38" customFormat="1" x14ac:dyDescent="0.2"/>
    <row r="2645" s="38" customFormat="1" x14ac:dyDescent="0.2"/>
    <row r="2646" s="38" customFormat="1" x14ac:dyDescent="0.2"/>
    <row r="2647" s="38" customFormat="1" x14ac:dyDescent="0.2"/>
    <row r="2648" s="38" customFormat="1" x14ac:dyDescent="0.2"/>
    <row r="2649" s="38" customFormat="1" x14ac:dyDescent="0.2"/>
    <row r="2650" s="38" customFormat="1" x14ac:dyDescent="0.2"/>
    <row r="2651" s="38" customFormat="1" x14ac:dyDescent="0.2"/>
    <row r="2652" s="38" customFormat="1" x14ac:dyDescent="0.2"/>
    <row r="2653" s="38" customFormat="1" x14ac:dyDescent="0.2"/>
    <row r="2654" s="38" customFormat="1" x14ac:dyDescent="0.2"/>
    <row r="2655" s="38" customFormat="1" x14ac:dyDescent="0.2"/>
    <row r="2656" s="38" customFormat="1" x14ac:dyDescent="0.2"/>
    <row r="2657" s="38" customFormat="1" x14ac:dyDescent="0.2"/>
    <row r="2658" s="38" customFormat="1" x14ac:dyDescent="0.2"/>
    <row r="2659" s="38" customFormat="1" x14ac:dyDescent="0.2"/>
    <row r="2660" s="38" customFormat="1" x14ac:dyDescent="0.2"/>
    <row r="2661" s="38" customFormat="1" x14ac:dyDescent="0.2"/>
    <row r="2662" s="38" customFormat="1" x14ac:dyDescent="0.2"/>
    <row r="2663" s="38" customFormat="1" x14ac:dyDescent="0.2"/>
    <row r="2664" s="38" customFormat="1" x14ac:dyDescent="0.2"/>
    <row r="2665" s="38" customFormat="1" x14ac:dyDescent="0.2"/>
    <row r="2666" s="38" customFormat="1" x14ac:dyDescent="0.2"/>
    <row r="2667" s="38" customFormat="1" x14ac:dyDescent="0.2"/>
    <row r="2668" s="38" customFormat="1" x14ac:dyDescent="0.2"/>
    <row r="2669" s="38" customFormat="1" x14ac:dyDescent="0.2"/>
    <row r="2670" s="38" customFormat="1" x14ac:dyDescent="0.2"/>
    <row r="2671" s="38" customFormat="1" x14ac:dyDescent="0.2"/>
    <row r="2672" s="38" customFormat="1" x14ac:dyDescent="0.2"/>
    <row r="2673" s="38" customFormat="1" x14ac:dyDescent="0.2"/>
    <row r="2674" s="38" customFormat="1" x14ac:dyDescent="0.2"/>
    <row r="2675" s="38" customFormat="1" x14ac:dyDescent="0.2"/>
    <row r="2676" s="38" customFormat="1" x14ac:dyDescent="0.2"/>
    <row r="2677" s="38" customFormat="1" x14ac:dyDescent="0.2"/>
    <row r="2678" s="38" customFormat="1" x14ac:dyDescent="0.2"/>
    <row r="2679" s="38" customFormat="1" x14ac:dyDescent="0.2"/>
    <row r="2680" s="38" customFormat="1" x14ac:dyDescent="0.2"/>
    <row r="2681" s="38" customFormat="1" x14ac:dyDescent="0.2"/>
    <row r="2682" s="38" customFormat="1" x14ac:dyDescent="0.2"/>
    <row r="2683" s="38" customFormat="1" x14ac:dyDescent="0.2"/>
    <row r="2684" s="38" customFormat="1" x14ac:dyDescent="0.2"/>
    <row r="2685" s="38" customFormat="1" x14ac:dyDescent="0.2"/>
    <row r="2686" s="38" customFormat="1" x14ac:dyDescent="0.2"/>
    <row r="2687" s="38" customFormat="1" x14ac:dyDescent="0.2"/>
    <row r="2688" s="38" customFormat="1" x14ac:dyDescent="0.2"/>
    <row r="2689" s="38" customFormat="1" x14ac:dyDescent="0.2"/>
    <row r="2690" s="38" customFormat="1" x14ac:dyDescent="0.2"/>
    <row r="2691" s="38" customFormat="1" x14ac:dyDescent="0.2"/>
    <row r="2692" s="38" customFormat="1" x14ac:dyDescent="0.2"/>
    <row r="2693" s="38" customFormat="1" x14ac:dyDescent="0.2"/>
    <row r="2694" s="38" customFormat="1" x14ac:dyDescent="0.2"/>
    <row r="2695" s="38" customFormat="1" x14ac:dyDescent="0.2"/>
    <row r="2696" s="38" customFormat="1" x14ac:dyDescent="0.2"/>
    <row r="2697" s="38" customFormat="1" x14ac:dyDescent="0.2"/>
    <row r="2698" s="38" customFormat="1" x14ac:dyDescent="0.2"/>
    <row r="2699" s="38" customFormat="1" x14ac:dyDescent="0.2"/>
    <row r="2700" s="38" customFormat="1" x14ac:dyDescent="0.2"/>
    <row r="2701" s="38" customFormat="1" x14ac:dyDescent="0.2"/>
    <row r="2702" s="38" customFormat="1" x14ac:dyDescent="0.2"/>
    <row r="2703" s="38" customFormat="1" x14ac:dyDescent="0.2"/>
    <row r="2704" s="38" customFormat="1" x14ac:dyDescent="0.2"/>
    <row r="2705" s="38" customFormat="1" x14ac:dyDescent="0.2"/>
    <row r="2706" s="38" customFormat="1" x14ac:dyDescent="0.2"/>
    <row r="2707" s="38" customFormat="1" x14ac:dyDescent="0.2"/>
    <row r="2708" s="38" customFormat="1" x14ac:dyDescent="0.2"/>
    <row r="2709" s="38" customFormat="1" x14ac:dyDescent="0.2"/>
    <row r="2710" s="38" customFormat="1" x14ac:dyDescent="0.2"/>
    <row r="2711" s="38" customFormat="1" x14ac:dyDescent="0.2"/>
    <row r="2712" s="38" customFormat="1" x14ac:dyDescent="0.2"/>
    <row r="2713" s="38" customFormat="1" x14ac:dyDescent="0.2"/>
    <row r="2714" s="38" customFormat="1" x14ac:dyDescent="0.2"/>
    <row r="2715" s="38" customFormat="1" x14ac:dyDescent="0.2"/>
    <row r="2716" s="38" customFormat="1" x14ac:dyDescent="0.2"/>
    <row r="2717" s="38" customFormat="1" x14ac:dyDescent="0.2"/>
    <row r="2718" s="38" customFormat="1" x14ac:dyDescent="0.2"/>
    <row r="2719" s="38" customFormat="1" x14ac:dyDescent="0.2"/>
    <row r="2720" s="38" customFormat="1" x14ac:dyDescent="0.2"/>
    <row r="2721" s="38" customFormat="1" x14ac:dyDescent="0.2"/>
    <row r="2722" s="38" customFormat="1" x14ac:dyDescent="0.2"/>
    <row r="2723" s="38" customFormat="1" x14ac:dyDescent="0.2"/>
    <row r="2724" s="38" customFormat="1" x14ac:dyDescent="0.2"/>
    <row r="2725" s="38" customFormat="1" x14ac:dyDescent="0.2"/>
    <row r="2726" s="38" customFormat="1" x14ac:dyDescent="0.2"/>
    <row r="2727" s="38" customFormat="1" x14ac:dyDescent="0.2"/>
    <row r="2728" s="38" customFormat="1" x14ac:dyDescent="0.2"/>
    <row r="2729" s="38" customFormat="1" x14ac:dyDescent="0.2"/>
    <row r="2730" s="38" customFormat="1" x14ac:dyDescent="0.2"/>
    <row r="2731" s="38" customFormat="1" x14ac:dyDescent="0.2"/>
    <row r="2732" s="38" customFormat="1" x14ac:dyDescent="0.2"/>
    <row r="2733" s="38" customFormat="1" x14ac:dyDescent="0.2"/>
    <row r="2734" s="38" customFormat="1" x14ac:dyDescent="0.2"/>
    <row r="2735" s="38" customFormat="1" x14ac:dyDescent="0.2"/>
    <row r="2736" s="38" customFormat="1" x14ac:dyDescent="0.2"/>
    <row r="2737" s="38" customFormat="1" x14ac:dyDescent="0.2"/>
    <row r="2738" s="38" customFormat="1" x14ac:dyDescent="0.2"/>
    <row r="2739" s="38" customFormat="1" x14ac:dyDescent="0.2"/>
    <row r="2740" s="38" customFormat="1" x14ac:dyDescent="0.2"/>
    <row r="2741" s="38" customFormat="1" x14ac:dyDescent="0.2"/>
    <row r="2742" s="38" customFormat="1" x14ac:dyDescent="0.2"/>
    <row r="2743" s="38" customFormat="1" x14ac:dyDescent="0.2"/>
    <row r="2744" s="38" customFormat="1" x14ac:dyDescent="0.2"/>
    <row r="2745" s="38" customFormat="1" x14ac:dyDescent="0.2"/>
    <row r="2746" s="38" customFormat="1" x14ac:dyDescent="0.2"/>
    <row r="2747" s="38" customFormat="1" x14ac:dyDescent="0.2"/>
    <row r="2748" s="38" customFormat="1" x14ac:dyDescent="0.2"/>
    <row r="2749" s="38" customFormat="1" x14ac:dyDescent="0.2"/>
    <row r="2750" s="38" customFormat="1" x14ac:dyDescent="0.2"/>
    <row r="2751" s="38" customFormat="1" x14ac:dyDescent="0.2"/>
    <row r="2752" s="38" customFormat="1" x14ac:dyDescent="0.2"/>
    <row r="2753" s="38" customFormat="1" x14ac:dyDescent="0.2"/>
    <row r="2754" s="38" customFormat="1" x14ac:dyDescent="0.2"/>
    <row r="2755" s="38" customFormat="1" x14ac:dyDescent="0.2"/>
    <row r="2756" s="38" customFormat="1" x14ac:dyDescent="0.2"/>
    <row r="2757" s="38" customFormat="1" x14ac:dyDescent="0.2"/>
    <row r="2758" s="38" customFormat="1" x14ac:dyDescent="0.2"/>
    <row r="2759" s="38" customFormat="1" x14ac:dyDescent="0.2"/>
    <row r="2760" s="38" customFormat="1" x14ac:dyDescent="0.2"/>
    <row r="2761" s="38" customFormat="1" x14ac:dyDescent="0.2"/>
    <row r="2762" s="38" customFormat="1" x14ac:dyDescent="0.2"/>
    <row r="2763" s="38" customFormat="1" x14ac:dyDescent="0.2"/>
    <row r="2764" s="38" customFormat="1" x14ac:dyDescent="0.2"/>
    <row r="2765" s="38" customFormat="1" x14ac:dyDescent="0.2"/>
    <row r="2766" s="38" customFormat="1" x14ac:dyDescent="0.2"/>
    <row r="2767" s="38" customFormat="1" x14ac:dyDescent="0.2"/>
    <row r="2768" s="38" customFormat="1" x14ac:dyDescent="0.2"/>
    <row r="2769" s="38" customFormat="1" x14ac:dyDescent="0.2"/>
    <row r="2770" s="38" customFormat="1" x14ac:dyDescent="0.2"/>
    <row r="2771" s="38" customFormat="1" x14ac:dyDescent="0.2"/>
    <row r="2772" s="38" customFormat="1" x14ac:dyDescent="0.2"/>
    <row r="2773" s="38" customFormat="1" x14ac:dyDescent="0.2"/>
    <row r="2774" s="38" customFormat="1" x14ac:dyDescent="0.2"/>
    <row r="2775" s="38" customFormat="1" x14ac:dyDescent="0.2"/>
    <row r="2776" s="38" customFormat="1" x14ac:dyDescent="0.2"/>
    <row r="2777" s="38" customFormat="1" x14ac:dyDescent="0.2"/>
    <row r="2778" s="38" customFormat="1" x14ac:dyDescent="0.2"/>
    <row r="2779" s="38" customFormat="1" x14ac:dyDescent="0.2"/>
    <row r="2780" s="38" customFormat="1" x14ac:dyDescent="0.2"/>
    <row r="2781" s="38" customFormat="1" x14ac:dyDescent="0.2"/>
    <row r="2782" s="38" customFormat="1" x14ac:dyDescent="0.2"/>
    <row r="2783" s="38" customFormat="1" x14ac:dyDescent="0.2"/>
    <row r="2784" s="38" customFormat="1" x14ac:dyDescent="0.2"/>
    <row r="2785" s="38" customFormat="1" x14ac:dyDescent="0.2"/>
    <row r="2786" s="38" customFormat="1" x14ac:dyDescent="0.2"/>
    <row r="2787" s="38" customFormat="1" x14ac:dyDescent="0.2"/>
    <row r="2788" s="38" customFormat="1" x14ac:dyDescent="0.2"/>
    <row r="2789" s="38" customFormat="1" x14ac:dyDescent="0.2"/>
    <row r="2790" s="38" customFormat="1" x14ac:dyDescent="0.2"/>
    <row r="2791" s="38" customFormat="1" x14ac:dyDescent="0.2"/>
    <row r="2792" s="38" customFormat="1" x14ac:dyDescent="0.2"/>
    <row r="2793" s="38" customFormat="1" x14ac:dyDescent="0.2"/>
    <row r="2794" s="38" customFormat="1" x14ac:dyDescent="0.2"/>
    <row r="2795" s="38" customFormat="1" x14ac:dyDescent="0.2"/>
    <row r="2796" s="38" customFormat="1" x14ac:dyDescent="0.2"/>
    <row r="2797" s="38" customFormat="1" x14ac:dyDescent="0.2"/>
    <row r="2798" s="38" customFormat="1" x14ac:dyDescent="0.2"/>
    <row r="2799" s="38" customFormat="1" x14ac:dyDescent="0.2"/>
    <row r="2800" s="38" customFormat="1" x14ac:dyDescent="0.2"/>
    <row r="2801" s="38" customFormat="1" x14ac:dyDescent="0.2"/>
    <row r="2802" s="38" customFormat="1" x14ac:dyDescent="0.2"/>
    <row r="2803" s="38" customFormat="1" x14ac:dyDescent="0.2"/>
    <row r="2804" s="38" customFormat="1" x14ac:dyDescent="0.2"/>
    <row r="2805" s="38" customFormat="1" x14ac:dyDescent="0.2"/>
    <row r="2806" s="38" customFormat="1" x14ac:dyDescent="0.2"/>
    <row r="2807" s="38" customFormat="1" x14ac:dyDescent="0.2"/>
    <row r="2808" s="38" customFormat="1" x14ac:dyDescent="0.2"/>
    <row r="2809" s="38" customFormat="1" x14ac:dyDescent="0.2"/>
    <row r="2810" s="38" customFormat="1" x14ac:dyDescent="0.2"/>
    <row r="2811" s="38" customFormat="1" x14ac:dyDescent="0.2"/>
    <row r="2812" s="38" customFormat="1" x14ac:dyDescent="0.2"/>
    <row r="2813" s="38" customFormat="1" x14ac:dyDescent="0.2"/>
    <row r="2814" s="38" customFormat="1" x14ac:dyDescent="0.2"/>
    <row r="2815" s="38" customFormat="1" x14ac:dyDescent="0.2"/>
    <row r="2816" s="38" customFormat="1" x14ac:dyDescent="0.2"/>
    <row r="2817" s="38" customFormat="1" x14ac:dyDescent="0.2"/>
    <row r="2818" s="38" customFormat="1" x14ac:dyDescent="0.2"/>
    <row r="2819" s="38" customFormat="1" x14ac:dyDescent="0.2"/>
    <row r="2820" s="38" customFormat="1" x14ac:dyDescent="0.2"/>
    <row r="2821" s="38" customFormat="1" x14ac:dyDescent="0.2"/>
    <row r="2822" s="38" customFormat="1" x14ac:dyDescent="0.2"/>
    <row r="2823" s="38" customFormat="1" x14ac:dyDescent="0.2"/>
    <row r="2824" s="38" customFormat="1" x14ac:dyDescent="0.2"/>
    <row r="2825" s="38" customFormat="1" x14ac:dyDescent="0.2"/>
    <row r="2826" s="38" customFormat="1" x14ac:dyDescent="0.2"/>
    <row r="2827" s="38" customFormat="1" x14ac:dyDescent="0.2"/>
    <row r="2828" s="38" customFormat="1" x14ac:dyDescent="0.2"/>
    <row r="2829" s="38" customFormat="1" x14ac:dyDescent="0.2"/>
    <row r="2830" s="38" customFormat="1" x14ac:dyDescent="0.2"/>
    <row r="2831" s="38" customFormat="1" x14ac:dyDescent="0.2"/>
    <row r="2832" s="38" customFormat="1" x14ac:dyDescent="0.2"/>
    <row r="2833" s="38" customFormat="1" x14ac:dyDescent="0.2"/>
    <row r="2834" s="38" customFormat="1" x14ac:dyDescent="0.2"/>
    <row r="2835" s="38" customFormat="1" x14ac:dyDescent="0.2"/>
    <row r="2836" s="38" customFormat="1" x14ac:dyDescent="0.2"/>
    <row r="2837" s="38" customFormat="1" x14ac:dyDescent="0.2"/>
    <row r="2838" s="38" customFormat="1" x14ac:dyDescent="0.2"/>
    <row r="2839" s="38" customFormat="1" x14ac:dyDescent="0.2"/>
    <row r="2840" s="38" customFormat="1" x14ac:dyDescent="0.2"/>
    <row r="2841" s="38" customFormat="1" x14ac:dyDescent="0.2"/>
    <row r="2842" s="38" customFormat="1" x14ac:dyDescent="0.2"/>
    <row r="2843" s="38" customFormat="1" x14ac:dyDescent="0.2"/>
    <row r="2844" s="38" customFormat="1" x14ac:dyDescent="0.2"/>
    <row r="2845" s="38" customFormat="1" x14ac:dyDescent="0.2"/>
    <row r="2846" s="38" customFormat="1" x14ac:dyDescent="0.2"/>
    <row r="2847" s="38" customFormat="1" x14ac:dyDescent="0.2"/>
    <row r="2848" s="38" customFormat="1" x14ac:dyDescent="0.2"/>
    <row r="2849" s="38" customFormat="1" x14ac:dyDescent="0.2"/>
    <row r="2850" s="38" customFormat="1" x14ac:dyDescent="0.2"/>
    <row r="2851" s="38" customFormat="1" x14ac:dyDescent="0.2"/>
    <row r="2852" s="38" customFormat="1" x14ac:dyDescent="0.2"/>
    <row r="2853" s="38" customFormat="1" x14ac:dyDescent="0.2"/>
    <row r="2854" s="38" customFormat="1" x14ac:dyDescent="0.2"/>
    <row r="2855" s="38" customFormat="1" x14ac:dyDescent="0.2"/>
    <row r="2856" s="38" customFormat="1" x14ac:dyDescent="0.2"/>
    <row r="2857" s="38" customFormat="1" x14ac:dyDescent="0.2"/>
    <row r="2858" s="38" customFormat="1" x14ac:dyDescent="0.2"/>
    <row r="2859" s="38" customFormat="1" x14ac:dyDescent="0.2"/>
    <row r="2860" s="38" customFormat="1" x14ac:dyDescent="0.2"/>
    <row r="2861" s="38" customFormat="1" x14ac:dyDescent="0.2"/>
    <row r="2862" s="38" customFormat="1" x14ac:dyDescent="0.2"/>
    <row r="2863" s="38" customFormat="1" x14ac:dyDescent="0.2"/>
    <row r="2864" s="38" customFormat="1" x14ac:dyDescent="0.2"/>
    <row r="2865" s="38" customFormat="1" x14ac:dyDescent="0.2"/>
    <row r="2866" s="38" customFormat="1" x14ac:dyDescent="0.2"/>
    <row r="2867" s="38" customFormat="1" x14ac:dyDescent="0.2"/>
    <row r="2868" s="38" customFormat="1" x14ac:dyDescent="0.2"/>
    <row r="2869" s="38" customFormat="1" x14ac:dyDescent="0.2"/>
    <row r="2870" s="38" customFormat="1" x14ac:dyDescent="0.2"/>
    <row r="2871" s="38" customFormat="1" x14ac:dyDescent="0.2"/>
    <row r="2872" s="38" customFormat="1" x14ac:dyDescent="0.2"/>
    <row r="2873" s="38" customFormat="1" x14ac:dyDescent="0.2"/>
    <row r="2874" s="38" customFormat="1" x14ac:dyDescent="0.2"/>
    <row r="2875" s="38" customFormat="1" x14ac:dyDescent="0.2"/>
    <row r="2876" s="38" customFormat="1" x14ac:dyDescent="0.2"/>
    <row r="2877" s="38" customFormat="1" x14ac:dyDescent="0.2"/>
    <row r="2878" s="38" customFormat="1" x14ac:dyDescent="0.2"/>
    <row r="2879" s="38" customFormat="1" x14ac:dyDescent="0.2"/>
    <row r="2880" s="38" customFormat="1" x14ac:dyDescent="0.2"/>
    <row r="2881" s="38" customFormat="1" x14ac:dyDescent="0.2"/>
    <row r="2882" s="38" customFormat="1" x14ac:dyDescent="0.2"/>
    <row r="2883" s="38" customFormat="1" x14ac:dyDescent="0.2"/>
    <row r="2884" s="38" customFormat="1" x14ac:dyDescent="0.2"/>
    <row r="2885" s="38" customFormat="1" x14ac:dyDescent="0.2"/>
    <row r="2886" s="38" customFormat="1" x14ac:dyDescent="0.2"/>
    <row r="2887" s="38" customFormat="1" x14ac:dyDescent="0.2"/>
    <row r="2888" s="38" customFormat="1" x14ac:dyDescent="0.2"/>
    <row r="2889" s="38" customFormat="1" x14ac:dyDescent="0.2"/>
    <row r="2890" s="38" customFormat="1" x14ac:dyDescent="0.2"/>
    <row r="2891" s="38" customFormat="1" x14ac:dyDescent="0.2"/>
    <row r="2892" s="38" customFormat="1" x14ac:dyDescent="0.2"/>
    <row r="2893" s="38" customFormat="1" x14ac:dyDescent="0.2"/>
    <row r="2894" s="38" customFormat="1" x14ac:dyDescent="0.2"/>
    <row r="2895" s="38" customFormat="1" x14ac:dyDescent="0.2"/>
    <row r="2896" s="38" customFormat="1" x14ac:dyDescent="0.2"/>
    <row r="2897" s="38" customFormat="1" x14ac:dyDescent="0.2"/>
    <row r="2898" s="38" customFormat="1" x14ac:dyDescent="0.2"/>
    <row r="2899" s="38" customFormat="1" x14ac:dyDescent="0.2"/>
    <row r="2900" s="38" customFormat="1" x14ac:dyDescent="0.2"/>
    <row r="2901" s="38" customFormat="1" x14ac:dyDescent="0.2"/>
    <row r="2902" s="38" customFormat="1" x14ac:dyDescent="0.2"/>
    <row r="2903" s="38" customFormat="1" x14ac:dyDescent="0.2"/>
    <row r="2904" s="38" customFormat="1" x14ac:dyDescent="0.2"/>
    <row r="2905" s="38" customFormat="1" x14ac:dyDescent="0.2"/>
    <row r="2906" s="38" customFormat="1" x14ac:dyDescent="0.2"/>
    <row r="2907" s="38" customFormat="1" x14ac:dyDescent="0.2"/>
    <row r="2908" s="38" customFormat="1" x14ac:dyDescent="0.2"/>
    <row r="2909" s="38" customFormat="1" x14ac:dyDescent="0.2"/>
    <row r="2910" s="38" customFormat="1" x14ac:dyDescent="0.2"/>
    <row r="2911" s="38" customFormat="1" x14ac:dyDescent="0.2"/>
    <row r="2912" s="38" customFormat="1" x14ac:dyDescent="0.2"/>
    <row r="2913" s="38" customFormat="1" x14ac:dyDescent="0.2"/>
    <row r="2914" s="38" customFormat="1" x14ac:dyDescent="0.2"/>
    <row r="2915" s="38" customFormat="1" x14ac:dyDescent="0.2"/>
    <row r="2916" s="38" customFormat="1" x14ac:dyDescent="0.2"/>
    <row r="2917" s="38" customFormat="1" x14ac:dyDescent="0.2"/>
    <row r="2918" s="38" customFormat="1" x14ac:dyDescent="0.2"/>
    <row r="2919" s="38" customFormat="1" x14ac:dyDescent="0.2"/>
    <row r="2920" s="38" customFormat="1" x14ac:dyDescent="0.2"/>
    <row r="2921" s="38" customFormat="1" x14ac:dyDescent="0.2"/>
    <row r="2922" s="38" customFormat="1" x14ac:dyDescent="0.2"/>
    <row r="2923" s="38" customFormat="1" x14ac:dyDescent="0.2"/>
    <row r="2924" s="38" customFormat="1" x14ac:dyDescent="0.2"/>
    <row r="2925" s="38" customFormat="1" x14ac:dyDescent="0.2"/>
    <row r="2926" s="38" customFormat="1" x14ac:dyDescent="0.2"/>
    <row r="2927" s="38" customFormat="1" x14ac:dyDescent="0.2"/>
    <row r="2928" s="38" customFormat="1" x14ac:dyDescent="0.2"/>
    <row r="2929" s="38" customFormat="1" x14ac:dyDescent="0.2"/>
    <row r="2930" s="38" customFormat="1" x14ac:dyDescent="0.2"/>
    <row r="2931" s="38" customFormat="1" x14ac:dyDescent="0.2"/>
    <row r="2932" s="38" customFormat="1" x14ac:dyDescent="0.2"/>
    <row r="2933" s="38" customFormat="1" x14ac:dyDescent="0.2"/>
    <row r="2934" s="38" customFormat="1" x14ac:dyDescent="0.2"/>
    <row r="2935" s="38" customFormat="1" x14ac:dyDescent="0.2"/>
    <row r="2936" s="38" customFormat="1" x14ac:dyDescent="0.2"/>
    <row r="2937" s="38" customFormat="1" x14ac:dyDescent="0.2"/>
    <row r="2938" s="38" customFormat="1" x14ac:dyDescent="0.2"/>
    <row r="2939" s="38" customFormat="1" x14ac:dyDescent="0.2"/>
    <row r="2940" s="38" customFormat="1" x14ac:dyDescent="0.2"/>
    <row r="2941" s="38" customFormat="1" x14ac:dyDescent="0.2"/>
    <row r="2942" s="38" customFormat="1" x14ac:dyDescent="0.2"/>
    <row r="2943" s="38" customFormat="1" x14ac:dyDescent="0.2"/>
    <row r="2944" s="38" customFormat="1" x14ac:dyDescent="0.2"/>
    <row r="2945" s="38" customFormat="1" x14ac:dyDescent="0.2"/>
    <row r="2946" s="38" customFormat="1" x14ac:dyDescent="0.2"/>
    <row r="2947" s="38" customFormat="1" x14ac:dyDescent="0.2"/>
    <row r="2948" s="38" customFormat="1" x14ac:dyDescent="0.2"/>
    <row r="2949" s="38" customFormat="1" x14ac:dyDescent="0.2"/>
    <row r="2950" s="38" customFormat="1" x14ac:dyDescent="0.2"/>
    <row r="2951" s="38" customFormat="1" x14ac:dyDescent="0.2"/>
    <row r="2952" s="38" customFormat="1" x14ac:dyDescent="0.2"/>
    <row r="2953" s="38" customFormat="1" x14ac:dyDescent="0.2"/>
    <row r="2954" s="38" customFormat="1" x14ac:dyDescent="0.2"/>
    <row r="2955" s="38" customFormat="1" x14ac:dyDescent="0.2"/>
    <row r="2956" s="38" customFormat="1" x14ac:dyDescent="0.2"/>
    <row r="2957" s="38" customFormat="1" x14ac:dyDescent="0.2"/>
    <row r="2958" s="38" customFormat="1" x14ac:dyDescent="0.2"/>
    <row r="2959" s="38" customFormat="1" x14ac:dyDescent="0.2"/>
    <row r="2960" s="38" customFormat="1" x14ac:dyDescent="0.2"/>
    <row r="2961" s="38" customFormat="1" x14ac:dyDescent="0.2"/>
    <row r="2962" s="38" customFormat="1" x14ac:dyDescent="0.2"/>
    <row r="2963" s="38" customFormat="1" x14ac:dyDescent="0.2"/>
    <row r="2964" s="38" customFormat="1" x14ac:dyDescent="0.2"/>
    <row r="2965" s="38" customFormat="1" x14ac:dyDescent="0.2"/>
    <row r="2966" s="38" customFormat="1" x14ac:dyDescent="0.2"/>
    <row r="2967" s="38" customFormat="1" x14ac:dyDescent="0.2"/>
    <row r="2968" s="38" customFormat="1" x14ac:dyDescent="0.2"/>
    <row r="2969" s="38" customFormat="1" x14ac:dyDescent="0.2"/>
    <row r="2970" s="38" customFormat="1" x14ac:dyDescent="0.2"/>
    <row r="2971" s="38" customFormat="1" x14ac:dyDescent="0.2"/>
    <row r="2972" s="38" customFormat="1" x14ac:dyDescent="0.2"/>
    <row r="2973" s="38" customFormat="1" x14ac:dyDescent="0.2"/>
    <row r="2974" s="38" customFormat="1" x14ac:dyDescent="0.2"/>
    <row r="2975" s="38" customFormat="1" x14ac:dyDescent="0.2"/>
    <row r="2976" s="38" customFormat="1" x14ac:dyDescent="0.2"/>
    <row r="2977" s="38" customFormat="1" x14ac:dyDescent="0.2"/>
    <row r="2978" s="38" customFormat="1" x14ac:dyDescent="0.2"/>
    <row r="2979" s="38" customFormat="1" x14ac:dyDescent="0.2"/>
    <row r="2980" s="38" customFormat="1" x14ac:dyDescent="0.2"/>
    <row r="2981" s="38" customFormat="1" x14ac:dyDescent="0.2"/>
    <row r="2982" s="38" customFormat="1" x14ac:dyDescent="0.2"/>
    <row r="2983" s="38" customFormat="1" x14ac:dyDescent="0.2"/>
    <row r="2984" s="38" customFormat="1" x14ac:dyDescent="0.2"/>
    <row r="2985" s="38" customFormat="1" x14ac:dyDescent="0.2"/>
    <row r="2986" s="38" customFormat="1" x14ac:dyDescent="0.2"/>
    <row r="2987" s="38" customFormat="1" x14ac:dyDescent="0.2"/>
    <row r="2988" s="38" customFormat="1" x14ac:dyDescent="0.2"/>
    <row r="2989" s="38" customFormat="1" x14ac:dyDescent="0.2"/>
    <row r="2990" s="38" customFormat="1" x14ac:dyDescent="0.2"/>
    <row r="2991" s="38" customFormat="1" x14ac:dyDescent="0.2"/>
    <row r="2992" s="38" customFormat="1" x14ac:dyDescent="0.2"/>
    <row r="2993" s="38" customFormat="1" x14ac:dyDescent="0.2"/>
    <row r="2994" s="38" customFormat="1" x14ac:dyDescent="0.2"/>
    <row r="2995" s="38" customFormat="1" x14ac:dyDescent="0.2"/>
    <row r="2996" s="38" customFormat="1" x14ac:dyDescent="0.2"/>
    <row r="2997" s="38" customFormat="1" x14ac:dyDescent="0.2"/>
    <row r="2998" s="38" customFormat="1" x14ac:dyDescent="0.2"/>
    <row r="2999" s="38" customFormat="1" x14ac:dyDescent="0.2"/>
    <row r="3000" s="38" customFormat="1" x14ac:dyDescent="0.2"/>
    <row r="3001" s="38" customFormat="1" x14ac:dyDescent="0.2"/>
    <row r="3002" s="38" customFormat="1" x14ac:dyDescent="0.2"/>
    <row r="3003" s="38" customFormat="1" x14ac:dyDescent="0.2"/>
    <row r="3004" s="38" customFormat="1" x14ac:dyDescent="0.2"/>
    <row r="3005" s="38" customFormat="1" x14ac:dyDescent="0.2"/>
    <row r="3006" s="38" customFormat="1" x14ac:dyDescent="0.2"/>
    <row r="3007" s="38" customFormat="1" x14ac:dyDescent="0.2"/>
    <row r="3008" s="38" customFormat="1" x14ac:dyDescent="0.2"/>
    <row r="3009" s="38" customFormat="1" x14ac:dyDescent="0.2"/>
    <row r="3010" s="38" customFormat="1" x14ac:dyDescent="0.2"/>
    <row r="3011" s="38" customFormat="1" x14ac:dyDescent="0.2"/>
    <row r="3012" s="38" customFormat="1" x14ac:dyDescent="0.2"/>
    <row r="3013" s="38" customFormat="1" x14ac:dyDescent="0.2"/>
    <row r="3014" s="38" customFormat="1" x14ac:dyDescent="0.2"/>
    <row r="3015" s="38" customFormat="1" x14ac:dyDescent="0.2"/>
    <row r="3016" s="38" customFormat="1" x14ac:dyDescent="0.2"/>
    <row r="3017" s="38" customFormat="1" x14ac:dyDescent="0.2"/>
    <row r="3018" s="38" customFormat="1" x14ac:dyDescent="0.2"/>
    <row r="3019" s="38" customFormat="1" x14ac:dyDescent="0.2"/>
    <row r="3020" s="38" customFormat="1" x14ac:dyDescent="0.2"/>
    <row r="3021" s="38" customFormat="1" x14ac:dyDescent="0.2"/>
    <row r="3022" s="38" customFormat="1" x14ac:dyDescent="0.2"/>
    <row r="3023" s="38" customFormat="1" x14ac:dyDescent="0.2"/>
    <row r="3024" s="38" customFormat="1" x14ac:dyDescent="0.2"/>
    <row r="3025" s="38" customFormat="1" x14ac:dyDescent="0.2"/>
    <row r="3026" s="38" customFormat="1" x14ac:dyDescent="0.2"/>
    <row r="3027" s="38" customFormat="1" x14ac:dyDescent="0.2"/>
    <row r="3028" s="38" customFormat="1" x14ac:dyDescent="0.2"/>
    <row r="3029" s="38" customFormat="1" x14ac:dyDescent="0.2"/>
    <row r="3030" s="38" customFormat="1" x14ac:dyDescent="0.2"/>
    <row r="3031" s="38" customFormat="1" x14ac:dyDescent="0.2"/>
    <row r="3032" s="38" customFormat="1" x14ac:dyDescent="0.2"/>
    <row r="3033" s="38" customFormat="1" x14ac:dyDescent="0.2"/>
    <row r="3034" s="38" customFormat="1" x14ac:dyDescent="0.2"/>
    <row r="3035" s="38" customFormat="1" x14ac:dyDescent="0.2"/>
    <row r="3036" s="38" customFormat="1" x14ac:dyDescent="0.2"/>
    <row r="3037" s="38" customFormat="1" x14ac:dyDescent="0.2"/>
    <row r="3038" s="38" customFormat="1" x14ac:dyDescent="0.2"/>
    <row r="3039" s="38" customFormat="1" x14ac:dyDescent="0.2"/>
    <row r="3040" s="38" customFormat="1" x14ac:dyDescent="0.2"/>
    <row r="3041" s="38" customFormat="1" x14ac:dyDescent="0.2"/>
    <row r="3042" s="38" customFormat="1" x14ac:dyDescent="0.2"/>
    <row r="3043" s="38" customFormat="1" x14ac:dyDescent="0.2"/>
    <row r="3044" s="38" customFormat="1" x14ac:dyDescent="0.2"/>
    <row r="3045" s="38" customFormat="1" x14ac:dyDescent="0.2"/>
    <row r="3046" s="38" customFormat="1" x14ac:dyDescent="0.2"/>
    <row r="3047" s="38" customFormat="1" x14ac:dyDescent="0.2"/>
    <row r="3048" s="38" customFormat="1" x14ac:dyDescent="0.2"/>
    <row r="3049" s="38" customFormat="1" x14ac:dyDescent="0.2"/>
    <row r="3050" s="38" customFormat="1" x14ac:dyDescent="0.2"/>
    <row r="3051" s="38" customFormat="1" x14ac:dyDescent="0.2"/>
    <row r="3052" s="38" customFormat="1" x14ac:dyDescent="0.2"/>
    <row r="3053" s="38" customFormat="1" x14ac:dyDescent="0.2"/>
    <row r="3054" s="38" customFormat="1" x14ac:dyDescent="0.2"/>
    <row r="3055" s="38" customFormat="1" x14ac:dyDescent="0.2"/>
    <row r="3056" s="38" customFormat="1" x14ac:dyDescent="0.2"/>
    <row r="3057" s="38" customFormat="1" x14ac:dyDescent="0.2"/>
    <row r="3058" s="38" customFormat="1" x14ac:dyDescent="0.2"/>
    <row r="3059" s="38" customFormat="1" x14ac:dyDescent="0.2"/>
    <row r="3060" s="38" customFormat="1" x14ac:dyDescent="0.2"/>
    <row r="3061" s="38" customFormat="1" x14ac:dyDescent="0.2"/>
    <row r="3062" s="38" customFormat="1" x14ac:dyDescent="0.2"/>
    <row r="3063" s="38" customFormat="1" x14ac:dyDescent="0.2"/>
    <row r="3064" s="38" customFormat="1" x14ac:dyDescent="0.2"/>
    <row r="3065" s="38" customFormat="1" x14ac:dyDescent="0.2"/>
    <row r="3066" s="38" customFormat="1" x14ac:dyDescent="0.2"/>
    <row r="3067" s="38" customFormat="1" x14ac:dyDescent="0.2"/>
    <row r="3068" s="38" customFormat="1" x14ac:dyDescent="0.2"/>
    <row r="3069" s="38" customFormat="1" x14ac:dyDescent="0.2"/>
    <row r="3070" s="38" customFormat="1" x14ac:dyDescent="0.2"/>
    <row r="3071" s="38" customFormat="1" x14ac:dyDescent="0.2"/>
    <row r="3072" s="38" customFormat="1" x14ac:dyDescent="0.2"/>
    <row r="3073" s="38" customFormat="1" x14ac:dyDescent="0.2"/>
    <row r="3074" s="38" customFormat="1" x14ac:dyDescent="0.2"/>
    <row r="3075" s="38" customFormat="1" x14ac:dyDescent="0.2"/>
    <row r="3076" s="38" customFormat="1" x14ac:dyDescent="0.2"/>
    <row r="3077" s="38" customFormat="1" x14ac:dyDescent="0.2"/>
    <row r="3078" s="38" customFormat="1" x14ac:dyDescent="0.2"/>
    <row r="3079" s="38" customFormat="1" x14ac:dyDescent="0.2"/>
    <row r="3080" s="38" customFormat="1" x14ac:dyDescent="0.2"/>
    <row r="3081" s="38" customFormat="1" x14ac:dyDescent="0.2"/>
    <row r="3082" s="38" customFormat="1" x14ac:dyDescent="0.2"/>
    <row r="3083" s="38" customFormat="1" x14ac:dyDescent="0.2"/>
    <row r="3084" s="38" customFormat="1" x14ac:dyDescent="0.2"/>
    <row r="3085" s="38" customFormat="1" x14ac:dyDescent="0.2"/>
    <row r="3086" s="38" customFormat="1" x14ac:dyDescent="0.2"/>
    <row r="3087" s="38" customFormat="1" x14ac:dyDescent="0.2"/>
    <row r="3088" s="38" customFormat="1" x14ac:dyDescent="0.2"/>
    <row r="3089" s="38" customFormat="1" x14ac:dyDescent="0.2"/>
    <row r="3090" s="38" customFormat="1" x14ac:dyDescent="0.2"/>
    <row r="3091" s="38" customFormat="1" x14ac:dyDescent="0.2"/>
    <row r="3092" s="38" customFormat="1" x14ac:dyDescent="0.2"/>
    <row r="3093" s="38" customFormat="1" x14ac:dyDescent="0.2"/>
    <row r="3094" s="38" customFormat="1" x14ac:dyDescent="0.2"/>
    <row r="3095" s="38" customFormat="1" x14ac:dyDescent="0.2"/>
    <row r="3096" s="38" customFormat="1" x14ac:dyDescent="0.2"/>
    <row r="3097" s="38" customFormat="1" x14ac:dyDescent="0.2"/>
    <row r="3098" s="38" customFormat="1" x14ac:dyDescent="0.2"/>
    <row r="3099" s="38" customFormat="1" x14ac:dyDescent="0.2"/>
    <row r="3100" s="38" customFormat="1" x14ac:dyDescent="0.2"/>
    <row r="3101" s="38" customFormat="1" x14ac:dyDescent="0.2"/>
    <row r="3102" s="38" customFormat="1" x14ac:dyDescent="0.2"/>
    <row r="3103" s="38" customFormat="1" x14ac:dyDescent="0.2"/>
    <row r="3104" s="38" customFormat="1" x14ac:dyDescent="0.2"/>
    <row r="3105" s="38" customFormat="1" x14ac:dyDescent="0.2"/>
    <row r="3106" s="38" customFormat="1" x14ac:dyDescent="0.2"/>
    <row r="3107" s="38" customFormat="1" x14ac:dyDescent="0.2"/>
    <row r="3108" s="38" customFormat="1" x14ac:dyDescent="0.2"/>
    <row r="3109" s="38" customFormat="1" x14ac:dyDescent="0.2"/>
    <row r="3110" s="38" customFormat="1" x14ac:dyDescent="0.2"/>
    <row r="3111" s="38" customFormat="1" x14ac:dyDescent="0.2"/>
    <row r="3112" s="38" customFormat="1" x14ac:dyDescent="0.2"/>
    <row r="3113" s="38" customFormat="1" x14ac:dyDescent="0.2"/>
    <row r="3114" s="38" customFormat="1" x14ac:dyDescent="0.2"/>
    <row r="3115" s="38" customFormat="1" x14ac:dyDescent="0.2"/>
    <row r="3116" s="38" customFormat="1" x14ac:dyDescent="0.2"/>
    <row r="3117" s="38" customFormat="1" x14ac:dyDescent="0.2"/>
    <row r="3118" s="38" customFormat="1" x14ac:dyDescent="0.2"/>
    <row r="3119" s="38" customFormat="1" x14ac:dyDescent="0.2"/>
    <row r="3120" s="38" customFormat="1" x14ac:dyDescent="0.2"/>
    <row r="3121" s="38" customFormat="1" x14ac:dyDescent="0.2"/>
    <row r="3122" s="38" customFormat="1" x14ac:dyDescent="0.2"/>
    <row r="3123" s="38" customFormat="1" x14ac:dyDescent="0.2"/>
    <row r="3124" s="38" customFormat="1" x14ac:dyDescent="0.2"/>
    <row r="3125" s="38" customFormat="1" x14ac:dyDescent="0.2"/>
    <row r="3126" s="38" customFormat="1" x14ac:dyDescent="0.2"/>
    <row r="3127" s="38" customFormat="1" x14ac:dyDescent="0.2"/>
    <row r="3128" s="38" customFormat="1" x14ac:dyDescent="0.2"/>
    <row r="3129" s="38" customFormat="1" x14ac:dyDescent="0.2"/>
    <row r="3130" s="38" customFormat="1" x14ac:dyDescent="0.2"/>
    <row r="3131" s="38" customFormat="1" x14ac:dyDescent="0.2"/>
    <row r="3132" s="38" customFormat="1" x14ac:dyDescent="0.2"/>
    <row r="3133" s="38" customFormat="1" x14ac:dyDescent="0.2"/>
    <row r="3134" s="38" customFormat="1" x14ac:dyDescent="0.2"/>
    <row r="3135" s="38" customFormat="1" x14ac:dyDescent="0.2"/>
    <row r="3136" s="38" customFormat="1" x14ac:dyDescent="0.2"/>
    <row r="3137" s="38" customFormat="1" x14ac:dyDescent="0.2"/>
    <row r="3138" s="38" customFormat="1" x14ac:dyDescent="0.2"/>
    <row r="3139" s="38" customFormat="1" x14ac:dyDescent="0.2"/>
    <row r="3140" s="38" customFormat="1" x14ac:dyDescent="0.2"/>
    <row r="3141" s="38" customFormat="1" x14ac:dyDescent="0.2"/>
    <row r="3142" s="38" customFormat="1" x14ac:dyDescent="0.2"/>
    <row r="3143" s="38" customFormat="1" x14ac:dyDescent="0.2"/>
    <row r="3144" s="38" customFormat="1" x14ac:dyDescent="0.2"/>
    <row r="3145" s="38" customFormat="1" x14ac:dyDescent="0.2"/>
    <row r="3146" s="38" customFormat="1" x14ac:dyDescent="0.2"/>
    <row r="3147" s="38" customFormat="1" x14ac:dyDescent="0.2"/>
    <row r="3148" s="38" customFormat="1" x14ac:dyDescent="0.2"/>
    <row r="3149" s="38" customFormat="1" x14ac:dyDescent="0.2"/>
    <row r="3150" s="38" customFormat="1" x14ac:dyDescent="0.2"/>
    <row r="3151" s="38" customFormat="1" x14ac:dyDescent="0.2"/>
    <row r="3152" s="38" customFormat="1" x14ac:dyDescent="0.2"/>
    <row r="3153" s="38" customFormat="1" x14ac:dyDescent="0.2"/>
    <row r="3154" s="38" customFormat="1" x14ac:dyDescent="0.2"/>
    <row r="3155" s="38" customFormat="1" x14ac:dyDescent="0.2"/>
    <row r="3156" s="38" customFormat="1" x14ac:dyDescent="0.2"/>
    <row r="3157" s="38" customFormat="1" x14ac:dyDescent="0.2"/>
    <row r="3158" s="38" customFormat="1" x14ac:dyDescent="0.2"/>
    <row r="3159" s="38" customFormat="1" x14ac:dyDescent="0.2"/>
    <row r="3160" s="38" customFormat="1" x14ac:dyDescent="0.2"/>
    <row r="3161" s="38" customFormat="1" x14ac:dyDescent="0.2"/>
    <row r="3162" s="38" customFormat="1" x14ac:dyDescent="0.2"/>
    <row r="3163" s="38" customFormat="1" x14ac:dyDescent="0.2"/>
    <row r="3164" s="38" customFormat="1" x14ac:dyDescent="0.2"/>
    <row r="3165" s="38" customFormat="1" x14ac:dyDescent="0.2"/>
    <row r="3166" s="38" customFormat="1" x14ac:dyDescent="0.2"/>
    <row r="3167" s="38" customFormat="1" x14ac:dyDescent="0.2"/>
    <row r="3168" s="38" customFormat="1" x14ac:dyDescent="0.2"/>
    <row r="3169" s="38" customFormat="1" x14ac:dyDescent="0.2"/>
    <row r="3170" s="38" customFormat="1" x14ac:dyDescent="0.2"/>
    <row r="3171" s="38" customFormat="1" x14ac:dyDescent="0.2"/>
    <row r="3172" s="38" customFormat="1" x14ac:dyDescent="0.2"/>
    <row r="3173" s="38" customFormat="1" x14ac:dyDescent="0.2"/>
    <row r="3174" s="38" customFormat="1" x14ac:dyDescent="0.2"/>
    <row r="3175" s="38" customFormat="1" x14ac:dyDescent="0.2"/>
    <row r="3176" s="38" customFormat="1" x14ac:dyDescent="0.2"/>
    <row r="3177" s="38" customFormat="1" x14ac:dyDescent="0.2"/>
    <row r="3178" s="38" customFormat="1" x14ac:dyDescent="0.2"/>
    <row r="3179" s="38" customFormat="1" x14ac:dyDescent="0.2"/>
    <row r="3180" s="38" customFormat="1" x14ac:dyDescent="0.2"/>
    <row r="3181" s="38" customFormat="1" x14ac:dyDescent="0.2"/>
    <row r="3182" s="38" customFormat="1" x14ac:dyDescent="0.2"/>
    <row r="3183" s="38" customFormat="1" x14ac:dyDescent="0.2"/>
    <row r="3184" s="38" customFormat="1" x14ac:dyDescent="0.2"/>
    <row r="3185" s="38" customFormat="1" x14ac:dyDescent="0.2"/>
    <row r="3186" s="38" customFormat="1" x14ac:dyDescent="0.2"/>
    <row r="3187" s="38" customFormat="1" x14ac:dyDescent="0.2"/>
    <row r="3188" s="38" customFormat="1" x14ac:dyDescent="0.2"/>
    <row r="3189" s="38" customFormat="1" x14ac:dyDescent="0.2"/>
    <row r="3190" s="38" customFormat="1" x14ac:dyDescent="0.2"/>
    <row r="3191" s="38" customFormat="1" x14ac:dyDescent="0.2"/>
    <row r="3192" s="38" customFormat="1" x14ac:dyDescent="0.2"/>
    <row r="3193" s="38" customFormat="1" x14ac:dyDescent="0.2"/>
    <row r="3194" s="38" customFormat="1" x14ac:dyDescent="0.2"/>
    <row r="3195" s="38" customFormat="1" x14ac:dyDescent="0.2"/>
    <row r="3196" s="38" customFormat="1" x14ac:dyDescent="0.2"/>
    <row r="3197" s="38" customFormat="1" x14ac:dyDescent="0.2"/>
    <row r="3198" s="38" customFormat="1" x14ac:dyDescent="0.2"/>
    <row r="3199" s="38" customFormat="1" x14ac:dyDescent="0.2"/>
    <row r="3200" s="38" customFormat="1" x14ac:dyDescent="0.2"/>
    <row r="3201" s="38" customFormat="1" x14ac:dyDescent="0.2"/>
    <row r="3202" s="38" customFormat="1" x14ac:dyDescent="0.2"/>
    <row r="3203" s="38" customFormat="1" x14ac:dyDescent="0.2"/>
    <row r="3204" s="38" customFormat="1" x14ac:dyDescent="0.2"/>
    <row r="3205" s="38" customFormat="1" x14ac:dyDescent="0.2"/>
    <row r="3206" s="38" customFormat="1" x14ac:dyDescent="0.2"/>
    <row r="3207" s="38" customFormat="1" x14ac:dyDescent="0.2"/>
    <row r="3208" s="38" customFormat="1" x14ac:dyDescent="0.2"/>
    <row r="3209" s="38" customFormat="1" x14ac:dyDescent="0.2"/>
    <row r="3210" s="38" customFormat="1" x14ac:dyDescent="0.2"/>
    <row r="3211" s="38" customFormat="1" x14ac:dyDescent="0.2"/>
    <row r="3212" s="38" customFormat="1" x14ac:dyDescent="0.2"/>
    <row r="3213" s="38" customFormat="1" x14ac:dyDescent="0.2"/>
    <row r="3214" s="38" customFormat="1" x14ac:dyDescent="0.2"/>
    <row r="3215" s="38" customFormat="1" x14ac:dyDescent="0.2"/>
    <row r="3216" s="38" customFormat="1" x14ac:dyDescent="0.2"/>
    <row r="3217" s="38" customFormat="1" x14ac:dyDescent="0.2"/>
    <row r="3218" s="38" customFormat="1" x14ac:dyDescent="0.2"/>
    <row r="3219" s="38" customFormat="1" x14ac:dyDescent="0.2"/>
    <row r="3220" s="38" customFormat="1" x14ac:dyDescent="0.2"/>
    <row r="3221" s="38" customFormat="1" x14ac:dyDescent="0.2"/>
    <row r="3222" s="38" customFormat="1" x14ac:dyDescent="0.2"/>
    <row r="3223" s="38" customFormat="1" x14ac:dyDescent="0.2"/>
    <row r="3224" s="38" customFormat="1" x14ac:dyDescent="0.2"/>
    <row r="3225" s="38" customFormat="1" x14ac:dyDescent="0.2"/>
    <row r="3226" s="38" customFormat="1" x14ac:dyDescent="0.2"/>
    <row r="3227" s="38" customFormat="1" x14ac:dyDescent="0.2"/>
    <row r="3228" s="38" customFormat="1" x14ac:dyDescent="0.2"/>
    <row r="3229" s="38" customFormat="1" x14ac:dyDescent="0.2"/>
    <row r="3230" s="38" customFormat="1" x14ac:dyDescent="0.2"/>
    <row r="3231" s="38" customFormat="1" x14ac:dyDescent="0.2"/>
    <row r="3232" s="38" customFormat="1" x14ac:dyDescent="0.2"/>
    <row r="3233" s="38" customFormat="1" x14ac:dyDescent="0.2"/>
    <row r="3234" s="38" customFormat="1" x14ac:dyDescent="0.2"/>
    <row r="3235" s="38" customFormat="1" x14ac:dyDescent="0.2"/>
    <row r="3236" s="38" customFormat="1" x14ac:dyDescent="0.2"/>
    <row r="3237" s="38" customFormat="1" x14ac:dyDescent="0.2"/>
    <row r="3238" s="38" customFormat="1" x14ac:dyDescent="0.2"/>
    <row r="3239" s="38" customFormat="1" x14ac:dyDescent="0.2"/>
    <row r="3240" s="38" customFormat="1" x14ac:dyDescent="0.2"/>
    <row r="3241" s="38" customFormat="1" x14ac:dyDescent="0.2"/>
    <row r="3242" s="38" customFormat="1" x14ac:dyDescent="0.2"/>
    <row r="3243" s="38" customFormat="1" x14ac:dyDescent="0.2"/>
    <row r="3244" s="38" customFormat="1" x14ac:dyDescent="0.2"/>
    <row r="3245" s="38" customFormat="1" x14ac:dyDescent="0.2"/>
    <row r="3246" s="38" customFormat="1" x14ac:dyDescent="0.2"/>
    <row r="3247" s="38" customFormat="1" x14ac:dyDescent="0.2"/>
    <row r="3248" s="38" customFormat="1" x14ac:dyDescent="0.2"/>
    <row r="3249" s="38" customFormat="1" x14ac:dyDescent="0.2"/>
    <row r="3250" s="38" customFormat="1" x14ac:dyDescent="0.2"/>
    <row r="3251" s="38" customFormat="1" x14ac:dyDescent="0.2"/>
    <row r="3252" s="38" customFormat="1" x14ac:dyDescent="0.2"/>
    <row r="3253" s="38" customFormat="1" x14ac:dyDescent="0.2"/>
    <row r="3254" s="38" customFormat="1" x14ac:dyDescent="0.2"/>
    <row r="3255" s="38" customFormat="1" x14ac:dyDescent="0.2"/>
    <row r="3256" s="38" customFormat="1" x14ac:dyDescent="0.2"/>
    <row r="3257" s="38" customFormat="1" x14ac:dyDescent="0.2"/>
    <row r="3258" s="38" customFormat="1" x14ac:dyDescent="0.2"/>
    <row r="3259" s="38" customFormat="1" x14ac:dyDescent="0.2"/>
    <row r="3260" s="38" customFormat="1" x14ac:dyDescent="0.2"/>
    <row r="3261" s="38" customFormat="1" x14ac:dyDescent="0.2"/>
    <row r="3262" s="38" customFormat="1" x14ac:dyDescent="0.2"/>
    <row r="3263" s="38" customFormat="1" x14ac:dyDescent="0.2"/>
    <row r="3264" s="38" customFormat="1" x14ac:dyDescent="0.2"/>
    <row r="3265" s="38" customFormat="1" x14ac:dyDescent="0.2"/>
    <row r="3266" s="38" customFormat="1" x14ac:dyDescent="0.2"/>
    <row r="3267" s="38" customFormat="1" x14ac:dyDescent="0.2"/>
    <row r="3268" s="38" customFormat="1" x14ac:dyDescent="0.2"/>
    <row r="3269" s="38" customFormat="1" x14ac:dyDescent="0.2"/>
    <row r="3270" s="38" customFormat="1" x14ac:dyDescent="0.2"/>
    <row r="3271" s="38" customFormat="1" x14ac:dyDescent="0.2"/>
    <row r="3272" s="38" customFormat="1" x14ac:dyDescent="0.2"/>
    <row r="3273" s="38" customFormat="1" x14ac:dyDescent="0.2"/>
    <row r="3274" s="38" customFormat="1" x14ac:dyDescent="0.2"/>
    <row r="3275" s="38" customFormat="1" x14ac:dyDescent="0.2"/>
    <row r="3276" s="38" customFormat="1" x14ac:dyDescent="0.2"/>
    <row r="3277" s="38" customFormat="1" x14ac:dyDescent="0.2"/>
    <row r="3278" s="38" customFormat="1" x14ac:dyDescent="0.2"/>
    <row r="3279" s="38" customFormat="1" x14ac:dyDescent="0.2"/>
    <row r="3280" s="38" customFormat="1" x14ac:dyDescent="0.2"/>
    <row r="3281" s="38" customFormat="1" x14ac:dyDescent="0.2"/>
    <row r="3282" s="38" customFormat="1" x14ac:dyDescent="0.2"/>
    <row r="3283" s="38" customFormat="1" x14ac:dyDescent="0.2"/>
    <row r="3284" s="38" customFormat="1" x14ac:dyDescent="0.2"/>
    <row r="3285" s="38" customFormat="1" x14ac:dyDescent="0.2"/>
    <row r="3286" s="38" customFormat="1" x14ac:dyDescent="0.2"/>
    <row r="3287" s="38" customFormat="1" x14ac:dyDescent="0.2"/>
    <row r="3288" s="38" customFormat="1" x14ac:dyDescent="0.2"/>
    <row r="3289" s="38" customFormat="1" x14ac:dyDescent="0.2"/>
    <row r="3290" s="38" customFormat="1" x14ac:dyDescent="0.2"/>
    <row r="3291" s="38" customFormat="1" x14ac:dyDescent="0.2"/>
    <row r="3292" s="38" customFormat="1" x14ac:dyDescent="0.2"/>
    <row r="3293" s="38" customFormat="1" x14ac:dyDescent="0.2"/>
    <row r="3294" s="38" customFormat="1" x14ac:dyDescent="0.2"/>
    <row r="3295" s="38" customFormat="1" x14ac:dyDescent="0.2"/>
    <row r="3296" s="38" customFormat="1" x14ac:dyDescent="0.2"/>
    <row r="3297" s="38" customFormat="1" x14ac:dyDescent="0.2"/>
    <row r="3298" s="38" customFormat="1" x14ac:dyDescent="0.2"/>
    <row r="3299" s="38" customFormat="1" x14ac:dyDescent="0.2"/>
    <row r="3300" s="38" customFormat="1" x14ac:dyDescent="0.2"/>
    <row r="3301" s="38" customFormat="1" x14ac:dyDescent="0.2"/>
    <row r="3302" s="38" customFormat="1" x14ac:dyDescent="0.2"/>
    <row r="3303" s="38" customFormat="1" x14ac:dyDescent="0.2"/>
    <row r="3304" s="38" customFormat="1" x14ac:dyDescent="0.2"/>
    <row r="3305" s="38" customFormat="1" x14ac:dyDescent="0.2"/>
    <row r="3306" s="38" customFormat="1" x14ac:dyDescent="0.2"/>
    <row r="3307" s="38" customFormat="1" x14ac:dyDescent="0.2"/>
    <row r="3308" s="38" customFormat="1" x14ac:dyDescent="0.2"/>
    <row r="3309" s="38" customFormat="1" x14ac:dyDescent="0.2"/>
    <row r="3310" s="38" customFormat="1" x14ac:dyDescent="0.2"/>
    <row r="3311" s="38" customFormat="1" x14ac:dyDescent="0.2"/>
    <row r="3312" s="38" customFormat="1" x14ac:dyDescent="0.2"/>
    <row r="3313" s="38" customFormat="1" x14ac:dyDescent="0.2"/>
    <row r="3314" s="38" customFormat="1" x14ac:dyDescent="0.2"/>
    <row r="3315" s="38" customFormat="1" x14ac:dyDescent="0.2"/>
    <row r="3316" s="38" customFormat="1" x14ac:dyDescent="0.2"/>
    <row r="3317" s="38" customFormat="1" x14ac:dyDescent="0.2"/>
    <row r="3318" s="38" customFormat="1" x14ac:dyDescent="0.2"/>
    <row r="3319" s="38" customFormat="1" x14ac:dyDescent="0.2"/>
    <row r="3320" s="38" customFormat="1" x14ac:dyDescent="0.2"/>
    <row r="3321" s="38" customFormat="1" x14ac:dyDescent="0.2"/>
    <row r="3322" s="38" customFormat="1" x14ac:dyDescent="0.2"/>
    <row r="3323" s="38" customFormat="1" x14ac:dyDescent="0.2"/>
    <row r="3324" s="38" customFormat="1" x14ac:dyDescent="0.2"/>
    <row r="3325" s="38" customFormat="1" x14ac:dyDescent="0.2"/>
    <row r="3326" s="38" customFormat="1" x14ac:dyDescent="0.2"/>
    <row r="3327" s="38" customFormat="1" x14ac:dyDescent="0.2"/>
    <row r="3328" s="38" customFormat="1" x14ac:dyDescent="0.2"/>
    <row r="3329" s="38" customFormat="1" x14ac:dyDescent="0.2"/>
    <row r="3330" s="38" customFormat="1" x14ac:dyDescent="0.2"/>
    <row r="3331" s="38" customFormat="1" x14ac:dyDescent="0.2"/>
    <row r="3332" s="38" customFormat="1" x14ac:dyDescent="0.2"/>
    <row r="3333" s="38" customFormat="1" x14ac:dyDescent="0.2"/>
    <row r="3334" s="38" customFormat="1" x14ac:dyDescent="0.2"/>
    <row r="3335" s="38" customFormat="1" x14ac:dyDescent="0.2"/>
    <row r="3336" s="38" customFormat="1" x14ac:dyDescent="0.2"/>
    <row r="3337" s="38" customFormat="1" x14ac:dyDescent="0.2"/>
    <row r="3338" s="38" customFormat="1" x14ac:dyDescent="0.2"/>
    <row r="3339" s="38" customFormat="1" x14ac:dyDescent="0.2"/>
    <row r="3340" s="38" customFormat="1" x14ac:dyDescent="0.2"/>
    <row r="3341" s="38" customFormat="1" x14ac:dyDescent="0.2"/>
    <row r="3342" s="38" customFormat="1" x14ac:dyDescent="0.2"/>
    <row r="3343" s="38" customFormat="1" x14ac:dyDescent="0.2"/>
    <row r="3344" s="38" customFormat="1" x14ac:dyDescent="0.2"/>
    <row r="3345" s="38" customFormat="1" x14ac:dyDescent="0.2"/>
    <row r="3346" s="38" customFormat="1" x14ac:dyDescent="0.2"/>
    <row r="3347" s="38" customFormat="1" x14ac:dyDescent="0.2"/>
    <row r="3348" s="38" customFormat="1" x14ac:dyDescent="0.2"/>
    <row r="3349" s="38" customFormat="1" x14ac:dyDescent="0.2"/>
    <row r="3350" s="38" customFormat="1" x14ac:dyDescent="0.2"/>
    <row r="3351" s="38" customFormat="1" x14ac:dyDescent="0.2"/>
    <row r="3352" s="38" customFormat="1" x14ac:dyDescent="0.2"/>
    <row r="3353" s="38" customFormat="1" x14ac:dyDescent="0.2"/>
    <row r="3354" s="38" customFormat="1" x14ac:dyDescent="0.2"/>
    <row r="3355" s="38" customFormat="1" x14ac:dyDescent="0.2"/>
    <row r="3356" s="38" customFormat="1" x14ac:dyDescent="0.2"/>
    <row r="3357" s="38" customFormat="1" x14ac:dyDescent="0.2"/>
    <row r="3358" s="38" customFormat="1" x14ac:dyDescent="0.2"/>
    <row r="3359" s="38" customFormat="1" x14ac:dyDescent="0.2"/>
    <row r="3360" s="38" customFormat="1" x14ac:dyDescent="0.2"/>
    <row r="3361" s="38" customFormat="1" x14ac:dyDescent="0.2"/>
    <row r="3362" s="38" customFormat="1" x14ac:dyDescent="0.2"/>
    <row r="3363" s="38" customFormat="1" x14ac:dyDescent="0.2"/>
    <row r="3364" s="38" customFormat="1" x14ac:dyDescent="0.2"/>
    <row r="3365" s="38" customFormat="1" x14ac:dyDescent="0.2"/>
    <row r="3366" s="38" customFormat="1" x14ac:dyDescent="0.2"/>
    <row r="3367" s="38" customFormat="1" x14ac:dyDescent="0.2"/>
    <row r="3368" s="38" customFormat="1" x14ac:dyDescent="0.2"/>
    <row r="3369" s="38" customFormat="1" x14ac:dyDescent="0.2"/>
    <row r="3370" s="38" customFormat="1" x14ac:dyDescent="0.2"/>
    <row r="3371" s="38" customFormat="1" x14ac:dyDescent="0.2"/>
    <row r="3372" s="38" customFormat="1" x14ac:dyDescent="0.2"/>
    <row r="3373" s="38" customFormat="1" x14ac:dyDescent="0.2"/>
    <row r="3374" s="38" customFormat="1" x14ac:dyDescent="0.2"/>
    <row r="3375" s="38" customFormat="1" x14ac:dyDescent="0.2"/>
    <row r="3376" s="38" customFormat="1" x14ac:dyDescent="0.2"/>
    <row r="3377" s="38" customFormat="1" x14ac:dyDescent="0.2"/>
    <row r="3378" s="38" customFormat="1" x14ac:dyDescent="0.2"/>
    <row r="3379" s="38" customFormat="1" x14ac:dyDescent="0.2"/>
    <row r="3380" s="38" customFormat="1" x14ac:dyDescent="0.2"/>
    <row r="3381" s="38" customFormat="1" x14ac:dyDescent="0.2"/>
    <row r="3382" s="38" customFormat="1" x14ac:dyDescent="0.2"/>
    <row r="3383" s="38" customFormat="1" x14ac:dyDescent="0.2"/>
    <row r="3384" s="38" customFormat="1" x14ac:dyDescent="0.2"/>
    <row r="3385" s="38" customFormat="1" x14ac:dyDescent="0.2"/>
    <row r="3386" s="38" customFormat="1" x14ac:dyDescent="0.2"/>
    <row r="3387" s="38" customFormat="1" x14ac:dyDescent="0.2"/>
    <row r="3388" s="38" customFormat="1" x14ac:dyDescent="0.2"/>
    <row r="3389" s="38" customFormat="1" x14ac:dyDescent="0.2"/>
    <row r="3390" s="38" customFormat="1" x14ac:dyDescent="0.2"/>
    <row r="3391" s="38" customFormat="1" x14ac:dyDescent="0.2"/>
    <row r="3392" s="38" customFormat="1" x14ac:dyDescent="0.2"/>
    <row r="3393" s="38" customFormat="1" x14ac:dyDescent="0.2"/>
    <row r="3394" s="38" customFormat="1" x14ac:dyDescent="0.2"/>
    <row r="3395" s="38" customFormat="1" x14ac:dyDescent="0.2"/>
    <row r="3396" s="38" customFormat="1" x14ac:dyDescent="0.2"/>
    <row r="3397" s="38" customFormat="1" x14ac:dyDescent="0.2"/>
    <row r="3398" s="38" customFormat="1" x14ac:dyDescent="0.2"/>
    <row r="3399" s="38" customFormat="1" x14ac:dyDescent="0.2"/>
    <row r="3400" s="38" customFormat="1" x14ac:dyDescent="0.2"/>
    <row r="3401" s="38" customFormat="1" x14ac:dyDescent="0.2"/>
    <row r="3402" s="38" customFormat="1" x14ac:dyDescent="0.2"/>
    <row r="3403" s="38" customFormat="1" x14ac:dyDescent="0.2"/>
    <row r="3404" s="38" customFormat="1" x14ac:dyDescent="0.2"/>
    <row r="3405" s="38" customFormat="1" x14ac:dyDescent="0.2"/>
    <row r="3406" s="38" customFormat="1" x14ac:dyDescent="0.2"/>
    <row r="3407" s="38" customFormat="1" x14ac:dyDescent="0.2"/>
    <row r="3408" s="38" customFormat="1" x14ac:dyDescent="0.2"/>
    <row r="3409" s="38" customFormat="1" x14ac:dyDescent="0.2"/>
    <row r="3410" s="38" customFormat="1" x14ac:dyDescent="0.2"/>
    <row r="3411" s="38" customFormat="1" x14ac:dyDescent="0.2"/>
    <row r="3412" s="38" customFormat="1" x14ac:dyDescent="0.2"/>
    <row r="3413" s="38" customFormat="1" x14ac:dyDescent="0.2"/>
    <row r="3414" s="38" customFormat="1" x14ac:dyDescent="0.2"/>
    <row r="3415" s="38" customFormat="1" x14ac:dyDescent="0.2"/>
    <row r="3416" s="38" customFormat="1" x14ac:dyDescent="0.2"/>
    <row r="3417" s="38" customFormat="1" x14ac:dyDescent="0.2"/>
    <row r="3418" s="38" customFormat="1" x14ac:dyDescent="0.2"/>
    <row r="3419" s="38" customFormat="1" x14ac:dyDescent="0.2"/>
    <row r="3420" s="38" customFormat="1" x14ac:dyDescent="0.2"/>
    <row r="3421" s="38" customFormat="1" x14ac:dyDescent="0.2"/>
    <row r="3422" s="38" customFormat="1" x14ac:dyDescent="0.2"/>
    <row r="3423" s="38" customFormat="1" x14ac:dyDescent="0.2"/>
    <row r="3424" s="38" customFormat="1" x14ac:dyDescent="0.2"/>
    <row r="3425" s="38" customFormat="1" x14ac:dyDescent="0.2"/>
    <row r="3426" s="38" customFormat="1" x14ac:dyDescent="0.2"/>
    <row r="3427" s="38" customFormat="1" x14ac:dyDescent="0.2"/>
    <row r="3428" s="38" customFormat="1" x14ac:dyDescent="0.2"/>
    <row r="3429" s="38" customFormat="1" x14ac:dyDescent="0.2"/>
    <row r="3430" s="38" customFormat="1" x14ac:dyDescent="0.2"/>
    <row r="3431" s="38" customFormat="1" x14ac:dyDescent="0.2"/>
    <row r="3432" s="38" customFormat="1" x14ac:dyDescent="0.2"/>
    <row r="3433" s="38" customFormat="1" x14ac:dyDescent="0.2"/>
    <row r="3434" s="38" customFormat="1" x14ac:dyDescent="0.2"/>
    <row r="3435" s="38" customFormat="1" x14ac:dyDescent="0.2"/>
    <row r="3436" s="38" customFormat="1" x14ac:dyDescent="0.2"/>
    <row r="3437" s="38" customFormat="1" x14ac:dyDescent="0.2"/>
    <row r="3438" s="38" customFormat="1" x14ac:dyDescent="0.2"/>
    <row r="3439" s="38" customFormat="1" x14ac:dyDescent="0.2"/>
    <row r="3440" s="38" customFormat="1" x14ac:dyDescent="0.2"/>
    <row r="3441" s="38" customFormat="1" x14ac:dyDescent="0.2"/>
    <row r="3442" s="38" customFormat="1" x14ac:dyDescent="0.2"/>
    <row r="3443" s="38" customFormat="1" x14ac:dyDescent="0.2"/>
    <row r="3444" s="38" customFormat="1" x14ac:dyDescent="0.2"/>
    <row r="3445" s="38" customFormat="1" x14ac:dyDescent="0.2"/>
    <row r="3446" s="38" customFormat="1" x14ac:dyDescent="0.2"/>
    <row r="3447" s="38" customFormat="1" x14ac:dyDescent="0.2"/>
    <row r="3448" s="38" customFormat="1" x14ac:dyDescent="0.2"/>
    <row r="3449" s="38" customFormat="1" x14ac:dyDescent="0.2"/>
    <row r="3450" s="38" customFormat="1" x14ac:dyDescent="0.2"/>
    <row r="3451" s="38" customFormat="1" x14ac:dyDescent="0.2"/>
    <row r="3452" s="38" customFormat="1" x14ac:dyDescent="0.2"/>
    <row r="3453" s="38" customFormat="1" x14ac:dyDescent="0.2"/>
    <row r="3454" s="38" customFormat="1" x14ac:dyDescent="0.2"/>
    <row r="3455" s="38" customFormat="1" x14ac:dyDescent="0.2"/>
    <row r="3456" s="38" customFormat="1" x14ac:dyDescent="0.2"/>
    <row r="3457" s="38" customFormat="1" x14ac:dyDescent="0.2"/>
    <row r="3458" s="38" customFormat="1" x14ac:dyDescent="0.2"/>
    <row r="3459" s="38" customFormat="1" x14ac:dyDescent="0.2"/>
    <row r="3460" s="38" customFormat="1" x14ac:dyDescent="0.2"/>
    <row r="3461" s="38" customFormat="1" x14ac:dyDescent="0.2"/>
    <row r="3462" s="38" customFormat="1" x14ac:dyDescent="0.2"/>
    <row r="3463" s="38" customFormat="1" x14ac:dyDescent="0.2"/>
    <row r="3464" s="38" customFormat="1" x14ac:dyDescent="0.2"/>
    <row r="3465" s="38" customFormat="1" x14ac:dyDescent="0.2"/>
    <row r="3466" s="38" customFormat="1" x14ac:dyDescent="0.2"/>
    <row r="3467" s="38" customFormat="1" x14ac:dyDescent="0.2"/>
    <row r="3468" s="38" customFormat="1" x14ac:dyDescent="0.2"/>
    <row r="3469" s="38" customFormat="1" x14ac:dyDescent="0.2"/>
    <row r="3470" s="38" customFormat="1" x14ac:dyDescent="0.2"/>
    <row r="3471" s="38" customFormat="1" x14ac:dyDescent="0.2"/>
    <row r="3472" s="38" customFormat="1" x14ac:dyDescent="0.2"/>
    <row r="3473" s="38" customFormat="1" x14ac:dyDescent="0.2"/>
    <row r="3474" s="38" customFormat="1" x14ac:dyDescent="0.2"/>
    <row r="3475" s="38" customFormat="1" x14ac:dyDescent="0.2"/>
    <row r="3476" s="38" customFormat="1" x14ac:dyDescent="0.2"/>
    <row r="3477" s="38" customFormat="1" x14ac:dyDescent="0.2"/>
    <row r="3478" s="38" customFormat="1" x14ac:dyDescent="0.2"/>
    <row r="3479" s="38" customFormat="1" x14ac:dyDescent="0.2"/>
    <row r="3480" s="38" customFormat="1" x14ac:dyDescent="0.2"/>
    <row r="3481" s="38" customFormat="1" x14ac:dyDescent="0.2"/>
    <row r="3482" s="38" customFormat="1" x14ac:dyDescent="0.2"/>
    <row r="3483" s="38" customFormat="1" x14ac:dyDescent="0.2"/>
    <row r="3484" s="38" customFormat="1" x14ac:dyDescent="0.2"/>
    <row r="3485" s="38" customFormat="1" x14ac:dyDescent="0.2"/>
    <row r="3486" s="38" customFormat="1" x14ac:dyDescent="0.2"/>
    <row r="3487" s="38" customFormat="1" x14ac:dyDescent="0.2"/>
    <row r="3488" s="38" customFormat="1" x14ac:dyDescent="0.2"/>
    <row r="3489" s="38" customFormat="1" x14ac:dyDescent="0.2"/>
    <row r="3490" s="38" customFormat="1" x14ac:dyDescent="0.2"/>
    <row r="3491" s="38" customFormat="1" x14ac:dyDescent="0.2"/>
    <row r="3492" s="38" customFormat="1" x14ac:dyDescent="0.2"/>
    <row r="3493" s="38" customFormat="1" x14ac:dyDescent="0.2"/>
    <row r="3494" s="38" customFormat="1" x14ac:dyDescent="0.2"/>
    <row r="3495" s="38" customFormat="1" x14ac:dyDescent="0.2"/>
    <row r="3496" s="38" customFormat="1" x14ac:dyDescent="0.2"/>
    <row r="3497" s="38" customFormat="1" x14ac:dyDescent="0.2"/>
    <row r="3498" s="38" customFormat="1" x14ac:dyDescent="0.2"/>
    <row r="3499" s="38" customFormat="1" x14ac:dyDescent="0.2"/>
    <row r="3500" s="38" customFormat="1" x14ac:dyDescent="0.2"/>
    <row r="3501" s="38" customFormat="1" x14ac:dyDescent="0.2"/>
    <row r="3502" s="38" customFormat="1" x14ac:dyDescent="0.2"/>
    <row r="3503" s="38" customFormat="1" x14ac:dyDescent="0.2"/>
    <row r="3504" s="38" customFormat="1" x14ac:dyDescent="0.2"/>
    <row r="3505" s="38" customFormat="1" x14ac:dyDescent="0.2"/>
    <row r="3506" s="38" customFormat="1" x14ac:dyDescent="0.2"/>
    <row r="3507" s="38" customFormat="1" x14ac:dyDescent="0.2"/>
    <row r="3508" s="38" customFormat="1" x14ac:dyDescent="0.2"/>
    <row r="3509" s="38" customFormat="1" x14ac:dyDescent="0.2"/>
    <row r="3510" s="38" customFormat="1" x14ac:dyDescent="0.2"/>
    <row r="3511" s="38" customFormat="1" x14ac:dyDescent="0.2"/>
    <row r="3512" s="38" customFormat="1" x14ac:dyDescent="0.2"/>
    <row r="3513" s="38" customFormat="1" x14ac:dyDescent="0.2"/>
    <row r="3514" s="38" customFormat="1" x14ac:dyDescent="0.2"/>
    <row r="3515" s="38" customFormat="1" x14ac:dyDescent="0.2"/>
    <row r="3516" s="38" customFormat="1" x14ac:dyDescent="0.2"/>
    <row r="3517" s="38" customFormat="1" x14ac:dyDescent="0.2"/>
    <row r="3518" s="38" customFormat="1" x14ac:dyDescent="0.2"/>
    <row r="3519" s="38" customFormat="1" x14ac:dyDescent="0.2"/>
    <row r="3520" s="38" customFormat="1" x14ac:dyDescent="0.2"/>
    <row r="3521" s="38" customFormat="1" x14ac:dyDescent="0.2"/>
    <row r="3522" s="38" customFormat="1" x14ac:dyDescent="0.2"/>
    <row r="3523" s="38" customFormat="1" x14ac:dyDescent="0.2"/>
    <row r="3524" s="38" customFormat="1" x14ac:dyDescent="0.2"/>
    <row r="3525" s="38" customFormat="1" x14ac:dyDescent="0.2"/>
    <row r="3526" s="38" customFormat="1" x14ac:dyDescent="0.2"/>
    <row r="3527" s="38" customFormat="1" x14ac:dyDescent="0.2"/>
    <row r="3528" s="38" customFormat="1" x14ac:dyDescent="0.2"/>
    <row r="3529" s="38" customFormat="1" x14ac:dyDescent="0.2"/>
    <row r="3530" s="38" customFormat="1" x14ac:dyDescent="0.2"/>
    <row r="3531" s="38" customFormat="1" x14ac:dyDescent="0.2"/>
    <row r="3532" s="38" customFormat="1" x14ac:dyDescent="0.2"/>
    <row r="3533" s="38" customFormat="1" x14ac:dyDescent="0.2"/>
    <row r="3534" s="38" customFormat="1" x14ac:dyDescent="0.2"/>
    <row r="3535" s="38" customFormat="1" x14ac:dyDescent="0.2"/>
    <row r="3536" s="38" customFormat="1" x14ac:dyDescent="0.2"/>
    <row r="3537" s="38" customFormat="1" x14ac:dyDescent="0.2"/>
    <row r="3538" s="38" customFormat="1" x14ac:dyDescent="0.2"/>
    <row r="3539" s="38" customFormat="1" x14ac:dyDescent="0.2"/>
    <row r="3540" s="38" customFormat="1" x14ac:dyDescent="0.2"/>
    <row r="3541" s="38" customFormat="1" x14ac:dyDescent="0.2"/>
    <row r="3542" s="38" customFormat="1" x14ac:dyDescent="0.2"/>
    <row r="3543" s="38" customFormat="1" x14ac:dyDescent="0.2"/>
    <row r="3544" s="38" customFormat="1" x14ac:dyDescent="0.2"/>
    <row r="3545" s="38" customFormat="1" x14ac:dyDescent="0.2"/>
    <row r="3546" s="38" customFormat="1" x14ac:dyDescent="0.2"/>
    <row r="3547" s="38" customFormat="1" x14ac:dyDescent="0.2"/>
    <row r="3548" s="38" customFormat="1" x14ac:dyDescent="0.2"/>
    <row r="3549" s="38" customFormat="1" x14ac:dyDescent="0.2"/>
    <row r="3550" s="38" customFormat="1" x14ac:dyDescent="0.2"/>
    <row r="3551" s="38" customFormat="1" x14ac:dyDescent="0.2"/>
    <row r="3552" s="38" customFormat="1" x14ac:dyDescent="0.2"/>
    <row r="3553" s="38" customFormat="1" x14ac:dyDescent="0.2"/>
    <row r="3554" s="38" customFormat="1" x14ac:dyDescent="0.2"/>
    <row r="3555" s="38" customFormat="1" x14ac:dyDescent="0.2"/>
    <row r="3556" s="38" customFormat="1" x14ac:dyDescent="0.2"/>
    <row r="3557" s="38" customFormat="1" x14ac:dyDescent="0.2"/>
    <row r="3558" s="38" customFormat="1" x14ac:dyDescent="0.2"/>
    <row r="3559" s="38" customFormat="1" x14ac:dyDescent="0.2"/>
    <row r="3560" s="38" customFormat="1" x14ac:dyDescent="0.2"/>
    <row r="3561" s="38" customFormat="1" x14ac:dyDescent="0.2"/>
    <row r="3562" s="38" customFormat="1" x14ac:dyDescent="0.2"/>
    <row r="3563" s="38" customFormat="1" x14ac:dyDescent="0.2"/>
    <row r="3564" s="38" customFormat="1" x14ac:dyDescent="0.2"/>
    <row r="3565" s="38" customFormat="1" x14ac:dyDescent="0.2"/>
    <row r="3566" s="38" customFormat="1" x14ac:dyDescent="0.2"/>
    <row r="3567" s="38" customFormat="1" x14ac:dyDescent="0.2"/>
    <row r="3568" s="38" customFormat="1" x14ac:dyDescent="0.2"/>
    <row r="3569" s="38" customFormat="1" x14ac:dyDescent="0.2"/>
    <row r="3570" s="38" customFormat="1" x14ac:dyDescent="0.2"/>
    <row r="3571" s="38" customFormat="1" x14ac:dyDescent="0.2"/>
    <row r="3572" s="38" customFormat="1" x14ac:dyDescent="0.2"/>
    <row r="3573" s="38" customFormat="1" x14ac:dyDescent="0.2"/>
    <row r="3574" s="38" customFormat="1" x14ac:dyDescent="0.2"/>
    <row r="3575" s="38" customFormat="1" x14ac:dyDescent="0.2"/>
    <row r="3576" s="38" customFormat="1" x14ac:dyDescent="0.2"/>
    <row r="3577" s="38" customFormat="1" x14ac:dyDescent="0.2"/>
    <row r="3578" s="38" customFormat="1" x14ac:dyDescent="0.2"/>
    <row r="3579" s="38" customFormat="1" x14ac:dyDescent="0.2"/>
    <row r="3580" s="38" customFormat="1" x14ac:dyDescent="0.2"/>
    <row r="3581" s="38" customFormat="1" x14ac:dyDescent="0.2"/>
    <row r="3582" s="38" customFormat="1" x14ac:dyDescent="0.2"/>
    <row r="3583" s="38" customFormat="1" x14ac:dyDescent="0.2"/>
    <row r="3584" s="38" customFormat="1" x14ac:dyDescent="0.2"/>
    <row r="3585" s="38" customFormat="1" x14ac:dyDescent="0.2"/>
    <row r="3586" s="38" customFormat="1" x14ac:dyDescent="0.2"/>
    <row r="3587" s="38" customFormat="1" x14ac:dyDescent="0.2"/>
    <row r="3588" s="38" customFormat="1" x14ac:dyDescent="0.2"/>
    <row r="3589" s="38" customFormat="1" x14ac:dyDescent="0.2"/>
    <row r="3590" s="38" customFormat="1" x14ac:dyDescent="0.2"/>
    <row r="3591" s="38" customFormat="1" x14ac:dyDescent="0.2"/>
    <row r="3592" s="38" customFormat="1" x14ac:dyDescent="0.2"/>
    <row r="3593" s="38" customFormat="1" x14ac:dyDescent="0.2"/>
    <row r="3594" s="38" customFormat="1" x14ac:dyDescent="0.2"/>
    <row r="3595" s="38" customFormat="1" x14ac:dyDescent="0.2"/>
    <row r="3596" s="38" customFormat="1" x14ac:dyDescent="0.2"/>
    <row r="3597" s="38" customFormat="1" x14ac:dyDescent="0.2"/>
    <row r="3598" s="38" customFormat="1" x14ac:dyDescent="0.2"/>
    <row r="3599" s="38" customFormat="1" x14ac:dyDescent="0.2"/>
    <row r="3600" s="38" customFormat="1" x14ac:dyDescent="0.2"/>
    <row r="3601" s="38" customFormat="1" x14ac:dyDescent="0.2"/>
    <row r="3602" s="38" customFormat="1" x14ac:dyDescent="0.2"/>
    <row r="3603" s="38" customFormat="1" x14ac:dyDescent="0.2"/>
    <row r="3604" s="38" customFormat="1" x14ac:dyDescent="0.2"/>
    <row r="3605" s="38" customFormat="1" x14ac:dyDescent="0.2"/>
    <row r="3606" s="38" customFormat="1" x14ac:dyDescent="0.2"/>
    <row r="3607" s="38" customFormat="1" x14ac:dyDescent="0.2"/>
    <row r="3608" s="38" customFormat="1" x14ac:dyDescent="0.2"/>
    <row r="3609" s="38" customFormat="1" x14ac:dyDescent="0.2"/>
    <row r="3610" s="38" customFormat="1" x14ac:dyDescent="0.2"/>
    <row r="3611" s="38" customFormat="1" x14ac:dyDescent="0.2"/>
    <row r="3612" s="38" customFormat="1" x14ac:dyDescent="0.2"/>
    <row r="3613" s="38" customFormat="1" x14ac:dyDescent="0.2"/>
    <row r="3614" s="38" customFormat="1" x14ac:dyDescent="0.2"/>
    <row r="3615" s="38" customFormat="1" x14ac:dyDescent="0.2"/>
    <row r="3616" s="38" customFormat="1" x14ac:dyDescent="0.2"/>
    <row r="3617" s="38" customFormat="1" x14ac:dyDescent="0.2"/>
    <row r="3618" s="38" customFormat="1" x14ac:dyDescent="0.2"/>
    <row r="3619" s="38" customFormat="1" x14ac:dyDescent="0.2"/>
    <row r="3620" s="38" customFormat="1" x14ac:dyDescent="0.2"/>
    <row r="3621" s="38" customFormat="1" x14ac:dyDescent="0.2"/>
    <row r="3622" s="38" customFormat="1" x14ac:dyDescent="0.2"/>
    <row r="3623" s="38" customFormat="1" x14ac:dyDescent="0.2"/>
    <row r="3624" s="38" customFormat="1" x14ac:dyDescent="0.2"/>
    <row r="3625" s="38" customFormat="1" x14ac:dyDescent="0.2"/>
    <row r="3626" s="38" customFormat="1" x14ac:dyDescent="0.2"/>
    <row r="3627" s="38" customFormat="1" x14ac:dyDescent="0.2"/>
    <row r="3628" s="38" customFormat="1" x14ac:dyDescent="0.2"/>
    <row r="3629" s="38" customFormat="1" x14ac:dyDescent="0.2"/>
    <row r="3630" s="38" customFormat="1" x14ac:dyDescent="0.2"/>
    <row r="3631" s="38" customFormat="1" x14ac:dyDescent="0.2"/>
    <row r="3632" s="38" customFormat="1" x14ac:dyDescent="0.2"/>
    <row r="3633" s="38" customFormat="1" x14ac:dyDescent="0.2"/>
    <row r="3634" s="38" customFormat="1" x14ac:dyDescent="0.2"/>
    <row r="3635" s="38" customFormat="1" x14ac:dyDescent="0.2"/>
    <row r="3636" s="38" customFormat="1" x14ac:dyDescent="0.2"/>
    <row r="3637" s="38" customFormat="1" x14ac:dyDescent="0.2"/>
    <row r="3638" s="38" customFormat="1" x14ac:dyDescent="0.2"/>
    <row r="3639" s="38" customFormat="1" x14ac:dyDescent="0.2"/>
    <row r="3640" s="38" customFormat="1" x14ac:dyDescent="0.2"/>
    <row r="3641" s="38" customFormat="1" x14ac:dyDescent="0.2"/>
    <row r="3642" s="38" customFormat="1" x14ac:dyDescent="0.2"/>
    <row r="3643" s="38" customFormat="1" x14ac:dyDescent="0.2"/>
    <row r="3644" s="38" customFormat="1" x14ac:dyDescent="0.2"/>
    <row r="3645" s="38" customFormat="1" x14ac:dyDescent="0.2"/>
    <row r="3646" s="38" customFormat="1" x14ac:dyDescent="0.2"/>
    <row r="3647" s="38" customFormat="1" x14ac:dyDescent="0.2"/>
    <row r="3648" s="38" customFormat="1" x14ac:dyDescent="0.2"/>
    <row r="3649" s="38" customFormat="1" x14ac:dyDescent="0.2"/>
    <row r="3650" s="38" customFormat="1" x14ac:dyDescent="0.2"/>
    <row r="3651" s="38" customFormat="1" x14ac:dyDescent="0.2"/>
    <row r="3652" s="38" customFormat="1" x14ac:dyDescent="0.2"/>
    <row r="3653" s="38" customFormat="1" x14ac:dyDescent="0.2"/>
    <row r="3654" s="38" customFormat="1" x14ac:dyDescent="0.2"/>
    <row r="3655" s="38" customFormat="1" x14ac:dyDescent="0.2"/>
    <row r="3656" s="38" customFormat="1" x14ac:dyDescent="0.2"/>
    <row r="3657" s="38" customFormat="1" x14ac:dyDescent="0.2"/>
    <row r="3658" s="38" customFormat="1" x14ac:dyDescent="0.2"/>
    <row r="3659" s="38" customFormat="1" x14ac:dyDescent="0.2"/>
    <row r="3660" s="38" customFormat="1" x14ac:dyDescent="0.2"/>
    <row r="3661" s="38" customFormat="1" x14ac:dyDescent="0.2"/>
    <row r="3662" s="38" customFormat="1" x14ac:dyDescent="0.2"/>
    <row r="3663" s="38" customFormat="1" x14ac:dyDescent="0.2"/>
    <row r="3664" s="38" customFormat="1" x14ac:dyDescent="0.2"/>
    <row r="3665" s="38" customFormat="1" x14ac:dyDescent="0.2"/>
    <row r="3666" s="38" customFormat="1" x14ac:dyDescent="0.2"/>
    <row r="3667" s="38" customFormat="1" x14ac:dyDescent="0.2"/>
    <row r="3668" s="38" customFormat="1" x14ac:dyDescent="0.2"/>
    <row r="3669" s="38" customFormat="1" x14ac:dyDescent="0.2"/>
    <row r="3670" s="38" customFormat="1" x14ac:dyDescent="0.2"/>
    <row r="3671" s="38" customFormat="1" x14ac:dyDescent="0.2"/>
    <row r="3672" s="38" customFormat="1" x14ac:dyDescent="0.2"/>
    <row r="3673" s="38" customFormat="1" x14ac:dyDescent="0.2"/>
    <row r="3674" s="38" customFormat="1" x14ac:dyDescent="0.2"/>
    <row r="3675" s="38" customFormat="1" x14ac:dyDescent="0.2"/>
    <row r="3676" s="38" customFormat="1" x14ac:dyDescent="0.2"/>
    <row r="3677" s="38" customFormat="1" x14ac:dyDescent="0.2"/>
    <row r="3678" s="38" customFormat="1" x14ac:dyDescent="0.2"/>
    <row r="3679" s="38" customFormat="1" x14ac:dyDescent="0.2"/>
    <row r="3680" s="38" customFormat="1" x14ac:dyDescent="0.2"/>
    <row r="3681" s="38" customFormat="1" x14ac:dyDescent="0.2"/>
    <row r="3682" s="38" customFormat="1" x14ac:dyDescent="0.2"/>
    <row r="3683" s="38" customFormat="1" x14ac:dyDescent="0.2"/>
    <row r="3684" s="38" customFormat="1" x14ac:dyDescent="0.2"/>
    <row r="3685" s="38" customFormat="1" x14ac:dyDescent="0.2"/>
    <row r="3686" s="38" customFormat="1" x14ac:dyDescent="0.2"/>
    <row r="3687" s="38" customFormat="1" x14ac:dyDescent="0.2"/>
    <row r="3688" s="38" customFormat="1" x14ac:dyDescent="0.2"/>
    <row r="3689" s="38" customFormat="1" x14ac:dyDescent="0.2"/>
    <row r="3690" s="38" customFormat="1" x14ac:dyDescent="0.2"/>
    <row r="3691" s="38" customFormat="1" x14ac:dyDescent="0.2"/>
    <row r="3692" s="38" customFormat="1" x14ac:dyDescent="0.2"/>
    <row r="3693" s="38" customFormat="1" x14ac:dyDescent="0.2"/>
    <row r="3694" s="38" customFormat="1" x14ac:dyDescent="0.2"/>
    <row r="3695" s="38" customFormat="1" x14ac:dyDescent="0.2"/>
    <row r="3696" s="38" customFormat="1" x14ac:dyDescent="0.2"/>
    <row r="3697" s="38" customFormat="1" x14ac:dyDescent="0.2"/>
    <row r="3698" s="38" customFormat="1" x14ac:dyDescent="0.2"/>
    <row r="3699" s="38" customFormat="1" x14ac:dyDescent="0.2"/>
    <row r="3700" s="38" customFormat="1" x14ac:dyDescent="0.2"/>
    <row r="3701" s="38" customFormat="1" x14ac:dyDescent="0.2"/>
    <row r="3702" s="38" customFormat="1" x14ac:dyDescent="0.2"/>
    <row r="3703" s="38" customFormat="1" x14ac:dyDescent="0.2"/>
    <row r="3704" s="38" customFormat="1" x14ac:dyDescent="0.2"/>
    <row r="3705" s="38" customFormat="1" x14ac:dyDescent="0.2"/>
    <row r="3706" s="38" customFormat="1" x14ac:dyDescent="0.2"/>
    <row r="3707" s="38" customFormat="1" x14ac:dyDescent="0.2"/>
    <row r="3708" s="38" customFormat="1" x14ac:dyDescent="0.2"/>
    <row r="3709" s="38" customFormat="1" x14ac:dyDescent="0.2"/>
    <row r="3710" s="38" customFormat="1" x14ac:dyDescent="0.2"/>
    <row r="3711" s="38" customFormat="1" x14ac:dyDescent="0.2"/>
    <row r="3712" s="38" customFormat="1" x14ac:dyDescent="0.2"/>
    <row r="3713" s="38" customFormat="1" x14ac:dyDescent="0.2"/>
    <row r="3714" s="38" customFormat="1" x14ac:dyDescent="0.2"/>
    <row r="3715" s="38" customFormat="1" x14ac:dyDescent="0.2"/>
    <row r="3716" s="38" customFormat="1" x14ac:dyDescent="0.2"/>
    <row r="3717" s="38" customFormat="1" x14ac:dyDescent="0.2"/>
    <row r="3718" s="38" customFormat="1" x14ac:dyDescent="0.2"/>
    <row r="3719" s="38" customFormat="1" x14ac:dyDescent="0.2"/>
    <row r="3720" s="38" customFormat="1" x14ac:dyDescent="0.2"/>
    <row r="3721" s="38" customFormat="1" x14ac:dyDescent="0.2"/>
    <row r="3722" s="38" customFormat="1" x14ac:dyDescent="0.2"/>
    <row r="3723" s="38" customFormat="1" x14ac:dyDescent="0.2"/>
    <row r="3724" s="38" customFormat="1" x14ac:dyDescent="0.2"/>
    <row r="3725" s="38" customFormat="1" x14ac:dyDescent="0.2"/>
    <row r="3726" s="38" customFormat="1" x14ac:dyDescent="0.2"/>
    <row r="3727" s="38" customFormat="1" x14ac:dyDescent="0.2"/>
    <row r="3728" s="38" customFormat="1" x14ac:dyDescent="0.2"/>
    <row r="3729" s="38" customFormat="1" x14ac:dyDescent="0.2"/>
    <row r="3730" s="38" customFormat="1" x14ac:dyDescent="0.2"/>
    <row r="3731" s="38" customFormat="1" x14ac:dyDescent="0.2"/>
    <row r="3732" s="38" customFormat="1" x14ac:dyDescent="0.2"/>
    <row r="3733" s="38" customFormat="1" x14ac:dyDescent="0.2"/>
    <row r="3734" s="38" customFormat="1" x14ac:dyDescent="0.2"/>
    <row r="3735" s="38" customFormat="1" x14ac:dyDescent="0.2"/>
    <row r="3736" s="38" customFormat="1" x14ac:dyDescent="0.2"/>
    <row r="3737" s="38" customFormat="1" x14ac:dyDescent="0.2"/>
    <row r="3738" s="38" customFormat="1" x14ac:dyDescent="0.2"/>
    <row r="3739" s="38" customFormat="1" x14ac:dyDescent="0.2"/>
    <row r="3740" s="38" customFormat="1" x14ac:dyDescent="0.2"/>
    <row r="3741" s="38" customFormat="1" x14ac:dyDescent="0.2"/>
    <row r="3742" s="38" customFormat="1" x14ac:dyDescent="0.2"/>
    <row r="3743" s="38" customFormat="1" x14ac:dyDescent="0.2"/>
    <row r="3744" s="38" customFormat="1" x14ac:dyDescent="0.2"/>
    <row r="3745" s="38" customFormat="1" x14ac:dyDescent="0.2"/>
    <row r="3746" s="38" customFormat="1" x14ac:dyDescent="0.2"/>
    <row r="3747" s="38" customFormat="1" x14ac:dyDescent="0.2"/>
    <row r="3748" s="38" customFormat="1" x14ac:dyDescent="0.2"/>
    <row r="3749" s="38" customFormat="1" x14ac:dyDescent="0.2"/>
    <row r="3750" s="38" customFormat="1" x14ac:dyDescent="0.2"/>
    <row r="3751" s="38" customFormat="1" x14ac:dyDescent="0.2"/>
    <row r="3752" s="38" customFormat="1" x14ac:dyDescent="0.2"/>
    <row r="3753" s="38" customFormat="1" x14ac:dyDescent="0.2"/>
    <row r="3754" s="38" customFormat="1" x14ac:dyDescent="0.2"/>
    <row r="3755" s="38" customFormat="1" x14ac:dyDescent="0.2"/>
    <row r="3756" s="38" customFormat="1" x14ac:dyDescent="0.2"/>
    <row r="3757" s="38" customFormat="1" x14ac:dyDescent="0.2"/>
    <row r="3758" s="38" customFormat="1" x14ac:dyDescent="0.2"/>
    <row r="3759" s="38" customFormat="1" x14ac:dyDescent="0.2"/>
    <row r="3760" s="38" customFormat="1" x14ac:dyDescent="0.2"/>
    <row r="3761" s="38" customFormat="1" x14ac:dyDescent="0.2"/>
    <row r="3762" s="38" customFormat="1" x14ac:dyDescent="0.2"/>
    <row r="3763" s="38" customFormat="1" x14ac:dyDescent="0.2"/>
    <row r="3764" s="38" customFormat="1" x14ac:dyDescent="0.2"/>
    <row r="3765" s="38" customFormat="1" x14ac:dyDescent="0.2"/>
    <row r="3766" s="38" customFormat="1" x14ac:dyDescent="0.2"/>
    <row r="3767" s="38" customFormat="1" x14ac:dyDescent="0.2"/>
    <row r="3768" s="38" customFormat="1" x14ac:dyDescent="0.2"/>
    <row r="3769" s="38" customFormat="1" x14ac:dyDescent="0.2"/>
    <row r="3770" s="38" customFormat="1" x14ac:dyDescent="0.2"/>
    <row r="3771" s="38" customFormat="1" x14ac:dyDescent="0.2"/>
    <row r="3772" s="38" customFormat="1" x14ac:dyDescent="0.2"/>
    <row r="3773" s="38" customFormat="1" x14ac:dyDescent="0.2"/>
    <row r="3774" s="38" customFormat="1" x14ac:dyDescent="0.2"/>
    <row r="3775" s="38" customFormat="1" x14ac:dyDescent="0.2"/>
    <row r="3776" s="38" customFormat="1" x14ac:dyDescent="0.2"/>
    <row r="3777" s="38" customFormat="1" x14ac:dyDescent="0.2"/>
    <row r="3778" s="38" customFormat="1" x14ac:dyDescent="0.2"/>
    <row r="3779" s="38" customFormat="1" x14ac:dyDescent="0.2"/>
    <row r="3780" s="38" customFormat="1" x14ac:dyDescent="0.2"/>
    <row r="3781" s="38" customFormat="1" x14ac:dyDescent="0.2"/>
    <row r="3782" s="38" customFormat="1" x14ac:dyDescent="0.2"/>
    <row r="3783" s="38" customFormat="1" x14ac:dyDescent="0.2"/>
    <row r="3784" s="38" customFormat="1" x14ac:dyDescent="0.2"/>
    <row r="3785" s="38" customFormat="1" x14ac:dyDescent="0.2"/>
    <row r="3786" s="38" customFormat="1" x14ac:dyDescent="0.2"/>
    <row r="3787" s="38" customFormat="1" x14ac:dyDescent="0.2"/>
    <row r="3788" s="38" customFormat="1" x14ac:dyDescent="0.2"/>
    <row r="3789" s="38" customFormat="1" x14ac:dyDescent="0.2"/>
    <row r="3790" s="38" customFormat="1" x14ac:dyDescent="0.2"/>
    <row r="3791" s="38" customFormat="1" x14ac:dyDescent="0.2"/>
    <row r="3792" s="38" customFormat="1" x14ac:dyDescent="0.2"/>
    <row r="3793" s="38" customFormat="1" x14ac:dyDescent="0.2"/>
    <row r="3794" s="38" customFormat="1" x14ac:dyDescent="0.2"/>
    <row r="3795" s="38" customFormat="1" x14ac:dyDescent="0.2"/>
    <row r="3796" s="38" customFormat="1" x14ac:dyDescent="0.2"/>
    <row r="3797" s="38" customFormat="1" x14ac:dyDescent="0.2"/>
    <row r="3798" s="38" customFormat="1" x14ac:dyDescent="0.2"/>
    <row r="3799" s="38" customFormat="1" x14ac:dyDescent="0.2"/>
    <row r="3800" s="38" customFormat="1" x14ac:dyDescent="0.2"/>
    <row r="3801" s="38" customFormat="1" x14ac:dyDescent="0.2"/>
    <row r="3802" s="38" customFormat="1" x14ac:dyDescent="0.2"/>
    <row r="3803" s="38" customFormat="1" x14ac:dyDescent="0.2"/>
    <row r="3804" s="38" customFormat="1" x14ac:dyDescent="0.2"/>
    <row r="3805" s="38" customFormat="1" x14ac:dyDescent="0.2"/>
    <row r="3806" s="38" customFormat="1" x14ac:dyDescent="0.2"/>
    <row r="3807" s="38" customFormat="1" x14ac:dyDescent="0.2"/>
    <row r="3808" s="38" customFormat="1" x14ac:dyDescent="0.2"/>
    <row r="3809" s="38" customFormat="1" x14ac:dyDescent="0.2"/>
    <row r="3810" s="38" customFormat="1" x14ac:dyDescent="0.2"/>
    <row r="3811" s="38" customFormat="1" x14ac:dyDescent="0.2"/>
    <row r="3812" s="38" customFormat="1" x14ac:dyDescent="0.2"/>
    <row r="3813" s="38" customFormat="1" x14ac:dyDescent="0.2"/>
    <row r="3814" s="38" customFormat="1" x14ac:dyDescent="0.2"/>
    <row r="3815" s="38" customFormat="1" x14ac:dyDescent="0.2"/>
    <row r="3816" s="38" customFormat="1" x14ac:dyDescent="0.2"/>
    <row r="3817" s="38" customFormat="1" x14ac:dyDescent="0.2"/>
    <row r="3818" s="38" customFormat="1" x14ac:dyDescent="0.2"/>
    <row r="3819" s="38" customFormat="1" x14ac:dyDescent="0.2"/>
    <row r="3820" s="38" customFormat="1" x14ac:dyDescent="0.2"/>
    <row r="3821" s="38" customFormat="1" x14ac:dyDescent="0.2"/>
    <row r="3822" s="38" customFormat="1" x14ac:dyDescent="0.2"/>
    <row r="3823" s="38" customFormat="1" x14ac:dyDescent="0.2"/>
    <row r="3824" s="38" customFormat="1" x14ac:dyDescent="0.2"/>
    <row r="3825" s="38" customFormat="1" x14ac:dyDescent="0.2"/>
    <row r="3826" s="38" customFormat="1" x14ac:dyDescent="0.2"/>
    <row r="3827" s="38" customFormat="1" x14ac:dyDescent="0.2"/>
    <row r="3828" s="38" customFormat="1" x14ac:dyDescent="0.2"/>
    <row r="3829" s="38" customFormat="1" x14ac:dyDescent="0.2"/>
    <row r="3830" s="38" customFormat="1" x14ac:dyDescent="0.2"/>
    <row r="3831" s="38" customFormat="1" x14ac:dyDescent="0.2"/>
    <row r="3832" s="38" customFormat="1" x14ac:dyDescent="0.2"/>
    <row r="3833" s="38" customFormat="1" x14ac:dyDescent="0.2"/>
    <row r="3834" s="38" customFormat="1" x14ac:dyDescent="0.2"/>
    <row r="3835" s="38" customFormat="1" x14ac:dyDescent="0.2"/>
    <row r="3836" s="38" customFormat="1" x14ac:dyDescent="0.2"/>
    <row r="3837" s="38" customFormat="1" x14ac:dyDescent="0.2"/>
    <row r="3838" s="38" customFormat="1" x14ac:dyDescent="0.2"/>
    <row r="3839" s="38" customFormat="1" x14ac:dyDescent="0.2"/>
    <row r="3840" s="38" customFormat="1" x14ac:dyDescent="0.2"/>
    <row r="3841" s="38" customFormat="1" x14ac:dyDescent="0.2"/>
    <row r="3842" s="38" customFormat="1" x14ac:dyDescent="0.2"/>
    <row r="3843" s="38" customFormat="1" x14ac:dyDescent="0.2"/>
    <row r="3844" s="38" customFormat="1" x14ac:dyDescent="0.2"/>
    <row r="3845" s="38" customFormat="1" x14ac:dyDescent="0.2"/>
    <row r="3846" s="38" customFormat="1" x14ac:dyDescent="0.2"/>
    <row r="3847" s="38" customFormat="1" x14ac:dyDescent="0.2"/>
    <row r="3848" s="38" customFormat="1" x14ac:dyDescent="0.2"/>
    <row r="3849" s="38" customFormat="1" x14ac:dyDescent="0.2"/>
    <row r="3850" s="38" customFormat="1" x14ac:dyDescent="0.2"/>
    <row r="3851" s="38" customFormat="1" x14ac:dyDescent="0.2"/>
    <row r="3852" s="38" customFormat="1" x14ac:dyDescent="0.2"/>
    <row r="3853" s="38" customFormat="1" x14ac:dyDescent="0.2"/>
    <row r="3854" s="38" customFormat="1" x14ac:dyDescent="0.2"/>
    <row r="3855" s="38" customFormat="1" x14ac:dyDescent="0.2"/>
    <row r="3856" s="38" customFormat="1" x14ac:dyDescent="0.2"/>
    <row r="3857" s="38" customFormat="1" x14ac:dyDescent="0.2"/>
    <row r="3858" s="38" customFormat="1" x14ac:dyDescent="0.2"/>
    <row r="3859" s="38" customFormat="1" x14ac:dyDescent="0.2"/>
    <row r="3860" s="38" customFormat="1" x14ac:dyDescent="0.2"/>
    <row r="3861" s="38" customFormat="1" x14ac:dyDescent="0.2"/>
    <row r="3862" s="38" customFormat="1" x14ac:dyDescent="0.2"/>
    <row r="3863" s="38" customFormat="1" x14ac:dyDescent="0.2"/>
    <row r="3864" s="38" customFormat="1" x14ac:dyDescent="0.2"/>
    <row r="3865" s="38" customFormat="1" x14ac:dyDescent="0.2"/>
    <row r="3866" s="38" customFormat="1" x14ac:dyDescent="0.2"/>
    <row r="3867" s="38" customFormat="1" x14ac:dyDescent="0.2"/>
    <row r="3868" s="38" customFormat="1" x14ac:dyDescent="0.2"/>
    <row r="3869" s="38" customFormat="1" x14ac:dyDescent="0.2"/>
    <row r="3870" s="38" customFormat="1" x14ac:dyDescent="0.2"/>
    <row r="3871" s="38" customFormat="1" x14ac:dyDescent="0.2"/>
    <row r="3872" s="38" customFormat="1" x14ac:dyDescent="0.2"/>
    <row r="3873" s="38" customFormat="1" x14ac:dyDescent="0.2"/>
    <row r="3874" s="38" customFormat="1" x14ac:dyDescent="0.2"/>
    <row r="3875" s="38" customFormat="1" x14ac:dyDescent="0.2"/>
    <row r="3876" s="38" customFormat="1" x14ac:dyDescent="0.2"/>
    <row r="3877" s="38" customFormat="1" x14ac:dyDescent="0.2"/>
    <row r="3878" s="38" customFormat="1" x14ac:dyDescent="0.2"/>
    <row r="3879" s="38" customFormat="1" x14ac:dyDescent="0.2"/>
    <row r="3880" s="38" customFormat="1" x14ac:dyDescent="0.2"/>
    <row r="3881" s="38" customFormat="1" x14ac:dyDescent="0.2"/>
    <row r="3882" s="38" customFormat="1" x14ac:dyDescent="0.2"/>
    <row r="3883" s="38" customFormat="1" x14ac:dyDescent="0.2"/>
    <row r="3884" s="38" customFormat="1" x14ac:dyDescent="0.2"/>
    <row r="3885" s="38" customFormat="1" x14ac:dyDescent="0.2"/>
    <row r="3886" s="38" customFormat="1" x14ac:dyDescent="0.2"/>
    <row r="3887" s="38" customFormat="1" x14ac:dyDescent="0.2"/>
    <row r="3888" s="38" customFormat="1" x14ac:dyDescent="0.2"/>
    <row r="3889" s="38" customFormat="1" x14ac:dyDescent="0.2"/>
    <row r="3890" s="38" customFormat="1" x14ac:dyDescent="0.2"/>
    <row r="3891" s="38" customFormat="1" x14ac:dyDescent="0.2"/>
    <row r="3892" s="38" customFormat="1" x14ac:dyDescent="0.2"/>
    <row r="3893" s="38" customFormat="1" x14ac:dyDescent="0.2"/>
    <row r="3894" s="38" customFormat="1" x14ac:dyDescent="0.2"/>
    <row r="3895" s="38" customFormat="1" x14ac:dyDescent="0.2"/>
    <row r="3896" s="38" customFormat="1" x14ac:dyDescent="0.2"/>
    <row r="3897" s="38" customFormat="1" x14ac:dyDescent="0.2"/>
    <row r="3898" s="38" customFormat="1" x14ac:dyDescent="0.2"/>
    <row r="3899" s="38" customFormat="1" x14ac:dyDescent="0.2"/>
    <row r="3900" s="38" customFormat="1" x14ac:dyDescent="0.2"/>
    <row r="3901" s="38" customFormat="1" x14ac:dyDescent="0.2"/>
    <row r="3902" s="38" customFormat="1" x14ac:dyDescent="0.2"/>
    <row r="3903" s="38" customFormat="1" x14ac:dyDescent="0.2"/>
    <row r="3904" s="38" customFormat="1" x14ac:dyDescent="0.2"/>
    <row r="3905" s="38" customFormat="1" x14ac:dyDescent="0.2"/>
    <row r="3906" s="38" customFormat="1" x14ac:dyDescent="0.2"/>
    <row r="3907" s="38" customFormat="1" x14ac:dyDescent="0.2"/>
    <row r="3908" s="38" customFormat="1" x14ac:dyDescent="0.2"/>
    <row r="3909" s="38" customFormat="1" x14ac:dyDescent="0.2"/>
    <row r="3910" s="38" customFormat="1" x14ac:dyDescent="0.2"/>
    <row r="3911" s="38" customFormat="1" x14ac:dyDescent="0.2"/>
    <row r="3912" s="38" customFormat="1" x14ac:dyDescent="0.2"/>
    <row r="3913" s="38" customFormat="1" x14ac:dyDescent="0.2"/>
    <row r="3914" s="38" customFormat="1" x14ac:dyDescent="0.2"/>
    <row r="3915" s="38" customFormat="1" x14ac:dyDescent="0.2"/>
    <row r="3916" s="38" customFormat="1" x14ac:dyDescent="0.2"/>
    <row r="3917" s="38" customFormat="1" x14ac:dyDescent="0.2"/>
    <row r="3918" s="38" customFormat="1" x14ac:dyDescent="0.2"/>
    <row r="3919" s="38" customFormat="1" x14ac:dyDescent="0.2"/>
    <row r="3920" s="38" customFormat="1" x14ac:dyDescent="0.2"/>
    <row r="3921" s="38" customFormat="1" x14ac:dyDescent="0.2"/>
    <row r="3922" s="38" customFormat="1" x14ac:dyDescent="0.2"/>
    <row r="3923" s="38" customFormat="1" x14ac:dyDescent="0.2"/>
    <row r="3924" s="38" customFormat="1" x14ac:dyDescent="0.2"/>
    <row r="3925" s="38" customFormat="1" x14ac:dyDescent="0.2"/>
    <row r="3926" s="38" customFormat="1" x14ac:dyDescent="0.2"/>
    <row r="3927" s="38" customFormat="1" x14ac:dyDescent="0.2"/>
    <row r="3928" s="38" customFormat="1" x14ac:dyDescent="0.2"/>
    <row r="3929" s="38" customFormat="1" x14ac:dyDescent="0.2"/>
    <row r="3930" s="38" customFormat="1" x14ac:dyDescent="0.2"/>
    <row r="3931" s="38" customFormat="1" x14ac:dyDescent="0.2"/>
    <row r="3932" s="38" customFormat="1" x14ac:dyDescent="0.2"/>
    <row r="3933" s="38" customFormat="1" x14ac:dyDescent="0.2"/>
    <row r="3934" s="38" customFormat="1" x14ac:dyDescent="0.2"/>
    <row r="3935" s="38" customFormat="1" x14ac:dyDescent="0.2"/>
    <row r="3936" s="38" customFormat="1" x14ac:dyDescent="0.2"/>
    <row r="3937" s="38" customFormat="1" x14ac:dyDescent="0.2"/>
    <row r="3938" s="38" customFormat="1" x14ac:dyDescent="0.2"/>
    <row r="3939" s="38" customFormat="1" x14ac:dyDescent="0.2"/>
    <row r="3940" s="38" customFormat="1" x14ac:dyDescent="0.2"/>
    <row r="3941" s="38" customFormat="1" x14ac:dyDescent="0.2"/>
    <row r="3942" s="38" customFormat="1" x14ac:dyDescent="0.2"/>
    <row r="3943" s="38" customFormat="1" x14ac:dyDescent="0.2"/>
    <row r="3944" s="38" customFormat="1" x14ac:dyDescent="0.2"/>
    <row r="3945" s="38" customFormat="1" x14ac:dyDescent="0.2"/>
    <row r="3946" s="38" customFormat="1" x14ac:dyDescent="0.2"/>
    <row r="3947" s="38" customFormat="1" x14ac:dyDescent="0.2"/>
    <row r="3948" s="38" customFormat="1" x14ac:dyDescent="0.2"/>
    <row r="3949" s="38" customFormat="1" x14ac:dyDescent="0.2"/>
    <row r="3950" s="38" customFormat="1" x14ac:dyDescent="0.2"/>
    <row r="3951" s="38" customFormat="1" x14ac:dyDescent="0.2"/>
    <row r="3952" s="38" customFormat="1" x14ac:dyDescent="0.2"/>
    <row r="3953" s="38" customFormat="1" x14ac:dyDescent="0.2"/>
    <row r="3954" s="38" customFormat="1" x14ac:dyDescent="0.2"/>
    <row r="3955" s="38" customFormat="1" x14ac:dyDescent="0.2"/>
    <row r="3956" s="38" customFormat="1" x14ac:dyDescent="0.2"/>
    <row r="3957" s="38" customFormat="1" x14ac:dyDescent="0.2"/>
    <row r="3958" s="38" customFormat="1" x14ac:dyDescent="0.2"/>
    <row r="3959" s="38" customFormat="1" x14ac:dyDescent="0.2"/>
    <row r="3960" s="38" customFormat="1" x14ac:dyDescent="0.2"/>
    <row r="3961" s="38" customFormat="1" x14ac:dyDescent="0.2"/>
    <row r="3962" s="38" customFormat="1" x14ac:dyDescent="0.2"/>
    <row r="3963" s="38" customFormat="1" x14ac:dyDescent="0.2"/>
    <row r="3964" s="38" customFormat="1" x14ac:dyDescent="0.2"/>
    <row r="3965" s="38" customFormat="1" x14ac:dyDescent="0.2"/>
    <row r="3966" s="38" customFormat="1" x14ac:dyDescent="0.2"/>
    <row r="3967" s="38" customFormat="1" x14ac:dyDescent="0.2"/>
    <row r="3968" s="38" customFormat="1" x14ac:dyDescent="0.2"/>
    <row r="3969" s="38" customFormat="1" x14ac:dyDescent="0.2"/>
    <row r="3970" s="38" customFormat="1" x14ac:dyDescent="0.2"/>
    <row r="3971" s="38" customFormat="1" x14ac:dyDescent="0.2"/>
    <row r="3972" s="38" customFormat="1" x14ac:dyDescent="0.2"/>
    <row r="3973" s="38" customFormat="1" x14ac:dyDescent="0.2"/>
    <row r="3974" s="38" customFormat="1" x14ac:dyDescent="0.2"/>
    <row r="3975" s="38" customFormat="1" x14ac:dyDescent="0.2"/>
    <row r="3976" s="38" customFormat="1" x14ac:dyDescent="0.2"/>
    <row r="3977" s="38" customFormat="1" x14ac:dyDescent="0.2"/>
    <row r="3978" s="38" customFormat="1" x14ac:dyDescent="0.2"/>
    <row r="3979" s="38" customFormat="1" x14ac:dyDescent="0.2"/>
    <row r="3980" s="38" customFormat="1" x14ac:dyDescent="0.2"/>
    <row r="3981" s="38" customFormat="1" x14ac:dyDescent="0.2"/>
    <row r="3982" s="38" customFormat="1" x14ac:dyDescent="0.2"/>
    <row r="3983" s="38" customFormat="1" x14ac:dyDescent="0.2"/>
    <row r="3984" s="38" customFormat="1" x14ac:dyDescent="0.2"/>
    <row r="3985" s="38" customFormat="1" x14ac:dyDescent="0.2"/>
    <row r="3986" s="38" customFormat="1" x14ac:dyDescent="0.2"/>
    <row r="3987" s="38" customFormat="1" x14ac:dyDescent="0.2"/>
    <row r="3988" s="38" customFormat="1" x14ac:dyDescent="0.2"/>
    <row r="3989" s="38" customFormat="1" x14ac:dyDescent="0.2"/>
    <row r="3990" s="38" customFormat="1" x14ac:dyDescent="0.2"/>
    <row r="3991" s="38" customFormat="1" x14ac:dyDescent="0.2"/>
    <row r="3992" s="38" customFormat="1" x14ac:dyDescent="0.2"/>
    <row r="3993" s="38" customFormat="1" x14ac:dyDescent="0.2"/>
    <row r="3994" s="38" customFormat="1" x14ac:dyDescent="0.2"/>
    <row r="3995" s="38" customFormat="1" x14ac:dyDescent="0.2"/>
    <row r="3996" s="38" customFormat="1" x14ac:dyDescent="0.2"/>
    <row r="3997" s="38" customFormat="1" x14ac:dyDescent="0.2"/>
    <row r="3998" s="38" customFormat="1" x14ac:dyDescent="0.2"/>
    <row r="3999" s="38" customFormat="1" x14ac:dyDescent="0.2"/>
    <row r="4000" s="38" customFormat="1" x14ac:dyDescent="0.2"/>
    <row r="4001" s="38" customFormat="1" x14ac:dyDescent="0.2"/>
    <row r="4002" s="38" customFormat="1" x14ac:dyDescent="0.2"/>
    <row r="4003" s="38" customFormat="1" x14ac:dyDescent="0.2"/>
    <row r="4004" s="38" customFormat="1" x14ac:dyDescent="0.2"/>
    <row r="4005" s="38" customFormat="1" x14ac:dyDescent="0.2"/>
    <row r="4006" s="38" customFormat="1" x14ac:dyDescent="0.2"/>
    <row r="4007" s="38" customFormat="1" x14ac:dyDescent="0.2"/>
    <row r="4008" s="38" customFormat="1" x14ac:dyDescent="0.2"/>
    <row r="4009" s="38" customFormat="1" x14ac:dyDescent="0.2"/>
    <row r="4010" s="38" customFormat="1" x14ac:dyDescent="0.2"/>
    <row r="4011" s="38" customFormat="1" x14ac:dyDescent="0.2"/>
    <row r="4012" s="38" customFormat="1" x14ac:dyDescent="0.2"/>
    <row r="4013" s="38" customFormat="1" x14ac:dyDescent="0.2"/>
    <row r="4014" s="38" customFormat="1" x14ac:dyDescent="0.2"/>
    <row r="4015" s="38" customFormat="1" x14ac:dyDescent="0.2"/>
    <row r="4016" s="38" customFormat="1" x14ac:dyDescent="0.2"/>
    <row r="4017" s="38" customFormat="1" x14ac:dyDescent="0.2"/>
    <row r="4018" s="38" customFormat="1" x14ac:dyDescent="0.2"/>
    <row r="4019" s="38" customFormat="1" x14ac:dyDescent="0.2"/>
    <row r="4020" s="38" customFormat="1" x14ac:dyDescent="0.2"/>
    <row r="4021" s="38" customFormat="1" x14ac:dyDescent="0.2"/>
    <row r="4022" s="38" customFormat="1" x14ac:dyDescent="0.2"/>
    <row r="4023" s="38" customFormat="1" x14ac:dyDescent="0.2"/>
    <row r="4024" s="38" customFormat="1" x14ac:dyDescent="0.2"/>
    <row r="4025" s="38" customFormat="1" x14ac:dyDescent="0.2"/>
    <row r="4026" s="38" customFormat="1" x14ac:dyDescent="0.2"/>
    <row r="4027" s="38" customFormat="1" x14ac:dyDescent="0.2"/>
    <row r="4028" s="38" customFormat="1" x14ac:dyDescent="0.2"/>
    <row r="4029" s="38" customFormat="1" x14ac:dyDescent="0.2"/>
    <row r="4030" s="38" customFormat="1" x14ac:dyDescent="0.2"/>
    <row r="4031" s="38" customFormat="1" x14ac:dyDescent="0.2"/>
    <row r="4032" s="38" customFormat="1" x14ac:dyDescent="0.2"/>
    <row r="4033" s="38" customFormat="1" x14ac:dyDescent="0.2"/>
    <row r="4034" s="38" customFormat="1" x14ac:dyDescent="0.2"/>
    <row r="4035" s="38" customFormat="1" x14ac:dyDescent="0.2"/>
    <row r="4036" s="38" customFormat="1" x14ac:dyDescent="0.2"/>
    <row r="4037" s="38" customFormat="1" x14ac:dyDescent="0.2"/>
    <row r="4038" s="38" customFormat="1" x14ac:dyDescent="0.2"/>
    <row r="4039" s="38" customFormat="1" x14ac:dyDescent="0.2"/>
    <row r="4040" s="38" customFormat="1" x14ac:dyDescent="0.2"/>
    <row r="4041" s="38" customFormat="1" x14ac:dyDescent="0.2"/>
    <row r="4042" s="38" customFormat="1" x14ac:dyDescent="0.2"/>
    <row r="4043" s="38" customFormat="1" x14ac:dyDescent="0.2"/>
    <row r="4044" s="38" customFormat="1" x14ac:dyDescent="0.2"/>
    <row r="4045" s="38" customFormat="1" x14ac:dyDescent="0.2"/>
    <row r="4046" s="38" customFormat="1" x14ac:dyDescent="0.2"/>
    <row r="4047" s="38" customFormat="1" x14ac:dyDescent="0.2"/>
    <row r="4048" s="38" customFormat="1" x14ac:dyDescent="0.2"/>
    <row r="4049" s="38" customFormat="1" x14ac:dyDescent="0.2"/>
    <row r="4050" s="38" customFormat="1" x14ac:dyDescent="0.2"/>
    <row r="4051" s="38" customFormat="1" x14ac:dyDescent="0.2"/>
    <row r="4052" s="38" customFormat="1" x14ac:dyDescent="0.2"/>
    <row r="4053" s="38" customFormat="1" x14ac:dyDescent="0.2"/>
    <row r="4054" s="38" customFormat="1" x14ac:dyDescent="0.2"/>
    <row r="4055" s="38" customFormat="1" x14ac:dyDescent="0.2"/>
    <row r="4056" s="38" customFormat="1" x14ac:dyDescent="0.2"/>
    <row r="4057" s="38" customFormat="1" x14ac:dyDescent="0.2"/>
    <row r="4058" s="38" customFormat="1" x14ac:dyDescent="0.2"/>
    <row r="4059" s="38" customFormat="1" x14ac:dyDescent="0.2"/>
    <row r="4060" s="38" customFormat="1" x14ac:dyDescent="0.2"/>
    <row r="4061" s="38" customFormat="1" x14ac:dyDescent="0.2"/>
    <row r="4062" s="38" customFormat="1" x14ac:dyDescent="0.2"/>
    <row r="4063" s="38" customFormat="1" x14ac:dyDescent="0.2"/>
    <row r="4064" s="38" customFormat="1" x14ac:dyDescent="0.2"/>
    <row r="4065" s="38" customFormat="1" x14ac:dyDescent="0.2"/>
    <row r="4066" s="38" customFormat="1" x14ac:dyDescent="0.2"/>
    <row r="4067" s="38" customFormat="1" x14ac:dyDescent="0.2"/>
    <row r="4068" s="38" customFormat="1" x14ac:dyDescent="0.2"/>
    <row r="4069" s="38" customFormat="1" x14ac:dyDescent="0.2"/>
    <row r="4070" s="38" customFormat="1" x14ac:dyDescent="0.2"/>
    <row r="4071" s="38" customFormat="1" x14ac:dyDescent="0.2"/>
    <row r="4072" s="38" customFormat="1" x14ac:dyDescent="0.2"/>
    <row r="4073" s="38" customFormat="1" x14ac:dyDescent="0.2"/>
    <row r="4074" s="38" customFormat="1" x14ac:dyDescent="0.2"/>
    <row r="4075" s="38" customFormat="1" x14ac:dyDescent="0.2"/>
    <row r="4076" s="38" customFormat="1" x14ac:dyDescent="0.2"/>
    <row r="4077" s="38" customFormat="1" x14ac:dyDescent="0.2"/>
    <row r="4078" s="38" customFormat="1" x14ac:dyDescent="0.2"/>
    <row r="4079" s="38" customFormat="1" x14ac:dyDescent="0.2"/>
    <row r="4080" s="38" customFormat="1" x14ac:dyDescent="0.2"/>
    <row r="4081" s="38" customFormat="1" x14ac:dyDescent="0.2"/>
    <row r="4082" s="38" customFormat="1" x14ac:dyDescent="0.2"/>
    <row r="4083" s="38" customFormat="1" x14ac:dyDescent="0.2"/>
    <row r="4084" s="38" customFormat="1" x14ac:dyDescent="0.2"/>
    <row r="4085" s="38" customFormat="1" x14ac:dyDescent="0.2"/>
    <row r="4086" s="38" customFormat="1" x14ac:dyDescent="0.2"/>
    <row r="4087" s="38" customFormat="1" x14ac:dyDescent="0.2"/>
    <row r="4088" s="38" customFormat="1" x14ac:dyDescent="0.2"/>
    <row r="4089" s="38" customFormat="1" x14ac:dyDescent="0.2"/>
    <row r="4090" s="38" customFormat="1" x14ac:dyDescent="0.2"/>
    <row r="4091" s="38" customFormat="1" x14ac:dyDescent="0.2"/>
    <row r="4092" s="38" customFormat="1" x14ac:dyDescent="0.2"/>
    <row r="4093" s="38" customFormat="1" x14ac:dyDescent="0.2"/>
    <row r="4094" s="38" customFormat="1" x14ac:dyDescent="0.2"/>
    <row r="4095" s="38" customFormat="1" x14ac:dyDescent="0.2"/>
    <row r="4096" s="38" customFormat="1" x14ac:dyDescent="0.2"/>
    <row r="4097" s="38" customFormat="1" x14ac:dyDescent="0.2"/>
    <row r="4098" s="38" customFormat="1" x14ac:dyDescent="0.2"/>
    <row r="4099" s="38" customFormat="1" x14ac:dyDescent="0.2"/>
    <row r="4100" s="38" customFormat="1" x14ac:dyDescent="0.2"/>
    <row r="4101" s="38" customFormat="1" x14ac:dyDescent="0.2"/>
    <row r="4102" s="38" customFormat="1" x14ac:dyDescent="0.2"/>
    <row r="4103" s="38" customFormat="1" x14ac:dyDescent="0.2"/>
    <row r="4104" s="38" customFormat="1" x14ac:dyDescent="0.2"/>
    <row r="4105" s="38" customFormat="1" x14ac:dyDescent="0.2"/>
    <row r="4106" s="38" customFormat="1" x14ac:dyDescent="0.2"/>
    <row r="4107" s="38" customFormat="1" x14ac:dyDescent="0.2"/>
    <row r="4108" s="38" customFormat="1" x14ac:dyDescent="0.2"/>
    <row r="4109" s="38" customFormat="1" x14ac:dyDescent="0.2"/>
    <row r="4110" s="38" customFormat="1" x14ac:dyDescent="0.2"/>
    <row r="4111" s="38" customFormat="1" x14ac:dyDescent="0.2"/>
    <row r="4112" s="38" customFormat="1" x14ac:dyDescent="0.2"/>
    <row r="4113" s="38" customFormat="1" x14ac:dyDescent="0.2"/>
    <row r="4114" s="38" customFormat="1" x14ac:dyDescent="0.2"/>
    <row r="4115" s="38" customFormat="1" x14ac:dyDescent="0.2"/>
    <row r="4116" s="38" customFormat="1" x14ac:dyDescent="0.2"/>
    <row r="4117" s="38" customFormat="1" x14ac:dyDescent="0.2"/>
    <row r="4118" s="38" customFormat="1" x14ac:dyDescent="0.2"/>
    <row r="4119" s="38" customFormat="1" x14ac:dyDescent="0.2"/>
    <row r="4120" s="38" customFormat="1" x14ac:dyDescent="0.2"/>
    <row r="4121" s="38" customFormat="1" x14ac:dyDescent="0.2"/>
    <row r="4122" s="38" customFormat="1" x14ac:dyDescent="0.2"/>
    <row r="4123" s="38" customFormat="1" x14ac:dyDescent="0.2"/>
    <row r="4124" s="38" customFormat="1" x14ac:dyDescent="0.2"/>
    <row r="4125" s="38" customFormat="1" x14ac:dyDescent="0.2"/>
    <row r="4126" s="38" customFormat="1" x14ac:dyDescent="0.2"/>
    <row r="4127" s="38" customFormat="1" x14ac:dyDescent="0.2"/>
    <row r="4128" s="38" customFormat="1" x14ac:dyDescent="0.2"/>
    <row r="4129" s="38" customFormat="1" x14ac:dyDescent="0.2"/>
    <row r="4130" s="38" customFormat="1" x14ac:dyDescent="0.2"/>
    <row r="4131" s="38" customFormat="1" x14ac:dyDescent="0.2"/>
    <row r="4132" s="38" customFormat="1" x14ac:dyDescent="0.2"/>
    <row r="4133" s="38" customFormat="1" x14ac:dyDescent="0.2"/>
    <row r="4134" s="38" customFormat="1" x14ac:dyDescent="0.2"/>
    <row r="4135" s="38" customFormat="1" x14ac:dyDescent="0.2"/>
    <row r="4136" s="38" customFormat="1" x14ac:dyDescent="0.2"/>
    <row r="4137" s="38" customFormat="1" x14ac:dyDescent="0.2"/>
    <row r="4138" s="38" customFormat="1" x14ac:dyDescent="0.2"/>
    <row r="4139" s="38" customFormat="1" x14ac:dyDescent="0.2"/>
    <row r="4140" s="38" customFormat="1" x14ac:dyDescent="0.2"/>
    <row r="4141" s="38" customFormat="1" x14ac:dyDescent="0.2"/>
    <row r="4142" s="38" customFormat="1" x14ac:dyDescent="0.2"/>
    <row r="4143" s="38" customFormat="1" x14ac:dyDescent="0.2"/>
    <row r="4144" s="38" customFormat="1" x14ac:dyDescent="0.2"/>
    <row r="4145" s="38" customFormat="1" x14ac:dyDescent="0.2"/>
    <row r="4146" s="38" customFormat="1" x14ac:dyDescent="0.2"/>
    <row r="4147" s="38" customFormat="1" x14ac:dyDescent="0.2"/>
    <row r="4148" s="38" customFormat="1" x14ac:dyDescent="0.2"/>
    <row r="4149" s="38" customFormat="1" x14ac:dyDescent="0.2"/>
    <row r="4150" s="38" customFormat="1" x14ac:dyDescent="0.2"/>
    <row r="4151" s="38" customFormat="1" x14ac:dyDescent="0.2"/>
    <row r="4152" s="38" customFormat="1" x14ac:dyDescent="0.2"/>
    <row r="4153" s="38" customFormat="1" x14ac:dyDescent="0.2"/>
    <row r="4154" s="38" customFormat="1" x14ac:dyDescent="0.2"/>
    <row r="4155" s="38" customFormat="1" x14ac:dyDescent="0.2"/>
    <row r="4156" s="38" customFormat="1" x14ac:dyDescent="0.2"/>
    <row r="4157" s="38" customFormat="1" x14ac:dyDescent="0.2"/>
    <row r="4158" s="38" customFormat="1" x14ac:dyDescent="0.2"/>
    <row r="4159" s="38" customFormat="1" x14ac:dyDescent="0.2"/>
    <row r="4160" s="38" customFormat="1" x14ac:dyDescent="0.2"/>
    <row r="4161" s="38" customFormat="1" x14ac:dyDescent="0.2"/>
    <row r="4162" s="38" customFormat="1" x14ac:dyDescent="0.2"/>
    <row r="4163" s="38" customFormat="1" x14ac:dyDescent="0.2"/>
    <row r="4164" s="38" customFormat="1" x14ac:dyDescent="0.2"/>
    <row r="4165" s="38" customFormat="1" x14ac:dyDescent="0.2"/>
    <row r="4166" s="38" customFormat="1" x14ac:dyDescent="0.2"/>
    <row r="4167" s="38" customFormat="1" x14ac:dyDescent="0.2"/>
    <row r="4168" s="38" customFormat="1" x14ac:dyDescent="0.2"/>
    <row r="4169" s="38" customFormat="1" x14ac:dyDescent="0.2"/>
    <row r="4170" s="38" customFormat="1" x14ac:dyDescent="0.2"/>
    <row r="4171" s="38" customFormat="1" x14ac:dyDescent="0.2"/>
    <row r="4172" s="38" customFormat="1" x14ac:dyDescent="0.2"/>
    <row r="4173" s="38" customFormat="1" x14ac:dyDescent="0.2"/>
    <row r="4174" s="38" customFormat="1" x14ac:dyDescent="0.2"/>
    <row r="4175" s="38" customFormat="1" x14ac:dyDescent="0.2"/>
    <row r="4176" s="38" customFormat="1" x14ac:dyDescent="0.2"/>
    <row r="4177" s="38" customFormat="1" x14ac:dyDescent="0.2"/>
    <row r="4178" s="38" customFormat="1" x14ac:dyDescent="0.2"/>
    <row r="4179" s="38" customFormat="1" x14ac:dyDescent="0.2"/>
    <row r="4180" s="38" customFormat="1" x14ac:dyDescent="0.2"/>
    <row r="4181" s="38" customFormat="1" x14ac:dyDescent="0.2"/>
    <row r="4182" s="38" customFormat="1" x14ac:dyDescent="0.2"/>
    <row r="4183" s="38" customFormat="1" x14ac:dyDescent="0.2"/>
    <row r="4184" s="38" customFormat="1" x14ac:dyDescent="0.2"/>
    <row r="4185" s="38" customFormat="1" x14ac:dyDescent="0.2"/>
    <row r="4186" s="38" customFormat="1" x14ac:dyDescent="0.2"/>
    <row r="4187" s="38" customFormat="1" x14ac:dyDescent="0.2"/>
    <row r="4188" s="38" customFormat="1" x14ac:dyDescent="0.2"/>
    <row r="4189" s="38" customFormat="1" x14ac:dyDescent="0.2"/>
    <row r="4190" s="38" customFormat="1" x14ac:dyDescent="0.2"/>
    <row r="4191" s="38" customFormat="1" x14ac:dyDescent="0.2"/>
    <row r="4192" s="38" customFormat="1" x14ac:dyDescent="0.2"/>
    <row r="4193" s="38" customFormat="1" x14ac:dyDescent="0.2"/>
    <row r="4194" s="38" customFormat="1" x14ac:dyDescent="0.2"/>
    <row r="4195" s="38" customFormat="1" x14ac:dyDescent="0.2"/>
    <row r="4196" s="38" customFormat="1" x14ac:dyDescent="0.2"/>
    <row r="4197" s="38" customFormat="1" x14ac:dyDescent="0.2"/>
    <row r="4198" s="38" customFormat="1" x14ac:dyDescent="0.2"/>
    <row r="4199" s="38" customFormat="1" x14ac:dyDescent="0.2"/>
    <row r="4200" s="38" customFormat="1" x14ac:dyDescent="0.2"/>
    <row r="4201" s="38" customFormat="1" x14ac:dyDescent="0.2"/>
    <row r="4202" s="38" customFormat="1" x14ac:dyDescent="0.2"/>
    <row r="4203" s="38" customFormat="1" x14ac:dyDescent="0.2"/>
    <row r="4204" s="38" customFormat="1" x14ac:dyDescent="0.2"/>
    <row r="4205" s="38" customFormat="1" x14ac:dyDescent="0.2"/>
    <row r="4206" s="38" customFormat="1" x14ac:dyDescent="0.2"/>
    <row r="4207" s="38" customFormat="1" x14ac:dyDescent="0.2"/>
    <row r="4208" s="38" customFormat="1" x14ac:dyDescent="0.2"/>
    <row r="4209" s="38" customFormat="1" x14ac:dyDescent="0.2"/>
    <row r="4210" s="38" customFormat="1" x14ac:dyDescent="0.2"/>
    <row r="4211" s="38" customFormat="1" x14ac:dyDescent="0.2"/>
    <row r="4212" s="38" customFormat="1" x14ac:dyDescent="0.2"/>
    <row r="4213" s="38" customFormat="1" x14ac:dyDescent="0.2"/>
    <row r="4214" s="38" customFormat="1" x14ac:dyDescent="0.2"/>
    <row r="4215" s="38" customFormat="1" x14ac:dyDescent="0.2"/>
    <row r="4216" s="38" customFormat="1" x14ac:dyDescent="0.2"/>
    <row r="4217" s="38" customFormat="1" x14ac:dyDescent="0.2"/>
    <row r="4218" s="38" customFormat="1" x14ac:dyDescent="0.2"/>
    <row r="4219" s="38" customFormat="1" x14ac:dyDescent="0.2"/>
    <row r="4220" s="38" customFormat="1" x14ac:dyDescent="0.2"/>
    <row r="4221" s="38" customFormat="1" x14ac:dyDescent="0.2"/>
    <row r="4222" s="38" customFormat="1" x14ac:dyDescent="0.2"/>
    <row r="4223" s="38" customFormat="1" x14ac:dyDescent="0.2"/>
    <row r="4224" s="38" customFormat="1" x14ac:dyDescent="0.2"/>
    <row r="4225" s="38" customFormat="1" x14ac:dyDescent="0.2"/>
    <row r="4226" s="38" customFormat="1" x14ac:dyDescent="0.2"/>
    <row r="4227" s="38" customFormat="1" x14ac:dyDescent="0.2"/>
    <row r="4228" s="38" customFormat="1" x14ac:dyDescent="0.2"/>
    <row r="4229" s="38" customFormat="1" x14ac:dyDescent="0.2"/>
    <row r="4230" s="38" customFormat="1" x14ac:dyDescent="0.2"/>
    <row r="4231" s="38" customFormat="1" x14ac:dyDescent="0.2"/>
    <row r="4232" s="38" customFormat="1" x14ac:dyDescent="0.2"/>
    <row r="4233" s="38" customFormat="1" x14ac:dyDescent="0.2"/>
    <row r="4234" s="38" customFormat="1" x14ac:dyDescent="0.2"/>
    <row r="4235" s="38" customFormat="1" x14ac:dyDescent="0.2"/>
    <row r="4236" s="38" customFormat="1" x14ac:dyDescent="0.2"/>
    <row r="4237" s="38" customFormat="1" x14ac:dyDescent="0.2"/>
    <row r="4238" s="38" customFormat="1" x14ac:dyDescent="0.2"/>
    <row r="4239" s="38" customFormat="1" x14ac:dyDescent="0.2"/>
    <row r="4240" s="38" customFormat="1" x14ac:dyDescent="0.2"/>
    <row r="4241" s="38" customFormat="1" x14ac:dyDescent="0.2"/>
    <row r="4242" s="38" customFormat="1" x14ac:dyDescent="0.2"/>
    <row r="4243" s="38" customFormat="1" x14ac:dyDescent="0.2"/>
    <row r="4244" s="38" customFormat="1" x14ac:dyDescent="0.2"/>
    <row r="4245" s="38" customFormat="1" x14ac:dyDescent="0.2"/>
    <row r="4246" s="38" customFormat="1" x14ac:dyDescent="0.2"/>
    <row r="4247" s="38" customFormat="1" x14ac:dyDescent="0.2"/>
    <row r="4248" s="38" customFormat="1" x14ac:dyDescent="0.2"/>
    <row r="4249" s="38" customFormat="1" x14ac:dyDescent="0.2"/>
    <row r="4250" s="38" customFormat="1" x14ac:dyDescent="0.2"/>
    <row r="4251" s="38" customFormat="1" x14ac:dyDescent="0.2"/>
    <row r="4252" s="38" customFormat="1" x14ac:dyDescent="0.2"/>
    <row r="4253" s="38" customFormat="1" x14ac:dyDescent="0.2"/>
    <row r="4254" s="38" customFormat="1" x14ac:dyDescent="0.2"/>
    <row r="4255" s="38" customFormat="1" x14ac:dyDescent="0.2"/>
    <row r="4256" s="38" customFormat="1" x14ac:dyDescent="0.2"/>
    <row r="4257" s="38" customFormat="1" x14ac:dyDescent="0.2"/>
    <row r="4258" s="38" customFormat="1" x14ac:dyDescent="0.2"/>
    <row r="4259" s="38" customFormat="1" x14ac:dyDescent="0.2"/>
    <row r="4260" s="38" customFormat="1" x14ac:dyDescent="0.2"/>
    <row r="4261" s="38" customFormat="1" x14ac:dyDescent="0.2"/>
    <row r="4262" s="38" customFormat="1" x14ac:dyDescent="0.2"/>
    <row r="4263" s="38" customFormat="1" x14ac:dyDescent="0.2"/>
    <row r="4264" s="38" customFormat="1" x14ac:dyDescent="0.2"/>
    <row r="4265" s="38" customFormat="1" x14ac:dyDescent="0.2"/>
    <row r="4266" s="38" customFormat="1" x14ac:dyDescent="0.2"/>
    <row r="4267" s="38" customFormat="1" x14ac:dyDescent="0.2"/>
    <row r="4268" s="38" customFormat="1" x14ac:dyDescent="0.2"/>
    <row r="4269" s="38" customFormat="1" x14ac:dyDescent="0.2"/>
    <row r="4270" s="38" customFormat="1" x14ac:dyDescent="0.2"/>
    <row r="4271" s="38" customFormat="1" x14ac:dyDescent="0.2"/>
    <row r="4272" s="38" customFormat="1" x14ac:dyDescent="0.2"/>
    <row r="4273" s="38" customFormat="1" x14ac:dyDescent="0.2"/>
    <row r="4274" s="38" customFormat="1" x14ac:dyDescent="0.2"/>
    <row r="4275" s="38" customFormat="1" x14ac:dyDescent="0.2"/>
    <row r="4276" s="38" customFormat="1" x14ac:dyDescent="0.2"/>
    <row r="4277" s="38" customFormat="1" x14ac:dyDescent="0.2"/>
    <row r="4278" s="38" customFormat="1" x14ac:dyDescent="0.2"/>
    <row r="4279" s="38" customFormat="1" x14ac:dyDescent="0.2"/>
    <row r="4280" s="38" customFormat="1" x14ac:dyDescent="0.2"/>
    <row r="4281" s="38" customFormat="1" x14ac:dyDescent="0.2"/>
    <row r="4282" s="38" customFormat="1" x14ac:dyDescent="0.2"/>
    <row r="4283" s="38" customFormat="1" x14ac:dyDescent="0.2"/>
    <row r="4284" s="38" customFormat="1" x14ac:dyDescent="0.2"/>
    <row r="4285" s="38" customFormat="1" x14ac:dyDescent="0.2"/>
    <row r="4286" s="38" customFormat="1" x14ac:dyDescent="0.2"/>
    <row r="4287" s="38" customFormat="1" x14ac:dyDescent="0.2"/>
    <row r="4288" s="38" customFormat="1" x14ac:dyDescent="0.2"/>
    <row r="4289" s="38" customFormat="1" x14ac:dyDescent="0.2"/>
    <row r="4290" s="38" customFormat="1" x14ac:dyDescent="0.2"/>
    <row r="4291" s="38" customFormat="1" x14ac:dyDescent="0.2"/>
    <row r="4292" s="38" customFormat="1" x14ac:dyDescent="0.2"/>
    <row r="4293" s="38" customFormat="1" x14ac:dyDescent="0.2"/>
    <row r="4294" s="38" customFormat="1" x14ac:dyDescent="0.2"/>
    <row r="4295" s="38" customFormat="1" x14ac:dyDescent="0.2"/>
    <row r="4296" s="38" customFormat="1" x14ac:dyDescent="0.2"/>
    <row r="4297" s="38" customFormat="1" x14ac:dyDescent="0.2"/>
    <row r="4298" s="38" customFormat="1" x14ac:dyDescent="0.2"/>
    <row r="4299" s="38" customFormat="1" x14ac:dyDescent="0.2"/>
    <row r="4300" s="38" customFormat="1" x14ac:dyDescent="0.2"/>
    <row r="4301" s="38" customFormat="1" x14ac:dyDescent="0.2"/>
    <row r="4302" s="38" customFormat="1" x14ac:dyDescent="0.2"/>
    <row r="4303" s="38" customFormat="1" x14ac:dyDescent="0.2"/>
    <row r="4304" s="38" customFormat="1" x14ac:dyDescent="0.2"/>
    <row r="4305" s="38" customFormat="1" x14ac:dyDescent="0.2"/>
    <row r="4306" s="38" customFormat="1" x14ac:dyDescent="0.2"/>
    <row r="4307" s="38" customFormat="1" x14ac:dyDescent="0.2"/>
    <row r="4308" s="38" customFormat="1" x14ac:dyDescent="0.2"/>
    <row r="4309" s="38" customFormat="1" x14ac:dyDescent="0.2"/>
    <row r="4310" s="38" customFormat="1" x14ac:dyDescent="0.2"/>
    <row r="4311" s="38" customFormat="1" x14ac:dyDescent="0.2"/>
    <row r="4312" s="38" customFormat="1" x14ac:dyDescent="0.2"/>
    <row r="4313" s="38" customFormat="1" x14ac:dyDescent="0.2"/>
    <row r="4314" s="38" customFormat="1" x14ac:dyDescent="0.2"/>
    <row r="4315" s="38" customFormat="1" x14ac:dyDescent="0.2"/>
    <row r="4316" s="38" customFormat="1" x14ac:dyDescent="0.2"/>
    <row r="4317" s="38" customFormat="1" x14ac:dyDescent="0.2"/>
    <row r="4318" s="38" customFormat="1" x14ac:dyDescent="0.2"/>
    <row r="4319" s="38" customFormat="1" x14ac:dyDescent="0.2"/>
    <row r="4320" s="38" customFormat="1" x14ac:dyDescent="0.2"/>
    <row r="4321" s="38" customFormat="1" x14ac:dyDescent="0.2"/>
    <row r="4322" s="38" customFormat="1" x14ac:dyDescent="0.2"/>
    <row r="4323" s="38" customFormat="1" x14ac:dyDescent="0.2"/>
    <row r="4324" s="38" customFormat="1" x14ac:dyDescent="0.2"/>
    <row r="4325" s="38" customFormat="1" x14ac:dyDescent="0.2"/>
    <row r="4326" s="38" customFormat="1" x14ac:dyDescent="0.2"/>
    <row r="4327" s="38" customFormat="1" x14ac:dyDescent="0.2"/>
    <row r="4328" s="38" customFormat="1" x14ac:dyDescent="0.2"/>
    <row r="4329" s="38" customFormat="1" x14ac:dyDescent="0.2"/>
    <row r="4330" s="38" customFormat="1" x14ac:dyDescent="0.2"/>
    <row r="4331" s="38" customFormat="1" x14ac:dyDescent="0.2"/>
    <row r="4332" s="38" customFormat="1" x14ac:dyDescent="0.2"/>
    <row r="4333" s="38" customFormat="1" x14ac:dyDescent="0.2"/>
    <row r="4334" s="38" customFormat="1" x14ac:dyDescent="0.2"/>
    <row r="4335" s="38" customFormat="1" x14ac:dyDescent="0.2"/>
    <row r="4336" s="38" customFormat="1" x14ac:dyDescent="0.2"/>
    <row r="4337" s="38" customFormat="1" x14ac:dyDescent="0.2"/>
    <row r="4338" s="38" customFormat="1" x14ac:dyDescent="0.2"/>
    <row r="4339" s="38" customFormat="1" x14ac:dyDescent="0.2"/>
    <row r="4340" s="38" customFormat="1" x14ac:dyDescent="0.2"/>
    <row r="4341" s="38" customFormat="1" x14ac:dyDescent="0.2"/>
    <row r="4342" s="38" customFormat="1" x14ac:dyDescent="0.2"/>
    <row r="4343" s="38" customFormat="1" x14ac:dyDescent="0.2"/>
    <row r="4344" s="38" customFormat="1" x14ac:dyDescent="0.2"/>
    <row r="4345" s="38" customFormat="1" x14ac:dyDescent="0.2"/>
    <row r="4346" s="38" customFormat="1" x14ac:dyDescent="0.2"/>
    <row r="4347" s="38" customFormat="1" x14ac:dyDescent="0.2"/>
    <row r="4348" s="38" customFormat="1" x14ac:dyDescent="0.2"/>
    <row r="4349" s="38" customFormat="1" x14ac:dyDescent="0.2"/>
    <row r="4350" s="38" customFormat="1" x14ac:dyDescent="0.2"/>
    <row r="4351" s="38" customFormat="1" x14ac:dyDescent="0.2"/>
    <row r="4352" s="38" customFormat="1" x14ac:dyDescent="0.2"/>
    <row r="4353" s="38" customFormat="1" x14ac:dyDescent="0.2"/>
    <row r="4354" s="38" customFormat="1" x14ac:dyDescent="0.2"/>
    <row r="4355" s="38" customFormat="1" x14ac:dyDescent="0.2"/>
    <row r="4356" s="38" customFormat="1" x14ac:dyDescent="0.2"/>
    <row r="4357" s="38" customFormat="1" x14ac:dyDescent="0.2"/>
    <row r="4358" s="38" customFormat="1" x14ac:dyDescent="0.2"/>
    <row r="4359" s="38" customFormat="1" x14ac:dyDescent="0.2"/>
    <row r="4360" s="38" customFormat="1" x14ac:dyDescent="0.2"/>
    <row r="4361" s="38" customFormat="1" x14ac:dyDescent="0.2"/>
    <row r="4362" s="38" customFormat="1" x14ac:dyDescent="0.2"/>
    <row r="4363" s="38" customFormat="1" x14ac:dyDescent="0.2"/>
    <row r="4364" s="38" customFormat="1" x14ac:dyDescent="0.2"/>
    <row r="4365" s="38" customFormat="1" x14ac:dyDescent="0.2"/>
    <row r="4366" s="38" customFormat="1" x14ac:dyDescent="0.2"/>
    <row r="4367" s="38" customFormat="1" x14ac:dyDescent="0.2"/>
    <row r="4368" s="38" customFormat="1" x14ac:dyDescent="0.2"/>
    <row r="4369" s="38" customFormat="1" x14ac:dyDescent="0.2"/>
    <row r="4370" s="38" customFormat="1" x14ac:dyDescent="0.2"/>
    <row r="4371" s="38" customFormat="1" x14ac:dyDescent="0.2"/>
    <row r="4372" s="38" customFormat="1" x14ac:dyDescent="0.2"/>
    <row r="4373" s="38" customFormat="1" x14ac:dyDescent="0.2"/>
    <row r="4374" s="38" customFormat="1" x14ac:dyDescent="0.2"/>
    <row r="4375" s="38" customFormat="1" x14ac:dyDescent="0.2"/>
    <row r="4376" s="38" customFormat="1" x14ac:dyDescent="0.2"/>
    <row r="4377" s="38" customFormat="1" x14ac:dyDescent="0.2"/>
    <row r="4378" s="38" customFormat="1" x14ac:dyDescent="0.2"/>
    <row r="4379" s="38" customFormat="1" x14ac:dyDescent="0.2"/>
    <row r="4380" s="38" customFormat="1" x14ac:dyDescent="0.2"/>
    <row r="4381" s="38" customFormat="1" x14ac:dyDescent="0.2"/>
    <row r="4382" s="38" customFormat="1" x14ac:dyDescent="0.2"/>
    <row r="4383" s="38" customFormat="1" x14ac:dyDescent="0.2"/>
    <row r="4384" s="38" customFormat="1" x14ac:dyDescent="0.2"/>
    <row r="4385" s="38" customFormat="1" x14ac:dyDescent="0.2"/>
    <row r="4386" s="38" customFormat="1" x14ac:dyDescent="0.2"/>
    <row r="4387" s="38" customFormat="1" x14ac:dyDescent="0.2"/>
    <row r="4388" s="38" customFormat="1" x14ac:dyDescent="0.2"/>
    <row r="4389" s="38" customFormat="1" x14ac:dyDescent="0.2"/>
    <row r="4390" s="38" customFormat="1" x14ac:dyDescent="0.2"/>
    <row r="4391" s="38" customFormat="1" x14ac:dyDescent="0.2"/>
    <row r="4392" s="38" customFormat="1" x14ac:dyDescent="0.2"/>
    <row r="4393" s="38" customFormat="1" x14ac:dyDescent="0.2"/>
    <row r="4394" s="38" customFormat="1" x14ac:dyDescent="0.2"/>
    <row r="4395" s="38" customFormat="1" x14ac:dyDescent="0.2"/>
    <row r="4396" s="38" customFormat="1" x14ac:dyDescent="0.2"/>
    <row r="4397" s="38" customFormat="1" x14ac:dyDescent="0.2"/>
    <row r="4398" s="38" customFormat="1" x14ac:dyDescent="0.2"/>
    <row r="4399" s="38" customFormat="1" x14ac:dyDescent="0.2"/>
    <row r="4400" s="38" customFormat="1" x14ac:dyDescent="0.2"/>
    <row r="4401" s="38" customFormat="1" x14ac:dyDescent="0.2"/>
    <row r="4402" s="38" customFormat="1" x14ac:dyDescent="0.2"/>
    <row r="4403" s="38" customFormat="1" x14ac:dyDescent="0.2"/>
    <row r="4404" s="38" customFormat="1" x14ac:dyDescent="0.2"/>
    <row r="4405" s="38" customFormat="1" x14ac:dyDescent="0.2"/>
    <row r="4406" s="38" customFormat="1" x14ac:dyDescent="0.2"/>
    <row r="4407" s="38" customFormat="1" x14ac:dyDescent="0.2"/>
    <row r="4408" s="38" customFormat="1" x14ac:dyDescent="0.2"/>
    <row r="4409" s="38" customFormat="1" x14ac:dyDescent="0.2"/>
    <row r="4410" s="38" customFormat="1" x14ac:dyDescent="0.2"/>
    <row r="4411" s="38" customFormat="1" x14ac:dyDescent="0.2"/>
    <row r="4412" s="38" customFormat="1" x14ac:dyDescent="0.2"/>
    <row r="4413" s="38" customFormat="1" x14ac:dyDescent="0.2"/>
    <row r="4414" s="38" customFormat="1" x14ac:dyDescent="0.2"/>
    <row r="4415" s="38" customFormat="1" x14ac:dyDescent="0.2"/>
    <row r="4416" s="38" customFormat="1" x14ac:dyDescent="0.2"/>
    <row r="4417" s="38" customFormat="1" x14ac:dyDescent="0.2"/>
    <row r="4418" s="38" customFormat="1" x14ac:dyDescent="0.2"/>
    <row r="4419" s="38" customFormat="1" x14ac:dyDescent="0.2"/>
    <row r="4420" s="38" customFormat="1" x14ac:dyDescent="0.2"/>
    <row r="4421" s="38" customFormat="1" x14ac:dyDescent="0.2"/>
    <row r="4422" s="38" customFormat="1" x14ac:dyDescent="0.2"/>
    <row r="4423" s="38" customFormat="1" x14ac:dyDescent="0.2"/>
    <row r="4424" s="38" customFormat="1" x14ac:dyDescent="0.2"/>
    <row r="4425" s="38" customFormat="1" x14ac:dyDescent="0.2"/>
    <row r="4426" s="38" customFormat="1" x14ac:dyDescent="0.2"/>
    <row r="4427" s="38" customFormat="1" x14ac:dyDescent="0.2"/>
    <row r="4428" s="38" customFormat="1" x14ac:dyDescent="0.2"/>
    <row r="4429" s="38" customFormat="1" x14ac:dyDescent="0.2"/>
    <row r="4430" s="38" customFormat="1" x14ac:dyDescent="0.2"/>
    <row r="4431" s="38" customFormat="1" x14ac:dyDescent="0.2"/>
    <row r="4432" s="38" customFormat="1" x14ac:dyDescent="0.2"/>
    <row r="4433" s="38" customFormat="1" x14ac:dyDescent="0.2"/>
    <row r="4434" s="38" customFormat="1" x14ac:dyDescent="0.2"/>
    <row r="4435" s="38" customFormat="1" x14ac:dyDescent="0.2"/>
    <row r="4436" s="38" customFormat="1" x14ac:dyDescent="0.2"/>
    <row r="4437" s="38" customFormat="1" x14ac:dyDescent="0.2"/>
    <row r="4438" s="38" customFormat="1" x14ac:dyDescent="0.2"/>
    <row r="4439" s="38" customFormat="1" x14ac:dyDescent="0.2"/>
    <row r="4440" s="38" customFormat="1" x14ac:dyDescent="0.2"/>
    <row r="4441" s="38" customFormat="1" x14ac:dyDescent="0.2"/>
    <row r="4442" s="38" customFormat="1" x14ac:dyDescent="0.2"/>
    <row r="4443" s="38" customFormat="1" x14ac:dyDescent="0.2"/>
    <row r="4444" s="38" customFormat="1" x14ac:dyDescent="0.2"/>
    <row r="4445" s="38" customFormat="1" x14ac:dyDescent="0.2"/>
    <row r="4446" s="38" customFormat="1" x14ac:dyDescent="0.2"/>
    <row r="4447" s="38" customFormat="1" x14ac:dyDescent="0.2"/>
    <row r="4448" s="38" customFormat="1" x14ac:dyDescent="0.2"/>
    <row r="4449" s="38" customFormat="1" x14ac:dyDescent="0.2"/>
    <row r="4450" s="38" customFormat="1" x14ac:dyDescent="0.2"/>
    <row r="4451" s="38" customFormat="1" x14ac:dyDescent="0.2"/>
    <row r="4452" s="38" customFormat="1" x14ac:dyDescent="0.2"/>
    <row r="4453" s="38" customFormat="1" x14ac:dyDescent="0.2"/>
    <row r="4454" s="38" customFormat="1" x14ac:dyDescent="0.2"/>
    <row r="4455" s="38" customFormat="1" x14ac:dyDescent="0.2"/>
    <row r="4456" s="38" customFormat="1" x14ac:dyDescent="0.2"/>
    <row r="4457" s="38" customFormat="1" x14ac:dyDescent="0.2"/>
    <row r="4458" s="38" customFormat="1" x14ac:dyDescent="0.2"/>
    <row r="4459" s="38" customFormat="1" x14ac:dyDescent="0.2"/>
    <row r="4460" s="38" customFormat="1" x14ac:dyDescent="0.2"/>
    <row r="4461" s="38" customFormat="1" x14ac:dyDescent="0.2"/>
    <row r="4462" s="38" customFormat="1" x14ac:dyDescent="0.2"/>
    <row r="4463" s="38" customFormat="1" x14ac:dyDescent="0.2"/>
    <row r="4464" s="38" customFormat="1" x14ac:dyDescent="0.2"/>
    <row r="4465" s="38" customFormat="1" x14ac:dyDescent="0.2"/>
    <row r="4466" s="38" customFormat="1" x14ac:dyDescent="0.2"/>
    <row r="4467" s="38" customFormat="1" x14ac:dyDescent="0.2"/>
    <row r="4468" s="38" customFormat="1" x14ac:dyDescent="0.2"/>
    <row r="4469" s="38" customFormat="1" x14ac:dyDescent="0.2"/>
    <row r="4470" s="38" customFormat="1" x14ac:dyDescent="0.2"/>
    <row r="4471" s="38" customFormat="1" x14ac:dyDescent="0.2"/>
    <row r="4472" s="38" customFormat="1" x14ac:dyDescent="0.2"/>
    <row r="4473" s="38" customFormat="1" x14ac:dyDescent="0.2"/>
    <row r="4474" s="38" customFormat="1" x14ac:dyDescent="0.2"/>
    <row r="4475" s="38" customFormat="1" x14ac:dyDescent="0.2"/>
    <row r="4476" s="38" customFormat="1" x14ac:dyDescent="0.2"/>
    <row r="4477" s="38" customFormat="1" x14ac:dyDescent="0.2"/>
    <row r="4478" s="38" customFormat="1" x14ac:dyDescent="0.2"/>
    <row r="4479" s="38" customFormat="1" x14ac:dyDescent="0.2"/>
    <row r="4480" s="38" customFormat="1" x14ac:dyDescent="0.2"/>
    <row r="4481" s="38" customFormat="1" x14ac:dyDescent="0.2"/>
    <row r="4482" s="38" customFormat="1" x14ac:dyDescent="0.2"/>
    <row r="4483" s="38" customFormat="1" x14ac:dyDescent="0.2"/>
    <row r="4484" s="38" customFormat="1" x14ac:dyDescent="0.2"/>
    <row r="4485" s="38" customFormat="1" x14ac:dyDescent="0.2"/>
    <row r="4486" s="38" customFormat="1" x14ac:dyDescent="0.2"/>
    <row r="4487" s="38" customFormat="1" x14ac:dyDescent="0.2"/>
    <row r="4488" s="38" customFormat="1" x14ac:dyDescent="0.2"/>
    <row r="4489" s="38" customFormat="1" x14ac:dyDescent="0.2"/>
    <row r="4490" s="38" customFormat="1" x14ac:dyDescent="0.2"/>
    <row r="4491" s="38" customFormat="1" x14ac:dyDescent="0.2"/>
    <row r="4492" s="38" customFormat="1" x14ac:dyDescent="0.2"/>
    <row r="4493" s="38" customFormat="1" x14ac:dyDescent="0.2"/>
    <row r="4494" s="38" customFormat="1" x14ac:dyDescent="0.2"/>
    <row r="4495" s="38" customFormat="1" x14ac:dyDescent="0.2"/>
    <row r="4496" s="38" customFormat="1" x14ac:dyDescent="0.2"/>
    <row r="4497" s="38" customFormat="1" x14ac:dyDescent="0.2"/>
    <row r="4498" s="38" customFormat="1" x14ac:dyDescent="0.2"/>
    <row r="4499" s="38" customFormat="1" x14ac:dyDescent="0.2"/>
    <row r="4500" s="38" customFormat="1" x14ac:dyDescent="0.2"/>
    <row r="4501" s="38" customFormat="1" x14ac:dyDescent="0.2"/>
    <row r="4502" s="38" customFormat="1" x14ac:dyDescent="0.2"/>
    <row r="4503" s="38" customFormat="1" x14ac:dyDescent="0.2"/>
    <row r="4504" s="38" customFormat="1" x14ac:dyDescent="0.2"/>
    <row r="4505" s="38" customFormat="1" x14ac:dyDescent="0.2"/>
    <row r="4506" s="38" customFormat="1" x14ac:dyDescent="0.2"/>
    <row r="4507" s="38" customFormat="1" x14ac:dyDescent="0.2"/>
    <row r="4508" s="38" customFormat="1" x14ac:dyDescent="0.2"/>
    <row r="4509" s="38" customFormat="1" x14ac:dyDescent="0.2"/>
    <row r="4510" s="38" customFormat="1" x14ac:dyDescent="0.2"/>
    <row r="4511" s="38" customFormat="1" x14ac:dyDescent="0.2"/>
    <row r="4512" s="38" customFormat="1" x14ac:dyDescent="0.2"/>
    <row r="4513" s="38" customFormat="1" x14ac:dyDescent="0.2"/>
    <row r="4514" s="38" customFormat="1" x14ac:dyDescent="0.2"/>
    <row r="4515" s="38" customFormat="1" x14ac:dyDescent="0.2"/>
    <row r="4516" s="38" customFormat="1" x14ac:dyDescent="0.2"/>
    <row r="4517" s="38" customFormat="1" x14ac:dyDescent="0.2"/>
    <row r="4518" s="38" customFormat="1" x14ac:dyDescent="0.2"/>
    <row r="4519" s="38" customFormat="1" x14ac:dyDescent="0.2"/>
    <row r="4520" s="38" customFormat="1" x14ac:dyDescent="0.2"/>
    <row r="4521" s="38" customFormat="1" x14ac:dyDescent="0.2"/>
    <row r="4522" s="38" customFormat="1" x14ac:dyDescent="0.2"/>
    <row r="4523" s="38" customFormat="1" x14ac:dyDescent="0.2"/>
    <row r="4524" s="38" customFormat="1" x14ac:dyDescent="0.2"/>
    <row r="4525" s="38" customFormat="1" x14ac:dyDescent="0.2"/>
    <row r="4526" s="38" customFormat="1" x14ac:dyDescent="0.2"/>
    <row r="4527" s="38" customFormat="1" x14ac:dyDescent="0.2"/>
    <row r="4528" s="38" customFormat="1" x14ac:dyDescent="0.2"/>
    <row r="4529" s="38" customFormat="1" x14ac:dyDescent="0.2"/>
    <row r="4530" s="38" customFormat="1" x14ac:dyDescent="0.2"/>
    <row r="4531" s="38" customFormat="1" x14ac:dyDescent="0.2"/>
    <row r="4532" s="38" customFormat="1" x14ac:dyDescent="0.2"/>
    <row r="4533" s="38" customFormat="1" x14ac:dyDescent="0.2"/>
    <row r="4534" s="38" customFormat="1" x14ac:dyDescent="0.2"/>
    <row r="4535" s="38" customFormat="1" x14ac:dyDescent="0.2"/>
    <row r="4536" s="38" customFormat="1" x14ac:dyDescent="0.2"/>
    <row r="4537" s="38" customFormat="1" x14ac:dyDescent="0.2"/>
    <row r="4538" s="38" customFormat="1" x14ac:dyDescent="0.2"/>
    <row r="4539" s="38" customFormat="1" x14ac:dyDescent="0.2"/>
    <row r="4540" s="38" customFormat="1" x14ac:dyDescent="0.2"/>
    <row r="4541" s="38" customFormat="1" x14ac:dyDescent="0.2"/>
    <row r="4542" s="38" customFormat="1" x14ac:dyDescent="0.2"/>
    <row r="4543" s="38" customFormat="1" x14ac:dyDescent="0.2"/>
    <row r="4544" s="38" customFormat="1" x14ac:dyDescent="0.2"/>
    <row r="4545" s="38" customFormat="1" x14ac:dyDescent="0.2"/>
    <row r="4546" s="38" customFormat="1" x14ac:dyDescent="0.2"/>
    <row r="4547" s="38" customFormat="1" x14ac:dyDescent="0.2"/>
    <row r="4548" s="38" customFormat="1" x14ac:dyDescent="0.2"/>
    <row r="4549" s="38" customFormat="1" x14ac:dyDescent="0.2"/>
    <row r="4550" s="38" customFormat="1" x14ac:dyDescent="0.2"/>
    <row r="4551" s="38" customFormat="1" x14ac:dyDescent="0.2"/>
    <row r="4552" s="38" customFormat="1" x14ac:dyDescent="0.2"/>
    <row r="4553" s="38" customFormat="1" x14ac:dyDescent="0.2"/>
    <row r="4554" s="38" customFormat="1" x14ac:dyDescent="0.2"/>
    <row r="4555" s="38" customFormat="1" x14ac:dyDescent="0.2"/>
    <row r="4556" s="38" customFormat="1" x14ac:dyDescent="0.2"/>
    <row r="4557" s="38" customFormat="1" x14ac:dyDescent="0.2"/>
    <row r="4558" s="38" customFormat="1" x14ac:dyDescent="0.2"/>
    <row r="4559" s="38" customFormat="1" x14ac:dyDescent="0.2"/>
    <row r="4560" s="38" customFormat="1" x14ac:dyDescent="0.2"/>
    <row r="4561" s="38" customFormat="1" x14ac:dyDescent="0.2"/>
    <row r="4562" s="38" customFormat="1" x14ac:dyDescent="0.2"/>
    <row r="4563" s="38" customFormat="1" x14ac:dyDescent="0.2"/>
    <row r="4564" s="38" customFormat="1" x14ac:dyDescent="0.2"/>
    <row r="4565" s="38" customFormat="1" x14ac:dyDescent="0.2"/>
    <row r="4566" s="38" customFormat="1" x14ac:dyDescent="0.2"/>
    <row r="4567" s="38" customFormat="1" x14ac:dyDescent="0.2"/>
    <row r="4568" s="38" customFormat="1" x14ac:dyDescent="0.2"/>
    <row r="4569" s="38" customFormat="1" x14ac:dyDescent="0.2"/>
    <row r="4570" s="38" customFormat="1" x14ac:dyDescent="0.2"/>
    <row r="4571" s="38" customFormat="1" x14ac:dyDescent="0.2"/>
    <row r="4572" s="38" customFormat="1" x14ac:dyDescent="0.2"/>
    <row r="4573" s="38" customFormat="1" x14ac:dyDescent="0.2"/>
    <row r="4574" s="38" customFormat="1" x14ac:dyDescent="0.2"/>
    <row r="4575" s="38" customFormat="1" x14ac:dyDescent="0.2"/>
    <row r="4576" s="38" customFormat="1" x14ac:dyDescent="0.2"/>
    <row r="4577" s="38" customFormat="1" x14ac:dyDescent="0.2"/>
    <row r="4578" s="38" customFormat="1" x14ac:dyDescent="0.2"/>
    <row r="4579" s="38" customFormat="1" x14ac:dyDescent="0.2"/>
    <row r="4580" s="38" customFormat="1" x14ac:dyDescent="0.2"/>
    <row r="4581" s="38" customFormat="1" x14ac:dyDescent="0.2"/>
    <row r="4582" s="38" customFormat="1" x14ac:dyDescent="0.2"/>
    <row r="4583" s="38" customFormat="1" x14ac:dyDescent="0.2"/>
    <row r="4584" s="38" customFormat="1" x14ac:dyDescent="0.2"/>
    <row r="4585" s="38" customFormat="1" x14ac:dyDescent="0.2"/>
    <row r="4586" s="38" customFormat="1" x14ac:dyDescent="0.2"/>
    <row r="4587" s="38" customFormat="1" x14ac:dyDescent="0.2"/>
    <row r="4588" s="38" customFormat="1" x14ac:dyDescent="0.2"/>
    <row r="4589" s="38" customFormat="1" x14ac:dyDescent="0.2"/>
    <row r="4590" s="38" customFormat="1" x14ac:dyDescent="0.2"/>
    <row r="4591" s="38" customFormat="1" x14ac:dyDescent="0.2"/>
    <row r="4592" s="38" customFormat="1" x14ac:dyDescent="0.2"/>
    <row r="4593" s="38" customFormat="1" x14ac:dyDescent="0.2"/>
    <row r="4594" s="38" customFormat="1" x14ac:dyDescent="0.2"/>
    <row r="4595" s="38" customFormat="1" x14ac:dyDescent="0.2"/>
    <row r="4596" s="38" customFormat="1" x14ac:dyDescent="0.2"/>
    <row r="4597" s="38" customFormat="1" x14ac:dyDescent="0.2"/>
    <row r="4598" s="38" customFormat="1" x14ac:dyDescent="0.2"/>
    <row r="4599" s="38" customFormat="1" x14ac:dyDescent="0.2"/>
    <row r="4600" s="38" customFormat="1" x14ac:dyDescent="0.2"/>
    <row r="4601" s="38" customFormat="1" x14ac:dyDescent="0.2"/>
    <row r="4602" s="38" customFormat="1" x14ac:dyDescent="0.2"/>
    <row r="4603" s="38" customFormat="1" x14ac:dyDescent="0.2"/>
    <row r="4604" s="38" customFormat="1" x14ac:dyDescent="0.2"/>
    <row r="4605" s="38" customFormat="1" x14ac:dyDescent="0.2"/>
    <row r="4606" s="38" customFormat="1" x14ac:dyDescent="0.2"/>
    <row r="4607" s="38" customFormat="1" x14ac:dyDescent="0.2"/>
    <row r="4608" s="38" customFormat="1" x14ac:dyDescent="0.2"/>
    <row r="4609" s="38" customFormat="1" x14ac:dyDescent="0.2"/>
    <row r="4610" s="38" customFormat="1" x14ac:dyDescent="0.2"/>
    <row r="4611" s="38" customFormat="1" x14ac:dyDescent="0.2"/>
    <row r="4612" s="38" customFormat="1" x14ac:dyDescent="0.2"/>
    <row r="4613" s="38" customFormat="1" x14ac:dyDescent="0.2"/>
    <row r="4614" s="38" customFormat="1" x14ac:dyDescent="0.2"/>
    <row r="4615" s="38" customFormat="1" x14ac:dyDescent="0.2"/>
    <row r="4616" s="38" customFormat="1" x14ac:dyDescent="0.2"/>
    <row r="4617" s="38" customFormat="1" x14ac:dyDescent="0.2"/>
    <row r="4618" s="38" customFormat="1" x14ac:dyDescent="0.2"/>
    <row r="4619" s="38" customFormat="1" x14ac:dyDescent="0.2"/>
    <row r="4620" s="38" customFormat="1" x14ac:dyDescent="0.2"/>
    <row r="4621" s="38" customFormat="1" x14ac:dyDescent="0.2"/>
    <row r="4622" s="38" customFormat="1" x14ac:dyDescent="0.2"/>
    <row r="4623" s="38" customFormat="1" x14ac:dyDescent="0.2"/>
    <row r="4624" s="38" customFormat="1" x14ac:dyDescent="0.2"/>
    <row r="4625" s="38" customFormat="1" x14ac:dyDescent="0.2"/>
    <row r="4626" s="38" customFormat="1" x14ac:dyDescent="0.2"/>
    <row r="4627" s="38" customFormat="1" x14ac:dyDescent="0.2"/>
    <row r="4628" s="38" customFormat="1" x14ac:dyDescent="0.2"/>
    <row r="4629" s="38" customFormat="1" x14ac:dyDescent="0.2"/>
    <row r="4630" s="38" customFormat="1" x14ac:dyDescent="0.2"/>
    <row r="4631" s="38" customFormat="1" x14ac:dyDescent="0.2"/>
    <row r="4632" s="38" customFormat="1" x14ac:dyDescent="0.2"/>
    <row r="4633" s="38" customFormat="1" x14ac:dyDescent="0.2"/>
    <row r="4634" s="38" customFormat="1" x14ac:dyDescent="0.2"/>
    <row r="4635" s="38" customFormat="1" x14ac:dyDescent="0.2"/>
    <row r="4636" s="38" customFormat="1" x14ac:dyDescent="0.2"/>
    <row r="4637" s="38" customFormat="1" x14ac:dyDescent="0.2"/>
    <row r="4638" s="38" customFormat="1" x14ac:dyDescent="0.2"/>
    <row r="4639" s="38" customFormat="1" x14ac:dyDescent="0.2"/>
    <row r="4640" s="38" customFormat="1" x14ac:dyDescent="0.2"/>
    <row r="4641" s="38" customFormat="1" x14ac:dyDescent="0.2"/>
    <row r="4642" s="38" customFormat="1" x14ac:dyDescent="0.2"/>
    <row r="4643" s="38" customFormat="1" x14ac:dyDescent="0.2"/>
    <row r="4644" s="38" customFormat="1" x14ac:dyDescent="0.2"/>
    <row r="4645" s="38" customFormat="1" x14ac:dyDescent="0.2"/>
    <row r="4646" s="38" customFormat="1" x14ac:dyDescent="0.2"/>
    <row r="4647" s="38" customFormat="1" x14ac:dyDescent="0.2"/>
    <row r="4648" s="38" customFormat="1" x14ac:dyDescent="0.2"/>
    <row r="4649" s="38" customFormat="1" x14ac:dyDescent="0.2"/>
    <row r="4650" s="38" customFormat="1" x14ac:dyDescent="0.2"/>
    <row r="4651" s="38" customFormat="1" x14ac:dyDescent="0.2"/>
    <row r="4652" s="38" customFormat="1" x14ac:dyDescent="0.2"/>
    <row r="4653" s="38" customFormat="1" x14ac:dyDescent="0.2"/>
    <row r="4654" s="38" customFormat="1" x14ac:dyDescent="0.2"/>
    <row r="4655" s="38" customFormat="1" x14ac:dyDescent="0.2"/>
    <row r="4656" s="38" customFormat="1" x14ac:dyDescent="0.2"/>
    <row r="4657" s="38" customFormat="1" x14ac:dyDescent="0.2"/>
    <row r="4658" s="38" customFormat="1" x14ac:dyDescent="0.2"/>
    <row r="4659" s="38" customFormat="1" x14ac:dyDescent="0.2"/>
    <row r="4660" s="38" customFormat="1" x14ac:dyDescent="0.2"/>
    <row r="4661" s="38" customFormat="1" x14ac:dyDescent="0.2"/>
    <row r="4662" s="38" customFormat="1" x14ac:dyDescent="0.2"/>
    <row r="4663" s="38" customFormat="1" x14ac:dyDescent="0.2"/>
    <row r="4664" s="38" customFormat="1" x14ac:dyDescent="0.2"/>
    <row r="4665" s="38" customFormat="1" x14ac:dyDescent="0.2"/>
    <row r="4666" s="38" customFormat="1" x14ac:dyDescent="0.2"/>
    <row r="4667" s="38" customFormat="1" x14ac:dyDescent="0.2"/>
    <row r="4668" s="38" customFormat="1" x14ac:dyDescent="0.2"/>
    <row r="4669" s="38" customFormat="1" x14ac:dyDescent="0.2"/>
    <row r="4670" s="38" customFormat="1" x14ac:dyDescent="0.2"/>
    <row r="4671" s="38" customFormat="1" x14ac:dyDescent="0.2"/>
    <row r="4672" s="38" customFormat="1" x14ac:dyDescent="0.2"/>
    <row r="4673" s="38" customFormat="1" x14ac:dyDescent="0.2"/>
    <row r="4674" s="38" customFormat="1" x14ac:dyDescent="0.2"/>
    <row r="4675" s="38" customFormat="1" x14ac:dyDescent="0.2"/>
    <row r="4676" s="38" customFormat="1" x14ac:dyDescent="0.2"/>
    <row r="4677" s="38" customFormat="1" x14ac:dyDescent="0.2"/>
    <row r="4678" s="38" customFormat="1" x14ac:dyDescent="0.2"/>
    <row r="4679" s="38" customFormat="1" x14ac:dyDescent="0.2"/>
    <row r="4680" s="38" customFormat="1" x14ac:dyDescent="0.2"/>
    <row r="4681" s="38" customFormat="1" x14ac:dyDescent="0.2"/>
    <row r="4682" s="38" customFormat="1" x14ac:dyDescent="0.2"/>
    <row r="4683" s="38" customFormat="1" x14ac:dyDescent="0.2"/>
    <row r="4684" s="38" customFormat="1" x14ac:dyDescent="0.2"/>
    <row r="4685" s="38" customFormat="1" x14ac:dyDescent="0.2"/>
    <row r="4686" s="38" customFormat="1" x14ac:dyDescent="0.2"/>
    <row r="4687" s="38" customFormat="1" x14ac:dyDescent="0.2"/>
    <row r="4688" s="38" customFormat="1" x14ac:dyDescent="0.2"/>
    <row r="4689" s="38" customFormat="1" x14ac:dyDescent="0.2"/>
    <row r="4690" s="38" customFormat="1" x14ac:dyDescent="0.2"/>
    <row r="4691" s="38" customFormat="1" x14ac:dyDescent="0.2"/>
    <row r="4692" s="38" customFormat="1" x14ac:dyDescent="0.2"/>
    <row r="4693" s="38" customFormat="1" x14ac:dyDescent="0.2"/>
    <row r="4694" s="38" customFormat="1" x14ac:dyDescent="0.2"/>
    <row r="4695" s="38" customFormat="1" x14ac:dyDescent="0.2"/>
    <row r="4696" s="38" customFormat="1" x14ac:dyDescent="0.2"/>
    <row r="4697" s="38" customFormat="1" x14ac:dyDescent="0.2"/>
    <row r="4698" s="38" customFormat="1" x14ac:dyDescent="0.2"/>
    <row r="4699" s="38" customFormat="1" x14ac:dyDescent="0.2"/>
    <row r="4700" s="38" customFormat="1" x14ac:dyDescent="0.2"/>
    <row r="4701" s="38" customFormat="1" x14ac:dyDescent="0.2"/>
    <row r="4702" s="38" customFormat="1" x14ac:dyDescent="0.2"/>
    <row r="4703" s="38" customFormat="1" x14ac:dyDescent="0.2"/>
    <row r="4704" s="38" customFormat="1" x14ac:dyDescent="0.2"/>
    <row r="4705" s="38" customFormat="1" x14ac:dyDescent="0.2"/>
    <row r="4706" s="38" customFormat="1" x14ac:dyDescent="0.2"/>
    <row r="4707" s="38" customFormat="1" x14ac:dyDescent="0.2"/>
    <row r="4708" s="38" customFormat="1" x14ac:dyDescent="0.2"/>
    <row r="4709" s="38" customFormat="1" x14ac:dyDescent="0.2"/>
    <row r="4710" s="38" customFormat="1" x14ac:dyDescent="0.2"/>
    <row r="4711" s="38" customFormat="1" x14ac:dyDescent="0.2"/>
    <row r="4712" s="38" customFormat="1" x14ac:dyDescent="0.2"/>
    <row r="4713" s="38" customFormat="1" x14ac:dyDescent="0.2"/>
    <row r="4714" s="38" customFormat="1" x14ac:dyDescent="0.2"/>
    <row r="4715" s="38" customFormat="1" x14ac:dyDescent="0.2"/>
    <row r="4716" s="38" customFormat="1" x14ac:dyDescent="0.2"/>
    <row r="4717" s="38" customFormat="1" x14ac:dyDescent="0.2"/>
    <row r="4718" s="38" customFormat="1" x14ac:dyDescent="0.2"/>
    <row r="4719" s="38" customFormat="1" x14ac:dyDescent="0.2"/>
    <row r="4720" s="38" customFormat="1" x14ac:dyDescent="0.2"/>
    <row r="4721" s="38" customFormat="1" x14ac:dyDescent="0.2"/>
    <row r="4722" s="38" customFormat="1" x14ac:dyDescent="0.2"/>
    <row r="4723" s="38" customFormat="1" x14ac:dyDescent="0.2"/>
    <row r="4724" s="38" customFormat="1" x14ac:dyDescent="0.2"/>
    <row r="4725" s="38" customFormat="1" x14ac:dyDescent="0.2"/>
    <row r="4726" s="38" customFormat="1" x14ac:dyDescent="0.2"/>
    <row r="4727" s="38" customFormat="1" x14ac:dyDescent="0.2"/>
    <row r="4728" s="38" customFormat="1" x14ac:dyDescent="0.2"/>
    <row r="4729" s="38" customFormat="1" x14ac:dyDescent="0.2"/>
    <row r="4730" s="38" customFormat="1" x14ac:dyDescent="0.2"/>
    <row r="4731" s="38" customFormat="1" x14ac:dyDescent="0.2"/>
    <row r="4732" s="38" customFormat="1" x14ac:dyDescent="0.2"/>
    <row r="4733" s="38" customFormat="1" x14ac:dyDescent="0.2"/>
    <row r="4734" s="38" customFormat="1" x14ac:dyDescent="0.2"/>
    <row r="4735" s="38" customFormat="1" x14ac:dyDescent="0.2"/>
    <row r="4736" s="38" customFormat="1" x14ac:dyDescent="0.2"/>
    <row r="4737" s="38" customFormat="1" x14ac:dyDescent="0.2"/>
    <row r="4738" s="38" customFormat="1" x14ac:dyDescent="0.2"/>
    <row r="4739" s="38" customFormat="1" x14ac:dyDescent="0.2"/>
    <row r="4740" s="38" customFormat="1" x14ac:dyDescent="0.2"/>
    <row r="4741" s="38" customFormat="1" x14ac:dyDescent="0.2"/>
    <row r="4742" s="38" customFormat="1" x14ac:dyDescent="0.2"/>
    <row r="4743" s="38" customFormat="1" x14ac:dyDescent="0.2"/>
    <row r="4744" s="38" customFormat="1" x14ac:dyDescent="0.2"/>
    <row r="4745" s="38" customFormat="1" x14ac:dyDescent="0.2"/>
    <row r="4746" s="38" customFormat="1" x14ac:dyDescent="0.2"/>
    <row r="4747" s="38" customFormat="1" x14ac:dyDescent="0.2"/>
    <row r="4748" s="38" customFormat="1" x14ac:dyDescent="0.2"/>
    <row r="4749" s="38" customFormat="1" x14ac:dyDescent="0.2"/>
    <row r="4750" s="38" customFormat="1" x14ac:dyDescent="0.2"/>
    <row r="4751" s="38" customFormat="1" x14ac:dyDescent="0.2"/>
    <row r="4752" s="38" customFormat="1" x14ac:dyDescent="0.2"/>
    <row r="4753" s="38" customFormat="1" x14ac:dyDescent="0.2"/>
    <row r="4754" s="38" customFormat="1" x14ac:dyDescent="0.2"/>
    <row r="4755" s="38" customFormat="1" x14ac:dyDescent="0.2"/>
    <row r="4756" s="38" customFormat="1" x14ac:dyDescent="0.2"/>
    <row r="4757" s="38" customFormat="1" x14ac:dyDescent="0.2"/>
    <row r="4758" s="38" customFormat="1" x14ac:dyDescent="0.2"/>
    <row r="4759" s="38" customFormat="1" x14ac:dyDescent="0.2"/>
    <row r="4760" s="38" customFormat="1" x14ac:dyDescent="0.2"/>
    <row r="4761" s="38" customFormat="1" x14ac:dyDescent="0.2"/>
    <row r="4762" s="38" customFormat="1" x14ac:dyDescent="0.2"/>
    <row r="4763" s="38" customFormat="1" x14ac:dyDescent="0.2"/>
    <row r="4764" s="38" customFormat="1" x14ac:dyDescent="0.2"/>
    <row r="4765" s="38" customFormat="1" x14ac:dyDescent="0.2"/>
    <row r="4766" s="38" customFormat="1" x14ac:dyDescent="0.2"/>
    <row r="4767" s="38" customFormat="1" x14ac:dyDescent="0.2"/>
    <row r="4768" s="38" customFormat="1" x14ac:dyDescent="0.2"/>
    <row r="4769" s="38" customFormat="1" x14ac:dyDescent="0.2"/>
    <row r="4770" s="38" customFormat="1" x14ac:dyDescent="0.2"/>
    <row r="4771" s="38" customFormat="1" x14ac:dyDescent="0.2"/>
    <row r="4772" s="38" customFormat="1" x14ac:dyDescent="0.2"/>
    <row r="4773" s="38" customFormat="1" x14ac:dyDescent="0.2"/>
    <row r="4774" s="38" customFormat="1" x14ac:dyDescent="0.2"/>
    <row r="4775" s="38" customFormat="1" x14ac:dyDescent="0.2"/>
    <row r="4776" s="38" customFormat="1" x14ac:dyDescent="0.2"/>
    <row r="4777" s="38" customFormat="1" x14ac:dyDescent="0.2"/>
    <row r="4778" s="38" customFormat="1" x14ac:dyDescent="0.2"/>
    <row r="4779" s="38" customFormat="1" x14ac:dyDescent="0.2"/>
    <row r="4780" s="38" customFormat="1" x14ac:dyDescent="0.2"/>
    <row r="4781" s="38" customFormat="1" x14ac:dyDescent="0.2"/>
    <row r="4782" s="38" customFormat="1" x14ac:dyDescent="0.2"/>
    <row r="4783" s="38" customFormat="1" x14ac:dyDescent="0.2"/>
    <row r="4784" s="38" customFormat="1" x14ac:dyDescent="0.2"/>
    <row r="4785" s="38" customFormat="1" x14ac:dyDescent="0.2"/>
    <row r="4786" s="38" customFormat="1" x14ac:dyDescent="0.2"/>
    <row r="4787" s="38" customFormat="1" x14ac:dyDescent="0.2"/>
    <row r="4788" s="38" customFormat="1" x14ac:dyDescent="0.2"/>
    <row r="4789" s="38" customFormat="1" x14ac:dyDescent="0.2"/>
    <row r="4790" s="38" customFormat="1" x14ac:dyDescent="0.2"/>
    <row r="4791" s="38" customFormat="1" x14ac:dyDescent="0.2"/>
    <row r="4792" s="38" customFormat="1" x14ac:dyDescent="0.2"/>
    <row r="4793" s="38" customFormat="1" x14ac:dyDescent="0.2"/>
    <row r="4794" s="38" customFormat="1" x14ac:dyDescent="0.2"/>
    <row r="4795" s="38" customFormat="1" x14ac:dyDescent="0.2"/>
    <row r="4796" s="38" customFormat="1" x14ac:dyDescent="0.2"/>
    <row r="4797" s="38" customFormat="1" x14ac:dyDescent="0.2"/>
    <row r="4798" s="38" customFormat="1" x14ac:dyDescent="0.2"/>
    <row r="4799" s="38" customFormat="1" x14ac:dyDescent="0.2"/>
    <row r="4800" s="38" customFormat="1" x14ac:dyDescent="0.2"/>
    <row r="4801" s="38" customFormat="1" x14ac:dyDescent="0.2"/>
    <row r="4802" s="38" customFormat="1" x14ac:dyDescent="0.2"/>
    <row r="4803" s="38" customFormat="1" x14ac:dyDescent="0.2"/>
    <row r="4804" s="38" customFormat="1" x14ac:dyDescent="0.2"/>
    <row r="4805" s="38" customFormat="1" x14ac:dyDescent="0.2"/>
    <row r="4806" s="38" customFormat="1" x14ac:dyDescent="0.2"/>
    <row r="4807" s="38" customFormat="1" x14ac:dyDescent="0.2"/>
    <row r="4808" s="38" customFormat="1" x14ac:dyDescent="0.2"/>
    <row r="4809" s="38" customFormat="1" x14ac:dyDescent="0.2"/>
    <row r="4810" s="38" customFormat="1" x14ac:dyDescent="0.2"/>
    <row r="4811" s="38" customFormat="1" x14ac:dyDescent="0.2"/>
    <row r="4812" s="38" customFormat="1" x14ac:dyDescent="0.2"/>
    <row r="4813" s="38" customFormat="1" x14ac:dyDescent="0.2"/>
    <row r="4814" s="38" customFormat="1" x14ac:dyDescent="0.2"/>
    <row r="4815" s="38" customFormat="1" x14ac:dyDescent="0.2"/>
    <row r="4816" s="38" customFormat="1" x14ac:dyDescent="0.2"/>
    <row r="4817" s="38" customFormat="1" x14ac:dyDescent="0.2"/>
    <row r="4818" s="38" customFormat="1" x14ac:dyDescent="0.2"/>
    <row r="4819" s="38" customFormat="1" x14ac:dyDescent="0.2"/>
    <row r="4820" s="38" customFormat="1" x14ac:dyDescent="0.2"/>
    <row r="4821" s="38" customFormat="1" x14ac:dyDescent="0.2"/>
    <row r="4822" s="38" customFormat="1" x14ac:dyDescent="0.2"/>
    <row r="4823" s="38" customFormat="1" x14ac:dyDescent="0.2"/>
    <row r="4824" s="38" customFormat="1" x14ac:dyDescent="0.2"/>
    <row r="4825" s="38" customFormat="1" x14ac:dyDescent="0.2"/>
    <row r="4826" s="38" customFormat="1" x14ac:dyDescent="0.2"/>
    <row r="4827" s="38" customFormat="1" x14ac:dyDescent="0.2"/>
    <row r="4828" s="38" customFormat="1" x14ac:dyDescent="0.2"/>
    <row r="4829" s="38" customFormat="1" x14ac:dyDescent="0.2"/>
    <row r="4830" s="38" customFormat="1" x14ac:dyDescent="0.2"/>
    <row r="4831" s="38" customFormat="1" x14ac:dyDescent="0.2"/>
    <row r="4832" s="38" customFormat="1" x14ac:dyDescent="0.2"/>
    <row r="4833" s="38" customFormat="1" x14ac:dyDescent="0.2"/>
    <row r="4834" s="38" customFormat="1" x14ac:dyDescent="0.2"/>
    <row r="4835" s="38" customFormat="1" x14ac:dyDescent="0.2"/>
    <row r="4836" s="38" customFormat="1" x14ac:dyDescent="0.2"/>
    <row r="4837" s="38" customFormat="1" x14ac:dyDescent="0.2"/>
    <row r="4838" s="38" customFormat="1" x14ac:dyDescent="0.2"/>
    <row r="4839" s="38" customFormat="1" x14ac:dyDescent="0.2"/>
    <row r="4840" s="38" customFormat="1" x14ac:dyDescent="0.2"/>
    <row r="4841" s="38" customFormat="1" x14ac:dyDescent="0.2"/>
    <row r="4842" s="38" customFormat="1" x14ac:dyDescent="0.2"/>
    <row r="4843" s="38" customFormat="1" x14ac:dyDescent="0.2"/>
    <row r="4844" s="38" customFormat="1" x14ac:dyDescent="0.2"/>
    <row r="4845" s="38" customFormat="1" x14ac:dyDescent="0.2"/>
    <row r="4846" s="38" customFormat="1" x14ac:dyDescent="0.2"/>
    <row r="4847" s="38" customFormat="1" x14ac:dyDescent="0.2"/>
    <row r="4848" s="38" customFormat="1" x14ac:dyDescent="0.2"/>
    <row r="4849" s="38" customFormat="1" x14ac:dyDescent="0.2"/>
    <row r="4850" s="38" customFormat="1" x14ac:dyDescent="0.2"/>
    <row r="4851" s="38" customFormat="1" x14ac:dyDescent="0.2"/>
    <row r="4852" s="38" customFormat="1" x14ac:dyDescent="0.2"/>
    <row r="4853" s="38" customFormat="1" x14ac:dyDescent="0.2"/>
    <row r="4854" s="38" customFormat="1" x14ac:dyDescent="0.2"/>
    <row r="4855" s="38" customFormat="1" x14ac:dyDescent="0.2"/>
    <row r="4856" s="38" customFormat="1" x14ac:dyDescent="0.2"/>
    <row r="4857" s="38" customFormat="1" x14ac:dyDescent="0.2"/>
    <row r="4858" s="38" customFormat="1" x14ac:dyDescent="0.2"/>
    <row r="4859" s="38" customFormat="1" x14ac:dyDescent="0.2"/>
    <row r="4860" s="38" customFormat="1" x14ac:dyDescent="0.2"/>
    <row r="4861" s="38" customFormat="1" x14ac:dyDescent="0.2"/>
    <row r="4862" s="38" customFormat="1" x14ac:dyDescent="0.2"/>
    <row r="4863" s="38" customFormat="1" x14ac:dyDescent="0.2"/>
    <row r="4864" s="38" customFormat="1" x14ac:dyDescent="0.2"/>
    <row r="4865" s="38" customFormat="1" x14ac:dyDescent="0.2"/>
    <row r="4866" s="38" customFormat="1" x14ac:dyDescent="0.2"/>
    <row r="4867" s="38" customFormat="1" x14ac:dyDescent="0.2"/>
    <row r="4868" s="38" customFormat="1" x14ac:dyDescent="0.2"/>
    <row r="4869" s="38" customFormat="1" x14ac:dyDescent="0.2"/>
    <row r="4870" s="38" customFormat="1" x14ac:dyDescent="0.2"/>
    <row r="4871" s="38" customFormat="1" x14ac:dyDescent="0.2"/>
    <row r="4872" s="38" customFormat="1" x14ac:dyDescent="0.2"/>
    <row r="4873" s="38" customFormat="1" x14ac:dyDescent="0.2"/>
    <row r="4874" s="38" customFormat="1" x14ac:dyDescent="0.2"/>
    <row r="4875" s="38" customFormat="1" x14ac:dyDescent="0.2"/>
    <row r="4876" s="38" customFormat="1" x14ac:dyDescent="0.2"/>
    <row r="4877" s="38" customFormat="1" x14ac:dyDescent="0.2"/>
    <row r="4878" s="38" customFormat="1" x14ac:dyDescent="0.2"/>
    <row r="4879" s="38" customFormat="1" x14ac:dyDescent="0.2"/>
    <row r="4880" s="38" customFormat="1" x14ac:dyDescent="0.2"/>
    <row r="4881" s="38" customFormat="1" x14ac:dyDescent="0.2"/>
    <row r="4882" s="38" customFormat="1" x14ac:dyDescent="0.2"/>
    <row r="4883" s="38" customFormat="1" x14ac:dyDescent="0.2"/>
    <row r="4884" s="38" customFormat="1" x14ac:dyDescent="0.2"/>
    <row r="4885" s="38" customFormat="1" x14ac:dyDescent="0.2"/>
    <row r="4886" s="38" customFormat="1" x14ac:dyDescent="0.2"/>
    <row r="4887" s="38" customFormat="1" x14ac:dyDescent="0.2"/>
    <row r="4888" s="38" customFormat="1" x14ac:dyDescent="0.2"/>
    <row r="4889" s="38" customFormat="1" x14ac:dyDescent="0.2"/>
    <row r="4890" s="38" customFormat="1" x14ac:dyDescent="0.2"/>
    <row r="4891" s="38" customFormat="1" x14ac:dyDescent="0.2"/>
    <row r="4892" s="38" customFormat="1" x14ac:dyDescent="0.2"/>
    <row r="4893" s="38" customFormat="1" x14ac:dyDescent="0.2"/>
    <row r="4894" s="38" customFormat="1" x14ac:dyDescent="0.2"/>
    <row r="4895" s="38" customFormat="1" x14ac:dyDescent="0.2"/>
    <row r="4896" s="38" customFormat="1" x14ac:dyDescent="0.2"/>
    <row r="4897" s="38" customFormat="1" x14ac:dyDescent="0.2"/>
    <row r="4898" s="38" customFormat="1" x14ac:dyDescent="0.2"/>
    <row r="4899" s="38" customFormat="1" x14ac:dyDescent="0.2"/>
    <row r="4900" s="38" customFormat="1" x14ac:dyDescent="0.2"/>
    <row r="4901" s="38" customFormat="1" x14ac:dyDescent="0.2"/>
    <row r="4902" s="38" customFormat="1" x14ac:dyDescent="0.2"/>
    <row r="4903" s="38" customFormat="1" x14ac:dyDescent="0.2"/>
    <row r="4904" s="38" customFormat="1" x14ac:dyDescent="0.2"/>
    <row r="4905" s="38" customFormat="1" x14ac:dyDescent="0.2"/>
    <row r="4906" s="38" customFormat="1" x14ac:dyDescent="0.2"/>
    <row r="4907" s="38" customFormat="1" x14ac:dyDescent="0.2"/>
    <row r="4908" s="38" customFormat="1" x14ac:dyDescent="0.2"/>
    <row r="4909" s="38" customFormat="1" x14ac:dyDescent="0.2"/>
    <row r="4910" s="38" customFormat="1" x14ac:dyDescent="0.2"/>
    <row r="4911" s="38" customFormat="1" x14ac:dyDescent="0.2"/>
    <row r="4912" s="38" customFormat="1" x14ac:dyDescent="0.2"/>
    <row r="4913" s="38" customFormat="1" x14ac:dyDescent="0.2"/>
    <row r="4914" s="38" customFormat="1" x14ac:dyDescent="0.2"/>
    <row r="4915" s="38" customFormat="1" x14ac:dyDescent="0.2"/>
    <row r="4916" s="38" customFormat="1" x14ac:dyDescent="0.2"/>
    <row r="4917" s="38" customFormat="1" x14ac:dyDescent="0.2"/>
    <row r="4918" s="38" customFormat="1" x14ac:dyDescent="0.2"/>
    <row r="4919" s="38" customFormat="1" x14ac:dyDescent="0.2"/>
    <row r="4920" s="38" customFormat="1" x14ac:dyDescent="0.2"/>
    <row r="4921" s="38" customFormat="1" x14ac:dyDescent="0.2"/>
    <row r="4922" s="38" customFormat="1" x14ac:dyDescent="0.2"/>
    <row r="4923" s="38" customFormat="1" x14ac:dyDescent="0.2"/>
    <row r="4924" s="38" customFormat="1" x14ac:dyDescent="0.2"/>
    <row r="4925" s="38" customFormat="1" x14ac:dyDescent="0.2"/>
    <row r="4926" s="38" customFormat="1" x14ac:dyDescent="0.2"/>
    <row r="4927" s="38" customFormat="1" x14ac:dyDescent="0.2"/>
    <row r="4928" s="38" customFormat="1" x14ac:dyDescent="0.2"/>
    <row r="4929" s="38" customFormat="1" x14ac:dyDescent="0.2"/>
    <row r="4930" s="38" customFormat="1" x14ac:dyDescent="0.2"/>
    <row r="4931" s="38" customFormat="1" x14ac:dyDescent="0.2"/>
    <row r="4932" s="38" customFormat="1" x14ac:dyDescent="0.2"/>
    <row r="4933" s="38" customFormat="1" x14ac:dyDescent="0.2"/>
    <row r="4934" s="38" customFormat="1" x14ac:dyDescent="0.2"/>
    <row r="4935" s="38" customFormat="1" x14ac:dyDescent="0.2"/>
    <row r="4936" s="38" customFormat="1" x14ac:dyDescent="0.2"/>
    <row r="4937" s="38" customFormat="1" x14ac:dyDescent="0.2"/>
    <row r="4938" s="38" customFormat="1" x14ac:dyDescent="0.2"/>
    <row r="4939" s="38" customFormat="1" x14ac:dyDescent="0.2"/>
    <row r="4940" s="38" customFormat="1" x14ac:dyDescent="0.2"/>
    <row r="4941" s="38" customFormat="1" x14ac:dyDescent="0.2"/>
    <row r="4942" s="38" customFormat="1" x14ac:dyDescent="0.2"/>
    <row r="4943" s="38" customFormat="1" x14ac:dyDescent="0.2"/>
    <row r="4944" s="38" customFormat="1" x14ac:dyDescent="0.2"/>
    <row r="4945" s="38" customFormat="1" x14ac:dyDescent="0.2"/>
    <row r="4946" s="38" customFormat="1" x14ac:dyDescent="0.2"/>
    <row r="4947" s="38" customFormat="1" x14ac:dyDescent="0.2"/>
    <row r="4948" s="38" customFormat="1" x14ac:dyDescent="0.2"/>
    <row r="4949" s="38" customFormat="1" x14ac:dyDescent="0.2"/>
    <row r="4950" s="38" customFormat="1" x14ac:dyDescent="0.2"/>
    <row r="4951" s="38" customFormat="1" x14ac:dyDescent="0.2"/>
    <row r="4952" s="38" customFormat="1" x14ac:dyDescent="0.2"/>
    <row r="4953" s="38" customFormat="1" x14ac:dyDescent="0.2"/>
    <row r="4954" s="38" customFormat="1" x14ac:dyDescent="0.2"/>
    <row r="4955" s="38" customFormat="1" x14ac:dyDescent="0.2"/>
    <row r="4956" s="38" customFormat="1" x14ac:dyDescent="0.2"/>
    <row r="4957" s="38" customFormat="1" x14ac:dyDescent="0.2"/>
    <row r="4958" s="38" customFormat="1" x14ac:dyDescent="0.2"/>
    <row r="4959" s="38" customFormat="1" x14ac:dyDescent="0.2"/>
    <row r="4960" s="38" customFormat="1" x14ac:dyDescent="0.2"/>
    <row r="4961" s="38" customFormat="1" x14ac:dyDescent="0.2"/>
    <row r="4962" s="38" customFormat="1" x14ac:dyDescent="0.2"/>
    <row r="4963" s="38" customFormat="1" x14ac:dyDescent="0.2"/>
    <row r="4964" s="38" customFormat="1" x14ac:dyDescent="0.2"/>
    <row r="4965" s="38" customFormat="1" x14ac:dyDescent="0.2"/>
    <row r="4966" s="38" customFormat="1" x14ac:dyDescent="0.2"/>
    <row r="4967" s="38" customFormat="1" x14ac:dyDescent="0.2"/>
    <row r="4968" s="38" customFormat="1" x14ac:dyDescent="0.2"/>
    <row r="4969" s="38" customFormat="1" x14ac:dyDescent="0.2"/>
    <row r="4970" s="38" customFormat="1" x14ac:dyDescent="0.2"/>
    <row r="4971" s="38" customFormat="1" x14ac:dyDescent="0.2"/>
    <row r="4972" s="38" customFormat="1" x14ac:dyDescent="0.2"/>
    <row r="4973" s="38" customFormat="1" x14ac:dyDescent="0.2"/>
    <row r="4974" s="38" customFormat="1" x14ac:dyDescent="0.2"/>
    <row r="4975" s="38" customFormat="1" x14ac:dyDescent="0.2"/>
    <row r="4976" s="38" customFormat="1" x14ac:dyDescent="0.2"/>
    <row r="4977" s="38" customFormat="1" x14ac:dyDescent="0.2"/>
    <row r="4978" s="38" customFormat="1" x14ac:dyDescent="0.2"/>
    <row r="4979" s="38" customFormat="1" x14ac:dyDescent="0.2"/>
    <row r="4980" s="38" customFormat="1" x14ac:dyDescent="0.2"/>
    <row r="4981" s="38" customFormat="1" x14ac:dyDescent="0.2"/>
    <row r="4982" s="38" customFormat="1" x14ac:dyDescent="0.2"/>
    <row r="4983" s="38" customFormat="1" x14ac:dyDescent="0.2"/>
    <row r="4984" s="38" customFormat="1" x14ac:dyDescent="0.2"/>
    <row r="4985" s="38" customFormat="1" x14ac:dyDescent="0.2"/>
    <row r="4986" s="38" customFormat="1" x14ac:dyDescent="0.2"/>
    <row r="4987" s="38" customFormat="1" x14ac:dyDescent="0.2"/>
    <row r="4988" s="38" customFormat="1" x14ac:dyDescent="0.2"/>
    <row r="4989" s="38" customFormat="1" x14ac:dyDescent="0.2"/>
    <row r="4990" s="38" customFormat="1" x14ac:dyDescent="0.2"/>
    <row r="4991" s="38" customFormat="1" x14ac:dyDescent="0.2"/>
    <row r="4992" s="38" customFormat="1" x14ac:dyDescent="0.2"/>
    <row r="4993" s="38" customFormat="1" x14ac:dyDescent="0.2"/>
    <row r="4994" s="38" customFormat="1" x14ac:dyDescent="0.2"/>
    <row r="4995" s="38" customFormat="1" x14ac:dyDescent="0.2"/>
    <row r="4996" s="38" customFormat="1" x14ac:dyDescent="0.2"/>
    <row r="4997" s="38" customFormat="1" x14ac:dyDescent="0.2"/>
    <row r="4998" s="38" customFormat="1" x14ac:dyDescent="0.2"/>
    <row r="4999" s="38" customFormat="1" x14ac:dyDescent="0.2"/>
    <row r="5000" s="38" customFormat="1" x14ac:dyDescent="0.2"/>
    <row r="5001" s="38" customFormat="1" x14ac:dyDescent="0.2"/>
    <row r="5002" s="38" customFormat="1" x14ac:dyDescent="0.2"/>
    <row r="5003" s="38" customFormat="1" x14ac:dyDescent="0.2"/>
    <row r="5004" s="38" customFormat="1" x14ac:dyDescent="0.2"/>
    <row r="5005" s="38" customFormat="1" x14ac:dyDescent="0.2"/>
    <row r="5006" s="38" customFormat="1" x14ac:dyDescent="0.2"/>
    <row r="5007" s="38" customFormat="1" x14ac:dyDescent="0.2"/>
    <row r="5008" s="38" customFormat="1" x14ac:dyDescent="0.2"/>
    <row r="5009" s="38" customFormat="1" x14ac:dyDescent="0.2"/>
    <row r="5010" s="38" customFormat="1" x14ac:dyDescent="0.2"/>
    <row r="5011" s="38" customFormat="1" x14ac:dyDescent="0.2"/>
    <row r="5012" s="38" customFormat="1" x14ac:dyDescent="0.2"/>
    <row r="5013" s="38" customFormat="1" x14ac:dyDescent="0.2"/>
    <row r="5014" s="38" customFormat="1" x14ac:dyDescent="0.2"/>
    <row r="5015" s="38" customFormat="1" x14ac:dyDescent="0.2"/>
    <row r="5016" s="38" customFormat="1" x14ac:dyDescent="0.2"/>
    <row r="5017" s="38" customFormat="1" x14ac:dyDescent="0.2"/>
    <row r="5018" s="38" customFormat="1" x14ac:dyDescent="0.2"/>
    <row r="5019" s="38" customFormat="1" x14ac:dyDescent="0.2"/>
    <row r="5020" s="38" customFormat="1" x14ac:dyDescent="0.2"/>
    <row r="5021" s="38" customFormat="1" x14ac:dyDescent="0.2"/>
    <row r="5022" s="38" customFormat="1" x14ac:dyDescent="0.2"/>
    <row r="5023" s="38" customFormat="1" x14ac:dyDescent="0.2"/>
    <row r="5024" s="38" customFormat="1" x14ac:dyDescent="0.2"/>
    <row r="5025" s="38" customFormat="1" x14ac:dyDescent="0.2"/>
    <row r="5026" s="38" customFormat="1" x14ac:dyDescent="0.2"/>
    <row r="5027" s="38" customFormat="1" x14ac:dyDescent="0.2"/>
    <row r="5028" s="38" customFormat="1" x14ac:dyDescent="0.2"/>
    <row r="5029" s="38" customFormat="1" x14ac:dyDescent="0.2"/>
    <row r="5030" s="38" customFormat="1" x14ac:dyDescent="0.2"/>
    <row r="5031" s="38" customFormat="1" x14ac:dyDescent="0.2"/>
    <row r="5032" s="38" customFormat="1" x14ac:dyDescent="0.2"/>
    <row r="5033" s="38" customFormat="1" x14ac:dyDescent="0.2"/>
    <row r="5034" s="38" customFormat="1" x14ac:dyDescent="0.2"/>
    <row r="5035" s="38" customFormat="1" x14ac:dyDescent="0.2"/>
    <row r="5036" s="38" customFormat="1" x14ac:dyDescent="0.2"/>
    <row r="5037" s="38" customFormat="1" x14ac:dyDescent="0.2"/>
    <row r="5038" s="38" customFormat="1" x14ac:dyDescent="0.2"/>
    <row r="5039" s="38" customFormat="1" x14ac:dyDescent="0.2"/>
    <row r="5040" s="38" customFormat="1" x14ac:dyDescent="0.2"/>
    <row r="5041" s="38" customFormat="1" x14ac:dyDescent="0.2"/>
    <row r="5042" s="38" customFormat="1" x14ac:dyDescent="0.2"/>
    <row r="5043" s="38" customFormat="1" x14ac:dyDescent="0.2"/>
    <row r="5044" s="38" customFormat="1" x14ac:dyDescent="0.2"/>
    <row r="5045" s="38" customFormat="1" x14ac:dyDescent="0.2"/>
    <row r="5046" s="38" customFormat="1" x14ac:dyDescent="0.2"/>
    <row r="5047" s="38" customFormat="1" x14ac:dyDescent="0.2"/>
    <row r="5048" s="38" customFormat="1" x14ac:dyDescent="0.2"/>
    <row r="5049" s="38" customFormat="1" x14ac:dyDescent="0.2"/>
    <row r="5050" s="38" customFormat="1" x14ac:dyDescent="0.2"/>
    <row r="5051" s="38" customFormat="1" x14ac:dyDescent="0.2"/>
    <row r="5052" s="38" customFormat="1" x14ac:dyDescent="0.2"/>
    <row r="5053" s="38" customFormat="1" x14ac:dyDescent="0.2"/>
    <row r="5054" s="38" customFormat="1" x14ac:dyDescent="0.2"/>
    <row r="5055" s="38" customFormat="1" x14ac:dyDescent="0.2"/>
    <row r="5056" s="38" customFormat="1" x14ac:dyDescent="0.2"/>
    <row r="5057" s="38" customFormat="1" x14ac:dyDescent="0.2"/>
    <row r="5058" s="38" customFormat="1" x14ac:dyDescent="0.2"/>
    <row r="5059" s="38" customFormat="1" x14ac:dyDescent="0.2"/>
    <row r="5060" s="38" customFormat="1" x14ac:dyDescent="0.2"/>
    <row r="5061" s="38" customFormat="1" x14ac:dyDescent="0.2"/>
    <row r="5062" s="38" customFormat="1" x14ac:dyDescent="0.2"/>
    <row r="5063" s="38" customFormat="1" x14ac:dyDescent="0.2"/>
    <row r="5064" s="38" customFormat="1" x14ac:dyDescent="0.2"/>
    <row r="5065" s="38" customFormat="1" x14ac:dyDescent="0.2"/>
    <row r="5066" s="38" customFormat="1" x14ac:dyDescent="0.2"/>
    <row r="5067" s="38" customFormat="1" x14ac:dyDescent="0.2"/>
    <row r="5068" s="38" customFormat="1" x14ac:dyDescent="0.2"/>
    <row r="5069" s="38" customFormat="1" x14ac:dyDescent="0.2"/>
    <row r="5070" s="38" customFormat="1" x14ac:dyDescent="0.2"/>
    <row r="5071" s="38" customFormat="1" x14ac:dyDescent="0.2"/>
    <row r="5072" s="38" customFormat="1" x14ac:dyDescent="0.2"/>
    <row r="5073" s="38" customFormat="1" x14ac:dyDescent="0.2"/>
    <row r="5074" s="38" customFormat="1" x14ac:dyDescent="0.2"/>
    <row r="5075" s="38" customFormat="1" x14ac:dyDescent="0.2"/>
    <row r="5076" s="38" customFormat="1" x14ac:dyDescent="0.2"/>
    <row r="5077" s="38" customFormat="1" x14ac:dyDescent="0.2"/>
    <row r="5078" s="38" customFormat="1" x14ac:dyDescent="0.2"/>
    <row r="5079" s="38" customFormat="1" x14ac:dyDescent="0.2"/>
    <row r="5080" s="38" customFormat="1" x14ac:dyDescent="0.2"/>
    <row r="5081" s="38" customFormat="1" x14ac:dyDescent="0.2"/>
    <row r="5082" s="38" customFormat="1" x14ac:dyDescent="0.2"/>
    <row r="5083" s="38" customFormat="1" x14ac:dyDescent="0.2"/>
    <row r="5084" s="38" customFormat="1" x14ac:dyDescent="0.2"/>
    <row r="5085" s="38" customFormat="1" x14ac:dyDescent="0.2"/>
    <row r="5086" s="38" customFormat="1" x14ac:dyDescent="0.2"/>
    <row r="5087" s="38" customFormat="1" x14ac:dyDescent="0.2"/>
    <row r="5088" s="38" customFormat="1" x14ac:dyDescent="0.2"/>
    <row r="5089" s="38" customFormat="1" x14ac:dyDescent="0.2"/>
    <row r="5090" s="38" customFormat="1" x14ac:dyDescent="0.2"/>
    <row r="5091" s="38" customFormat="1" x14ac:dyDescent="0.2"/>
    <row r="5092" s="38" customFormat="1" x14ac:dyDescent="0.2"/>
    <row r="5093" s="38" customFormat="1" x14ac:dyDescent="0.2"/>
    <row r="5094" s="38" customFormat="1" x14ac:dyDescent="0.2"/>
    <row r="5095" s="38" customFormat="1" x14ac:dyDescent="0.2"/>
    <row r="5096" s="38" customFormat="1" x14ac:dyDescent="0.2"/>
    <row r="5097" s="38" customFormat="1" x14ac:dyDescent="0.2"/>
    <row r="5098" s="38" customFormat="1" x14ac:dyDescent="0.2"/>
    <row r="5099" s="38" customFormat="1" x14ac:dyDescent="0.2"/>
    <row r="5100" s="38" customFormat="1" x14ac:dyDescent="0.2"/>
    <row r="5101" s="38" customFormat="1" x14ac:dyDescent="0.2"/>
    <row r="5102" s="38" customFormat="1" x14ac:dyDescent="0.2"/>
    <row r="5103" s="38" customFormat="1" x14ac:dyDescent="0.2"/>
    <row r="5104" s="38" customFormat="1" x14ac:dyDescent="0.2"/>
    <row r="5105" s="38" customFormat="1" x14ac:dyDescent="0.2"/>
    <row r="5106" s="38" customFormat="1" x14ac:dyDescent="0.2"/>
    <row r="5107" s="38" customFormat="1" x14ac:dyDescent="0.2"/>
    <row r="5108" s="38" customFormat="1" x14ac:dyDescent="0.2"/>
    <row r="5109" s="38" customFormat="1" x14ac:dyDescent="0.2"/>
    <row r="5110" s="38" customFormat="1" x14ac:dyDescent="0.2"/>
    <row r="5111" s="38" customFormat="1" x14ac:dyDescent="0.2"/>
    <row r="5112" s="38" customFormat="1" x14ac:dyDescent="0.2"/>
    <row r="5113" s="38" customFormat="1" x14ac:dyDescent="0.2"/>
    <row r="5114" s="38" customFormat="1" x14ac:dyDescent="0.2"/>
    <row r="5115" s="38" customFormat="1" x14ac:dyDescent="0.2"/>
    <row r="5116" s="38" customFormat="1" x14ac:dyDescent="0.2"/>
    <row r="5117" s="38" customFormat="1" x14ac:dyDescent="0.2"/>
    <row r="5118" s="38" customFormat="1" x14ac:dyDescent="0.2"/>
    <row r="5119" s="38" customFormat="1" x14ac:dyDescent="0.2"/>
    <row r="5120" s="38" customFormat="1" x14ac:dyDescent="0.2"/>
    <row r="5121" s="38" customFormat="1" x14ac:dyDescent="0.2"/>
    <row r="5122" s="38" customFormat="1" x14ac:dyDescent="0.2"/>
    <row r="5123" s="38" customFormat="1" x14ac:dyDescent="0.2"/>
    <row r="5124" s="38" customFormat="1" x14ac:dyDescent="0.2"/>
    <row r="5125" s="38" customFormat="1" x14ac:dyDescent="0.2"/>
    <row r="5126" s="38" customFormat="1" x14ac:dyDescent="0.2"/>
    <row r="5127" s="38" customFormat="1" x14ac:dyDescent="0.2"/>
    <row r="5128" s="38" customFormat="1" x14ac:dyDescent="0.2"/>
    <row r="5129" s="38" customFormat="1" x14ac:dyDescent="0.2"/>
    <row r="5130" s="38" customFormat="1" x14ac:dyDescent="0.2"/>
    <row r="5131" s="38" customFormat="1" x14ac:dyDescent="0.2"/>
    <row r="5132" s="38" customFormat="1" x14ac:dyDescent="0.2"/>
    <row r="5133" s="38" customFormat="1" x14ac:dyDescent="0.2"/>
    <row r="5134" s="38" customFormat="1" x14ac:dyDescent="0.2"/>
    <row r="5135" s="38" customFormat="1" x14ac:dyDescent="0.2"/>
    <row r="5136" s="38" customFormat="1" x14ac:dyDescent="0.2"/>
    <row r="5137" s="38" customFormat="1" x14ac:dyDescent="0.2"/>
    <row r="5138" s="38" customFormat="1" x14ac:dyDescent="0.2"/>
    <row r="5139" s="38" customFormat="1" x14ac:dyDescent="0.2"/>
    <row r="5140" s="38" customFormat="1" x14ac:dyDescent="0.2"/>
    <row r="5141" s="38" customFormat="1" x14ac:dyDescent="0.2"/>
    <row r="5142" s="38" customFormat="1" x14ac:dyDescent="0.2"/>
    <row r="5143" s="38" customFormat="1" x14ac:dyDescent="0.2"/>
    <row r="5144" s="38" customFormat="1" x14ac:dyDescent="0.2"/>
    <row r="5145" s="38" customFormat="1" x14ac:dyDescent="0.2"/>
    <row r="5146" s="38" customFormat="1" x14ac:dyDescent="0.2"/>
    <row r="5147" s="38" customFormat="1" x14ac:dyDescent="0.2"/>
    <row r="5148" s="38" customFormat="1" x14ac:dyDescent="0.2"/>
    <row r="5149" s="38" customFormat="1" x14ac:dyDescent="0.2"/>
    <row r="5150" s="38" customFormat="1" x14ac:dyDescent="0.2"/>
    <row r="5151" s="38" customFormat="1" x14ac:dyDescent="0.2"/>
    <row r="5152" s="38" customFormat="1" x14ac:dyDescent="0.2"/>
    <row r="5153" s="38" customFormat="1" x14ac:dyDescent="0.2"/>
    <row r="5154" s="38" customFormat="1" x14ac:dyDescent="0.2"/>
    <row r="5155" s="38" customFormat="1" x14ac:dyDescent="0.2"/>
    <row r="5156" s="38" customFormat="1" x14ac:dyDescent="0.2"/>
    <row r="5157" s="38" customFormat="1" x14ac:dyDescent="0.2"/>
    <row r="5158" s="38" customFormat="1" x14ac:dyDescent="0.2"/>
    <row r="5159" s="38" customFormat="1" x14ac:dyDescent="0.2"/>
    <row r="5160" s="38" customFormat="1" x14ac:dyDescent="0.2"/>
    <row r="5161" s="38" customFormat="1" x14ac:dyDescent="0.2"/>
    <row r="5162" s="38" customFormat="1" x14ac:dyDescent="0.2"/>
    <row r="5163" s="38" customFormat="1" x14ac:dyDescent="0.2"/>
    <row r="5164" s="38" customFormat="1" x14ac:dyDescent="0.2"/>
    <row r="5165" s="38" customFormat="1" x14ac:dyDescent="0.2"/>
    <row r="5166" s="38" customFormat="1" x14ac:dyDescent="0.2"/>
    <row r="5167" s="38" customFormat="1" x14ac:dyDescent="0.2"/>
    <row r="5168" s="38" customFormat="1" x14ac:dyDescent="0.2"/>
    <row r="5169" s="38" customFormat="1" x14ac:dyDescent="0.2"/>
    <row r="5170" s="38" customFormat="1" x14ac:dyDescent="0.2"/>
    <row r="5171" s="38" customFormat="1" x14ac:dyDescent="0.2"/>
    <row r="5172" s="38" customFormat="1" x14ac:dyDescent="0.2"/>
    <row r="5173" s="38" customFormat="1" x14ac:dyDescent="0.2"/>
    <row r="5174" s="38" customFormat="1" x14ac:dyDescent="0.2"/>
    <row r="5175" s="38" customFormat="1" x14ac:dyDescent="0.2"/>
    <row r="5176" s="38" customFormat="1" x14ac:dyDescent="0.2"/>
    <row r="5177" s="38" customFormat="1" x14ac:dyDescent="0.2"/>
    <row r="5178" s="38" customFormat="1" x14ac:dyDescent="0.2"/>
    <row r="5179" s="38" customFormat="1" x14ac:dyDescent="0.2"/>
    <row r="5180" s="38" customFormat="1" x14ac:dyDescent="0.2"/>
    <row r="5181" s="38" customFormat="1" x14ac:dyDescent="0.2"/>
    <row r="5182" s="38" customFormat="1" x14ac:dyDescent="0.2"/>
    <row r="5183" s="38" customFormat="1" x14ac:dyDescent="0.2"/>
    <row r="5184" s="38" customFormat="1" x14ac:dyDescent="0.2"/>
    <row r="5185" s="38" customFormat="1" x14ac:dyDescent="0.2"/>
    <row r="5186" s="38" customFormat="1" x14ac:dyDescent="0.2"/>
    <row r="5187" s="38" customFormat="1" x14ac:dyDescent="0.2"/>
    <row r="5188" s="38" customFormat="1" x14ac:dyDescent="0.2"/>
    <row r="5189" s="38" customFormat="1" x14ac:dyDescent="0.2"/>
    <row r="5190" s="38" customFormat="1" x14ac:dyDescent="0.2"/>
    <row r="5191" s="38" customFormat="1" x14ac:dyDescent="0.2"/>
    <row r="5192" s="38" customFormat="1" x14ac:dyDescent="0.2"/>
    <row r="5193" s="38" customFormat="1" x14ac:dyDescent="0.2"/>
    <row r="5194" s="38" customFormat="1" x14ac:dyDescent="0.2"/>
    <row r="5195" s="38" customFormat="1" x14ac:dyDescent="0.2"/>
    <row r="5196" s="38" customFormat="1" x14ac:dyDescent="0.2"/>
    <row r="5197" s="38" customFormat="1" x14ac:dyDescent="0.2"/>
    <row r="5198" s="38" customFormat="1" x14ac:dyDescent="0.2"/>
    <row r="5199" s="38" customFormat="1" x14ac:dyDescent="0.2"/>
    <row r="5200" s="38" customFormat="1" x14ac:dyDescent="0.2"/>
    <row r="5201" s="38" customFormat="1" x14ac:dyDescent="0.2"/>
    <row r="5202" s="38" customFormat="1" x14ac:dyDescent="0.2"/>
    <row r="5203" s="38" customFormat="1" x14ac:dyDescent="0.2"/>
    <row r="5204" s="38" customFormat="1" x14ac:dyDescent="0.2"/>
    <row r="5205" s="38" customFormat="1" x14ac:dyDescent="0.2"/>
    <row r="5206" s="38" customFormat="1" x14ac:dyDescent="0.2"/>
    <row r="5207" s="38" customFormat="1" x14ac:dyDescent="0.2"/>
    <row r="5208" s="38" customFormat="1" x14ac:dyDescent="0.2"/>
    <row r="5209" s="38" customFormat="1" x14ac:dyDescent="0.2"/>
    <row r="5210" s="38" customFormat="1" x14ac:dyDescent="0.2"/>
    <row r="5211" s="38" customFormat="1" x14ac:dyDescent="0.2"/>
    <row r="5212" s="38" customFormat="1" x14ac:dyDescent="0.2"/>
    <row r="5213" s="38" customFormat="1" x14ac:dyDescent="0.2"/>
    <row r="5214" s="38" customFormat="1" x14ac:dyDescent="0.2"/>
    <row r="5215" s="38" customFormat="1" x14ac:dyDescent="0.2"/>
    <row r="5216" s="38" customFormat="1" x14ac:dyDescent="0.2"/>
    <row r="5217" s="38" customFormat="1" x14ac:dyDescent="0.2"/>
    <row r="5218" s="38" customFormat="1" x14ac:dyDescent="0.2"/>
    <row r="5219" s="38" customFormat="1" x14ac:dyDescent="0.2"/>
    <row r="5220" s="38" customFormat="1" x14ac:dyDescent="0.2"/>
    <row r="5221" s="38" customFormat="1" x14ac:dyDescent="0.2"/>
    <row r="5222" s="38" customFormat="1" x14ac:dyDescent="0.2"/>
    <row r="5223" s="38" customFormat="1" x14ac:dyDescent="0.2"/>
    <row r="5224" s="38" customFormat="1" x14ac:dyDescent="0.2"/>
    <row r="5225" s="38" customFormat="1" x14ac:dyDescent="0.2"/>
    <row r="5226" s="38" customFormat="1" x14ac:dyDescent="0.2"/>
    <row r="5227" s="38" customFormat="1" x14ac:dyDescent="0.2"/>
    <row r="5228" s="38" customFormat="1" x14ac:dyDescent="0.2"/>
    <row r="5229" s="38" customFormat="1" x14ac:dyDescent="0.2"/>
    <row r="5230" s="38" customFormat="1" x14ac:dyDescent="0.2"/>
    <row r="5231" s="38" customFormat="1" x14ac:dyDescent="0.2"/>
    <row r="5232" s="38" customFormat="1" x14ac:dyDescent="0.2"/>
    <row r="5233" s="38" customFormat="1" x14ac:dyDescent="0.2"/>
    <row r="5234" s="38" customFormat="1" x14ac:dyDescent="0.2"/>
    <row r="5235" s="38" customFormat="1" x14ac:dyDescent="0.2"/>
    <row r="5236" s="38" customFormat="1" x14ac:dyDescent="0.2"/>
    <row r="5237" s="38" customFormat="1" x14ac:dyDescent="0.2"/>
    <row r="5238" s="38" customFormat="1" x14ac:dyDescent="0.2"/>
    <row r="5239" s="38" customFormat="1" x14ac:dyDescent="0.2"/>
    <row r="5240" s="38" customFormat="1" x14ac:dyDescent="0.2"/>
    <row r="5241" s="38" customFormat="1" x14ac:dyDescent="0.2"/>
    <row r="5242" s="38" customFormat="1" x14ac:dyDescent="0.2"/>
    <row r="5243" s="38" customFormat="1" x14ac:dyDescent="0.2"/>
    <row r="5244" s="38" customFormat="1" x14ac:dyDescent="0.2"/>
    <row r="5245" s="38" customFormat="1" x14ac:dyDescent="0.2"/>
    <row r="5246" s="38" customFormat="1" x14ac:dyDescent="0.2"/>
    <row r="5247" s="38" customFormat="1" x14ac:dyDescent="0.2"/>
    <row r="5248" s="38" customFormat="1" x14ac:dyDescent="0.2"/>
    <row r="5249" s="38" customFormat="1" x14ac:dyDescent="0.2"/>
    <row r="5250" s="38" customFormat="1" x14ac:dyDescent="0.2"/>
    <row r="5251" s="38" customFormat="1" x14ac:dyDescent="0.2"/>
    <row r="5252" s="38" customFormat="1" x14ac:dyDescent="0.2"/>
    <row r="5253" s="38" customFormat="1" x14ac:dyDescent="0.2"/>
    <row r="5254" s="38" customFormat="1" x14ac:dyDescent="0.2"/>
    <row r="5255" s="38" customFormat="1" x14ac:dyDescent="0.2"/>
    <row r="5256" s="38" customFormat="1" x14ac:dyDescent="0.2"/>
    <row r="5257" s="38" customFormat="1" x14ac:dyDescent="0.2"/>
    <row r="5258" s="38" customFormat="1" x14ac:dyDescent="0.2"/>
    <row r="5259" s="38" customFormat="1" x14ac:dyDescent="0.2"/>
    <row r="5260" s="38" customFormat="1" x14ac:dyDescent="0.2"/>
    <row r="5261" s="38" customFormat="1" x14ac:dyDescent="0.2"/>
    <row r="5262" s="38" customFormat="1" x14ac:dyDescent="0.2"/>
    <row r="5263" s="38" customFormat="1" x14ac:dyDescent="0.2"/>
    <row r="5264" s="38" customFormat="1" x14ac:dyDescent="0.2"/>
    <row r="5265" s="38" customFormat="1" x14ac:dyDescent="0.2"/>
    <row r="5266" s="38" customFormat="1" x14ac:dyDescent="0.2"/>
    <row r="5267" s="38" customFormat="1" x14ac:dyDescent="0.2"/>
    <row r="5268" s="38" customFormat="1" x14ac:dyDescent="0.2"/>
    <row r="5269" s="38" customFormat="1" x14ac:dyDescent="0.2"/>
    <row r="5270" s="38" customFormat="1" x14ac:dyDescent="0.2"/>
    <row r="5271" s="38" customFormat="1" x14ac:dyDescent="0.2"/>
    <row r="5272" s="38" customFormat="1" x14ac:dyDescent="0.2"/>
    <row r="5273" s="38" customFormat="1" x14ac:dyDescent="0.2"/>
    <row r="5274" s="38" customFormat="1" x14ac:dyDescent="0.2"/>
    <row r="5275" s="38" customFormat="1" x14ac:dyDescent="0.2"/>
    <row r="5276" s="38" customFormat="1" x14ac:dyDescent="0.2"/>
    <row r="5277" s="38" customFormat="1" x14ac:dyDescent="0.2"/>
    <row r="5278" s="38" customFormat="1" x14ac:dyDescent="0.2"/>
    <row r="5279" s="38" customFormat="1" x14ac:dyDescent="0.2"/>
    <row r="5280" s="38" customFormat="1" x14ac:dyDescent="0.2"/>
    <row r="5281" s="38" customFormat="1" x14ac:dyDescent="0.2"/>
    <row r="5282" s="38" customFormat="1" x14ac:dyDescent="0.2"/>
    <row r="5283" s="38" customFormat="1" x14ac:dyDescent="0.2"/>
    <row r="5284" s="38" customFormat="1" x14ac:dyDescent="0.2"/>
    <row r="5285" s="38" customFormat="1" x14ac:dyDescent="0.2"/>
    <row r="5286" s="38" customFormat="1" x14ac:dyDescent="0.2"/>
    <row r="5287" s="38" customFormat="1" x14ac:dyDescent="0.2"/>
    <row r="5288" s="38" customFormat="1" x14ac:dyDescent="0.2"/>
    <row r="5289" s="38" customFormat="1" x14ac:dyDescent="0.2"/>
    <row r="5290" s="38" customFormat="1" x14ac:dyDescent="0.2"/>
    <row r="5291" s="38" customFormat="1" x14ac:dyDescent="0.2"/>
    <row r="5292" s="38" customFormat="1" x14ac:dyDescent="0.2"/>
    <row r="5293" s="38" customFormat="1" x14ac:dyDescent="0.2"/>
    <row r="5294" s="38" customFormat="1" x14ac:dyDescent="0.2"/>
    <row r="5295" s="38" customFormat="1" x14ac:dyDescent="0.2"/>
    <row r="5296" s="38" customFormat="1" x14ac:dyDescent="0.2"/>
    <row r="5297" s="38" customFormat="1" x14ac:dyDescent="0.2"/>
    <row r="5298" s="38" customFormat="1" x14ac:dyDescent="0.2"/>
    <row r="5299" s="38" customFormat="1" x14ac:dyDescent="0.2"/>
    <row r="5300" s="38" customFormat="1" x14ac:dyDescent="0.2"/>
    <row r="5301" s="38" customFormat="1" x14ac:dyDescent="0.2"/>
    <row r="5302" s="38" customFormat="1" x14ac:dyDescent="0.2"/>
    <row r="5303" s="38" customFormat="1" x14ac:dyDescent="0.2"/>
    <row r="5304" s="38" customFormat="1" x14ac:dyDescent="0.2"/>
    <row r="5305" s="38" customFormat="1" x14ac:dyDescent="0.2"/>
    <row r="5306" s="38" customFormat="1" x14ac:dyDescent="0.2"/>
    <row r="5307" s="38" customFormat="1" x14ac:dyDescent="0.2"/>
    <row r="5308" s="38" customFormat="1" x14ac:dyDescent="0.2"/>
    <row r="5309" s="38" customFormat="1" x14ac:dyDescent="0.2"/>
    <row r="5310" s="38" customFormat="1" x14ac:dyDescent="0.2"/>
    <row r="5311" s="38" customFormat="1" x14ac:dyDescent="0.2"/>
    <row r="5312" s="38" customFormat="1" x14ac:dyDescent="0.2"/>
    <row r="5313" s="38" customFormat="1" x14ac:dyDescent="0.2"/>
    <row r="5314" s="38" customFormat="1" x14ac:dyDescent="0.2"/>
    <row r="5315" s="38" customFormat="1" x14ac:dyDescent="0.2"/>
    <row r="5316" s="38" customFormat="1" x14ac:dyDescent="0.2"/>
    <row r="5317" s="38" customFormat="1" x14ac:dyDescent="0.2"/>
    <row r="5318" s="38" customFormat="1" x14ac:dyDescent="0.2"/>
    <row r="5319" s="38" customFormat="1" x14ac:dyDescent="0.2"/>
    <row r="5320" s="38" customFormat="1" x14ac:dyDescent="0.2"/>
    <row r="5321" s="38" customFormat="1" x14ac:dyDescent="0.2"/>
    <row r="5322" s="38" customFormat="1" x14ac:dyDescent="0.2"/>
    <row r="5323" s="38" customFormat="1" x14ac:dyDescent="0.2"/>
    <row r="5324" s="38" customFormat="1" x14ac:dyDescent="0.2"/>
    <row r="5325" s="38" customFormat="1" x14ac:dyDescent="0.2"/>
    <row r="5326" s="38" customFormat="1" x14ac:dyDescent="0.2"/>
    <row r="5327" s="38" customFormat="1" x14ac:dyDescent="0.2"/>
    <row r="5328" s="38" customFormat="1" x14ac:dyDescent="0.2"/>
    <row r="5329" s="38" customFormat="1" x14ac:dyDescent="0.2"/>
    <row r="5330" s="38" customFormat="1" x14ac:dyDescent="0.2"/>
    <row r="5331" s="38" customFormat="1" x14ac:dyDescent="0.2"/>
    <row r="5332" s="38" customFormat="1" x14ac:dyDescent="0.2"/>
    <row r="5333" s="38" customFormat="1" x14ac:dyDescent="0.2"/>
    <row r="5334" s="38" customFormat="1" x14ac:dyDescent="0.2"/>
    <row r="5335" s="38" customFormat="1" x14ac:dyDescent="0.2"/>
    <row r="5336" s="38" customFormat="1" x14ac:dyDescent="0.2"/>
    <row r="5337" s="38" customFormat="1" x14ac:dyDescent="0.2"/>
    <row r="5338" s="38" customFormat="1" x14ac:dyDescent="0.2"/>
    <row r="5339" s="38" customFormat="1" x14ac:dyDescent="0.2"/>
    <row r="5340" s="38" customFormat="1" x14ac:dyDescent="0.2"/>
    <row r="5341" s="38" customFormat="1" x14ac:dyDescent="0.2"/>
    <row r="5342" s="38" customFormat="1" x14ac:dyDescent="0.2"/>
    <row r="5343" s="38" customFormat="1" x14ac:dyDescent="0.2"/>
    <row r="5344" s="38" customFormat="1" x14ac:dyDescent="0.2"/>
    <row r="5345" s="38" customFormat="1" x14ac:dyDescent="0.2"/>
    <row r="5346" s="38" customFormat="1" x14ac:dyDescent="0.2"/>
    <row r="5347" s="38" customFormat="1" x14ac:dyDescent="0.2"/>
    <row r="5348" s="38" customFormat="1" x14ac:dyDescent="0.2"/>
    <row r="5349" s="38" customFormat="1" x14ac:dyDescent="0.2"/>
    <row r="5350" s="38" customFormat="1" x14ac:dyDescent="0.2"/>
    <row r="5351" s="38" customFormat="1" x14ac:dyDescent="0.2"/>
    <row r="5352" s="38" customFormat="1" x14ac:dyDescent="0.2"/>
    <row r="5353" s="38" customFormat="1" x14ac:dyDescent="0.2"/>
    <row r="5354" s="38" customFormat="1" x14ac:dyDescent="0.2"/>
    <row r="5355" s="38" customFormat="1" x14ac:dyDescent="0.2"/>
    <row r="5356" s="38" customFormat="1" x14ac:dyDescent="0.2"/>
    <row r="5357" s="38" customFormat="1" x14ac:dyDescent="0.2"/>
    <row r="5358" s="38" customFormat="1" x14ac:dyDescent="0.2"/>
    <row r="5359" s="38" customFormat="1" x14ac:dyDescent="0.2"/>
    <row r="5360" s="38" customFormat="1" x14ac:dyDescent="0.2"/>
    <row r="5361" s="38" customFormat="1" x14ac:dyDescent="0.2"/>
    <row r="5362" s="38" customFormat="1" x14ac:dyDescent="0.2"/>
    <row r="5363" s="38" customFormat="1" x14ac:dyDescent="0.2"/>
    <row r="5364" s="38" customFormat="1" x14ac:dyDescent="0.2"/>
    <row r="5365" s="38" customFormat="1" x14ac:dyDescent="0.2"/>
    <row r="5366" s="38" customFormat="1" x14ac:dyDescent="0.2"/>
    <row r="5367" s="38" customFormat="1" x14ac:dyDescent="0.2"/>
    <row r="5368" s="38" customFormat="1" x14ac:dyDescent="0.2"/>
    <row r="5369" s="38" customFormat="1" x14ac:dyDescent="0.2"/>
    <row r="5370" s="38" customFormat="1" x14ac:dyDescent="0.2"/>
    <row r="5371" s="38" customFormat="1" x14ac:dyDescent="0.2"/>
    <row r="5372" s="38" customFormat="1" x14ac:dyDescent="0.2"/>
    <row r="5373" s="38" customFormat="1" x14ac:dyDescent="0.2"/>
    <row r="5374" s="38" customFormat="1" x14ac:dyDescent="0.2"/>
    <row r="5375" s="38" customFormat="1" x14ac:dyDescent="0.2"/>
    <row r="5376" s="38" customFormat="1" x14ac:dyDescent="0.2"/>
    <row r="5377" s="38" customFormat="1" x14ac:dyDescent="0.2"/>
    <row r="5378" s="38" customFormat="1" x14ac:dyDescent="0.2"/>
    <row r="5379" s="38" customFormat="1" x14ac:dyDescent="0.2"/>
    <row r="5380" s="38" customFormat="1" x14ac:dyDescent="0.2"/>
    <row r="5381" s="38" customFormat="1" x14ac:dyDescent="0.2"/>
    <row r="5382" s="38" customFormat="1" x14ac:dyDescent="0.2"/>
    <row r="5383" s="38" customFormat="1" x14ac:dyDescent="0.2"/>
    <row r="5384" s="38" customFormat="1" x14ac:dyDescent="0.2"/>
    <row r="5385" s="38" customFormat="1" x14ac:dyDescent="0.2"/>
    <row r="5386" s="38" customFormat="1" x14ac:dyDescent="0.2"/>
    <row r="5387" s="38" customFormat="1" x14ac:dyDescent="0.2"/>
    <row r="5388" s="38" customFormat="1" x14ac:dyDescent="0.2"/>
    <row r="5389" s="38" customFormat="1" x14ac:dyDescent="0.2"/>
    <row r="5390" s="38" customFormat="1" x14ac:dyDescent="0.2"/>
    <row r="5391" s="38" customFormat="1" x14ac:dyDescent="0.2"/>
    <row r="5392" s="38" customFormat="1" x14ac:dyDescent="0.2"/>
    <row r="5393" s="38" customFormat="1" x14ac:dyDescent="0.2"/>
    <row r="5394" s="38" customFormat="1" x14ac:dyDescent="0.2"/>
    <row r="5395" s="38" customFormat="1" x14ac:dyDescent="0.2"/>
    <row r="5396" s="38" customFormat="1" x14ac:dyDescent="0.2"/>
    <row r="5397" s="38" customFormat="1" x14ac:dyDescent="0.2"/>
    <row r="5398" s="38" customFormat="1" x14ac:dyDescent="0.2"/>
    <row r="5399" s="38" customFormat="1" x14ac:dyDescent="0.2"/>
    <row r="5400" s="38" customFormat="1" x14ac:dyDescent="0.2"/>
    <row r="5401" s="38" customFormat="1" x14ac:dyDescent="0.2"/>
    <row r="5402" s="38" customFormat="1" x14ac:dyDescent="0.2"/>
    <row r="5403" s="38" customFormat="1" x14ac:dyDescent="0.2"/>
    <row r="5404" s="38" customFormat="1" x14ac:dyDescent="0.2"/>
    <row r="5405" s="38" customFormat="1" x14ac:dyDescent="0.2"/>
    <row r="5406" s="38" customFormat="1" x14ac:dyDescent="0.2"/>
    <row r="5407" s="38" customFormat="1" x14ac:dyDescent="0.2"/>
    <row r="5408" s="38" customFormat="1" x14ac:dyDescent="0.2"/>
    <row r="5409" s="38" customFormat="1" x14ac:dyDescent="0.2"/>
    <row r="5410" s="38" customFormat="1" x14ac:dyDescent="0.2"/>
    <row r="5411" s="38" customFormat="1" x14ac:dyDescent="0.2"/>
    <row r="5412" s="38" customFormat="1" x14ac:dyDescent="0.2"/>
    <row r="5413" s="38" customFormat="1" x14ac:dyDescent="0.2"/>
    <row r="5414" s="38" customFormat="1" x14ac:dyDescent="0.2"/>
    <row r="5415" s="38" customFormat="1" x14ac:dyDescent="0.2"/>
    <row r="5416" s="38" customFormat="1" x14ac:dyDescent="0.2"/>
    <row r="5417" s="38" customFormat="1" x14ac:dyDescent="0.2"/>
    <row r="5418" s="38" customFormat="1" x14ac:dyDescent="0.2"/>
    <row r="5419" s="38" customFormat="1" x14ac:dyDescent="0.2"/>
    <row r="5420" s="38" customFormat="1" x14ac:dyDescent="0.2"/>
    <row r="5421" s="38" customFormat="1" x14ac:dyDescent="0.2"/>
    <row r="5422" s="38" customFormat="1" x14ac:dyDescent="0.2"/>
    <row r="5423" s="38" customFormat="1" x14ac:dyDescent="0.2"/>
    <row r="5424" s="38" customFormat="1" x14ac:dyDescent="0.2"/>
    <row r="5425" s="38" customFormat="1" x14ac:dyDescent="0.2"/>
    <row r="5426" s="38" customFormat="1" x14ac:dyDescent="0.2"/>
    <row r="5427" s="38" customFormat="1" x14ac:dyDescent="0.2"/>
    <row r="5428" s="38" customFormat="1" x14ac:dyDescent="0.2"/>
    <row r="5429" s="38" customFormat="1" x14ac:dyDescent="0.2"/>
    <row r="5430" s="38" customFormat="1" x14ac:dyDescent="0.2"/>
    <row r="5431" s="38" customFormat="1" x14ac:dyDescent="0.2"/>
    <row r="5432" s="38" customFormat="1" x14ac:dyDescent="0.2"/>
    <row r="5433" s="38" customFormat="1" x14ac:dyDescent="0.2"/>
    <row r="5434" s="38" customFormat="1" x14ac:dyDescent="0.2"/>
    <row r="5435" s="38" customFormat="1" x14ac:dyDescent="0.2"/>
    <row r="5436" s="38" customFormat="1" x14ac:dyDescent="0.2"/>
    <row r="5437" s="38" customFormat="1" x14ac:dyDescent="0.2"/>
    <row r="5438" s="38" customFormat="1" x14ac:dyDescent="0.2"/>
    <row r="5439" s="38" customFormat="1" x14ac:dyDescent="0.2"/>
    <row r="5440" s="38" customFormat="1" x14ac:dyDescent="0.2"/>
    <row r="5441" s="38" customFormat="1" x14ac:dyDescent="0.2"/>
    <row r="5442" s="38" customFormat="1" x14ac:dyDescent="0.2"/>
    <row r="5443" s="38" customFormat="1" x14ac:dyDescent="0.2"/>
    <row r="5444" s="38" customFormat="1" x14ac:dyDescent="0.2"/>
    <row r="5445" s="38" customFormat="1" x14ac:dyDescent="0.2"/>
    <row r="5446" s="38" customFormat="1" x14ac:dyDescent="0.2"/>
    <row r="5447" s="38" customFormat="1" x14ac:dyDescent="0.2"/>
    <row r="5448" s="38" customFormat="1" x14ac:dyDescent="0.2"/>
    <row r="5449" s="38" customFormat="1" x14ac:dyDescent="0.2"/>
    <row r="5450" s="38" customFormat="1" x14ac:dyDescent="0.2"/>
    <row r="5451" s="38" customFormat="1" x14ac:dyDescent="0.2"/>
    <row r="5452" s="38" customFormat="1" x14ac:dyDescent="0.2"/>
    <row r="5453" s="38" customFormat="1" x14ac:dyDescent="0.2"/>
    <row r="5454" s="38" customFormat="1" x14ac:dyDescent="0.2"/>
    <row r="5455" s="38" customFormat="1" x14ac:dyDescent="0.2"/>
    <row r="5456" s="38" customFormat="1" x14ac:dyDescent="0.2"/>
    <row r="5457" s="38" customFormat="1" x14ac:dyDescent="0.2"/>
    <row r="5458" s="38" customFormat="1" x14ac:dyDescent="0.2"/>
    <row r="5459" s="38" customFormat="1" x14ac:dyDescent="0.2"/>
    <row r="5460" s="38" customFormat="1" x14ac:dyDescent="0.2"/>
    <row r="5461" s="38" customFormat="1" x14ac:dyDescent="0.2"/>
    <row r="5462" s="38" customFormat="1" x14ac:dyDescent="0.2"/>
    <row r="5463" s="38" customFormat="1" x14ac:dyDescent="0.2"/>
    <row r="5464" s="38" customFormat="1" x14ac:dyDescent="0.2"/>
    <row r="5465" s="38" customFormat="1" x14ac:dyDescent="0.2"/>
    <row r="5466" s="38" customFormat="1" x14ac:dyDescent="0.2"/>
    <row r="5467" s="38" customFormat="1" x14ac:dyDescent="0.2"/>
    <row r="5468" s="38" customFormat="1" x14ac:dyDescent="0.2"/>
    <row r="5469" s="38" customFormat="1" x14ac:dyDescent="0.2"/>
    <row r="5470" s="38" customFormat="1" x14ac:dyDescent="0.2"/>
    <row r="5471" s="38" customFormat="1" x14ac:dyDescent="0.2"/>
    <row r="5472" s="38" customFormat="1" x14ac:dyDescent="0.2"/>
    <row r="5473" s="38" customFormat="1" x14ac:dyDescent="0.2"/>
    <row r="5474" s="38" customFormat="1" x14ac:dyDescent="0.2"/>
    <row r="5475" s="38" customFormat="1" x14ac:dyDescent="0.2"/>
    <row r="5476" s="38" customFormat="1" x14ac:dyDescent="0.2"/>
    <row r="5477" s="38" customFormat="1" x14ac:dyDescent="0.2"/>
    <row r="5478" s="38" customFormat="1" x14ac:dyDescent="0.2"/>
    <row r="5479" s="38" customFormat="1" x14ac:dyDescent="0.2"/>
    <row r="5480" s="38" customFormat="1" x14ac:dyDescent="0.2"/>
    <row r="5481" s="38" customFormat="1" x14ac:dyDescent="0.2"/>
    <row r="5482" s="38" customFormat="1" x14ac:dyDescent="0.2"/>
    <row r="5483" s="38" customFormat="1" x14ac:dyDescent="0.2"/>
    <row r="5484" s="38" customFormat="1" x14ac:dyDescent="0.2"/>
    <row r="5485" s="38" customFormat="1" x14ac:dyDescent="0.2"/>
    <row r="5486" s="38" customFormat="1" x14ac:dyDescent="0.2"/>
    <row r="5487" s="38" customFormat="1" x14ac:dyDescent="0.2"/>
    <row r="5488" s="38" customFormat="1" x14ac:dyDescent="0.2"/>
    <row r="5489" s="38" customFormat="1" x14ac:dyDescent="0.2"/>
    <row r="5490" s="38" customFormat="1" x14ac:dyDescent="0.2"/>
    <row r="5491" s="38" customFormat="1" x14ac:dyDescent="0.2"/>
    <row r="5492" s="38" customFormat="1" x14ac:dyDescent="0.2"/>
    <row r="5493" s="38" customFormat="1" x14ac:dyDescent="0.2"/>
    <row r="5494" s="38" customFormat="1" x14ac:dyDescent="0.2"/>
    <row r="5495" s="38" customFormat="1" x14ac:dyDescent="0.2"/>
    <row r="5496" s="38" customFormat="1" x14ac:dyDescent="0.2"/>
    <row r="5497" s="38" customFormat="1" x14ac:dyDescent="0.2"/>
    <row r="5498" s="38" customFormat="1" x14ac:dyDescent="0.2"/>
    <row r="5499" s="38" customFormat="1" x14ac:dyDescent="0.2"/>
    <row r="5500" s="38" customFormat="1" x14ac:dyDescent="0.2"/>
    <row r="5501" s="38" customFormat="1" x14ac:dyDescent="0.2"/>
    <row r="5502" s="38" customFormat="1" x14ac:dyDescent="0.2"/>
    <row r="5503" s="38" customFormat="1" x14ac:dyDescent="0.2"/>
    <row r="5504" s="38" customFormat="1" x14ac:dyDescent="0.2"/>
    <row r="5505" s="38" customFormat="1" x14ac:dyDescent="0.2"/>
    <row r="5506" s="38" customFormat="1" x14ac:dyDescent="0.2"/>
    <row r="5507" s="38" customFormat="1" x14ac:dyDescent="0.2"/>
    <row r="5508" s="38" customFormat="1" x14ac:dyDescent="0.2"/>
    <row r="5509" s="38" customFormat="1" x14ac:dyDescent="0.2"/>
    <row r="5510" s="38" customFormat="1" x14ac:dyDescent="0.2"/>
    <row r="5511" s="38" customFormat="1" x14ac:dyDescent="0.2"/>
    <row r="5512" s="38" customFormat="1" x14ac:dyDescent="0.2"/>
    <row r="5513" s="38" customFormat="1" x14ac:dyDescent="0.2"/>
    <row r="5514" s="38" customFormat="1" x14ac:dyDescent="0.2"/>
    <row r="5515" s="38" customFormat="1" x14ac:dyDescent="0.2"/>
    <row r="5516" s="38" customFormat="1" x14ac:dyDescent="0.2"/>
    <row r="5517" s="38" customFormat="1" x14ac:dyDescent="0.2"/>
    <row r="5518" s="38" customFormat="1" x14ac:dyDescent="0.2"/>
    <row r="5519" s="38" customFormat="1" x14ac:dyDescent="0.2"/>
    <row r="5520" s="38" customFormat="1" x14ac:dyDescent="0.2"/>
    <row r="5521" s="38" customFormat="1" x14ac:dyDescent="0.2"/>
    <row r="5522" s="38" customFormat="1" x14ac:dyDescent="0.2"/>
    <row r="5523" s="38" customFormat="1" x14ac:dyDescent="0.2"/>
    <row r="5524" s="38" customFormat="1" x14ac:dyDescent="0.2"/>
    <row r="5525" s="38" customFormat="1" x14ac:dyDescent="0.2"/>
    <row r="5526" s="38" customFormat="1" x14ac:dyDescent="0.2"/>
    <row r="5527" s="38" customFormat="1" x14ac:dyDescent="0.2"/>
    <row r="5528" s="38" customFormat="1" x14ac:dyDescent="0.2"/>
    <row r="5529" s="38" customFormat="1" x14ac:dyDescent="0.2"/>
    <row r="5530" s="38" customFormat="1" x14ac:dyDescent="0.2"/>
    <row r="5531" s="38" customFormat="1" x14ac:dyDescent="0.2"/>
    <row r="5532" s="38" customFormat="1" x14ac:dyDescent="0.2"/>
    <row r="5533" s="38" customFormat="1" x14ac:dyDescent="0.2"/>
    <row r="5534" s="38" customFormat="1" x14ac:dyDescent="0.2"/>
    <row r="5535" s="38" customFormat="1" x14ac:dyDescent="0.2"/>
    <row r="5536" s="38" customFormat="1" x14ac:dyDescent="0.2"/>
    <row r="5537" s="38" customFormat="1" x14ac:dyDescent="0.2"/>
    <row r="5538" s="38" customFormat="1" x14ac:dyDescent="0.2"/>
    <row r="5539" s="38" customFormat="1" x14ac:dyDescent="0.2"/>
    <row r="5540" s="38" customFormat="1" x14ac:dyDescent="0.2"/>
    <row r="5541" s="38" customFormat="1" x14ac:dyDescent="0.2"/>
    <row r="5542" s="38" customFormat="1" x14ac:dyDescent="0.2"/>
    <row r="5543" s="38" customFormat="1" x14ac:dyDescent="0.2"/>
    <row r="5544" s="38" customFormat="1" x14ac:dyDescent="0.2"/>
    <row r="5545" s="38" customFormat="1" x14ac:dyDescent="0.2"/>
    <row r="5546" s="38" customFormat="1" x14ac:dyDescent="0.2"/>
    <row r="5547" s="38" customFormat="1" x14ac:dyDescent="0.2"/>
    <row r="5548" s="38" customFormat="1" x14ac:dyDescent="0.2"/>
    <row r="5549" s="38" customFormat="1" x14ac:dyDescent="0.2"/>
    <row r="5550" s="38" customFormat="1" x14ac:dyDescent="0.2"/>
    <row r="5551" s="38" customFormat="1" x14ac:dyDescent="0.2"/>
    <row r="5552" s="38" customFormat="1" x14ac:dyDescent="0.2"/>
    <row r="5553" s="38" customFormat="1" x14ac:dyDescent="0.2"/>
    <row r="5554" s="38" customFormat="1" x14ac:dyDescent="0.2"/>
    <row r="5555" s="38" customFormat="1" x14ac:dyDescent="0.2"/>
    <row r="5556" s="38" customFormat="1" x14ac:dyDescent="0.2"/>
    <row r="5557" s="38" customFormat="1" x14ac:dyDescent="0.2"/>
    <row r="5558" s="38" customFormat="1" x14ac:dyDescent="0.2"/>
    <row r="5559" s="38" customFormat="1" x14ac:dyDescent="0.2"/>
    <row r="5560" s="38" customFormat="1" x14ac:dyDescent="0.2"/>
    <row r="5561" s="38" customFormat="1" x14ac:dyDescent="0.2"/>
    <row r="5562" s="38" customFormat="1" x14ac:dyDescent="0.2"/>
    <row r="5563" s="38" customFormat="1" x14ac:dyDescent="0.2"/>
    <row r="5564" s="38" customFormat="1" x14ac:dyDescent="0.2"/>
    <row r="5565" s="38" customFormat="1" x14ac:dyDescent="0.2"/>
    <row r="5566" s="38" customFormat="1" x14ac:dyDescent="0.2"/>
    <row r="5567" s="38" customFormat="1" x14ac:dyDescent="0.2"/>
    <row r="5568" s="38" customFormat="1" x14ac:dyDescent="0.2"/>
    <row r="5569" s="38" customFormat="1" x14ac:dyDescent="0.2"/>
    <row r="5570" s="38" customFormat="1" x14ac:dyDescent="0.2"/>
    <row r="5571" s="38" customFormat="1" x14ac:dyDescent="0.2"/>
    <row r="5572" s="38" customFormat="1" x14ac:dyDescent="0.2"/>
    <row r="5573" s="38" customFormat="1" x14ac:dyDescent="0.2"/>
    <row r="5574" s="38" customFormat="1" x14ac:dyDescent="0.2"/>
    <row r="5575" s="38" customFormat="1" x14ac:dyDescent="0.2"/>
    <row r="5576" s="38" customFormat="1" x14ac:dyDescent="0.2"/>
    <row r="5577" s="38" customFormat="1" x14ac:dyDescent="0.2"/>
    <row r="5578" s="38" customFormat="1" x14ac:dyDescent="0.2"/>
    <row r="5579" s="38" customFormat="1" x14ac:dyDescent="0.2"/>
    <row r="5580" s="38" customFormat="1" x14ac:dyDescent="0.2"/>
    <row r="5581" s="38" customFormat="1" x14ac:dyDescent="0.2"/>
  </sheetData>
  <mergeCells count="9">
    <mergeCell ref="A29:B29"/>
    <mergeCell ref="A30:B30"/>
    <mergeCell ref="A32:B32"/>
    <mergeCell ref="C2:O6"/>
    <mergeCell ref="M9:N9"/>
    <mergeCell ref="O9:P9"/>
    <mergeCell ref="E22:F22"/>
    <mergeCell ref="G23:I23"/>
    <mergeCell ref="A27:B27"/>
  </mergeCells>
  <conditionalFormatting sqref="M10:M22">
    <cfRule type="cellIs" dxfId="9" priority="5" operator="equal">
      <formula>"Sobran"</formula>
    </cfRule>
    <cfRule type="cellIs" dxfId="8" priority="6" operator="equal">
      <formula>"Faltan"</formula>
    </cfRule>
  </conditionalFormatting>
  <conditionalFormatting sqref="N10:N22">
    <cfRule type="containsBlanks" dxfId="7" priority="2">
      <formula>LEN(TRIM(N10))=0</formula>
    </cfRule>
    <cfRule type="cellIs" dxfId="6" priority="13" operator="lessThan">
      <formula>0</formula>
    </cfRule>
    <cfRule type="cellIs" dxfId="5" priority="14" operator="greaterThan">
      <formula>0</formula>
    </cfRule>
  </conditionalFormatting>
  <conditionalFormatting sqref="O10:O22">
    <cfRule type="cellIs" dxfId="4" priority="3" operator="equal">
      <formula>"Sobran"</formula>
    </cfRule>
    <cfRule type="cellIs" dxfId="3" priority="4" operator="equal">
      <formula>"Faltan por ingresar"</formula>
    </cfRule>
  </conditionalFormatting>
  <conditionalFormatting sqref="P10:P22">
    <cfRule type="containsBlanks" dxfId="2" priority="1">
      <formula>LEN(TRIM(P10))=0</formula>
    </cfRule>
    <cfRule type="cellIs" dxfId="1" priority="8" operator="lessThan">
      <formula>0</formula>
    </cfRule>
    <cfRule type="cellIs" dxfId="0" priority="9" operator="greaterThan">
      <formula>0</formula>
    </cfRule>
  </conditionalFormatting>
  <pageMargins left="0.7" right="0.7" top="0.75" bottom="0.75" header="0.3" footer="0.3"/>
  <pageSetup paperSize="9" scale="6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Ahorro BBVA</vt:lpstr>
      <vt:lpstr>25 26 Vadillo</vt:lpstr>
      <vt:lpstr>Intereses cuentas</vt:lpstr>
      <vt:lpstr>IRPF</vt:lpstr>
      <vt:lpstr>25 Eurocybcar</vt:lpstr>
      <vt:lpstr>22 25 FarmaConsulting</vt:lpstr>
      <vt:lpstr>feb mar 25 baja</vt:lpstr>
      <vt:lpstr>Ahorro BBVA antiguo</vt:lpstr>
      <vt:lpstr>Sueldo CRN</vt:lpstr>
      <vt:lpstr>Sueldo MB</vt:lpstr>
      <vt:lpstr>Nómina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Mikel</dc:creator>
  <cp:keywords/>
  <dc:description/>
  <cp:lastModifiedBy>Mikel Fernández Echevarría</cp:lastModifiedBy>
  <cp:revision/>
  <dcterms:created xsi:type="dcterms:W3CDTF">2013-11-03T15:08:03Z</dcterms:created>
  <dcterms:modified xsi:type="dcterms:W3CDTF">2026-05-19T20:18:14Z</dcterms:modified>
  <cp:category/>
  <cp:contentStatus/>
</cp:coreProperties>
</file>